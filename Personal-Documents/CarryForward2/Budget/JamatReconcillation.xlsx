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bookViews>
    <workbookView xWindow="0" yWindow="456" windowWidth="28800" windowHeight="17460" activeTab="7"/>
  </bookViews>
  <sheets>
    <sheet name="053015" sheetId="1" r:id="rId1"/>
    <sheet name="080515" sheetId="2" r:id="rId2"/>
    <sheet name="102815" sheetId="3" r:id="rId3"/>
    <sheet name="122715" sheetId="4" r:id="rId4"/>
    <sheet name="110716" sheetId="5" r:id="rId5"/>
    <sheet name="081017" sheetId="6" r:id="rId6"/>
    <sheet name="For all - Starting From 090417" sheetId="7" r:id="rId7"/>
    <sheet name="Jan 19" sheetId="8" r:id="rId8"/>
  </sheet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B15" i="8" l="1"/>
  <c r="B65" i="7" l="1"/>
  <c r="B55" i="7"/>
  <c r="B62" i="7"/>
  <c r="B58" i="7"/>
  <c r="B52" i="7"/>
  <c r="B56" i="7" s="1"/>
  <c r="B59" i="7" s="1"/>
  <c r="B63" i="7" s="1"/>
  <c r="B64" i="7" l="1"/>
  <c r="B36" i="7"/>
  <c r="B40" i="7"/>
  <c r="B42" i="7" s="1"/>
  <c r="B30" i="7"/>
  <c r="B34" i="7" s="1"/>
  <c r="B37" i="7" s="1"/>
  <c r="B41" i="7" s="1"/>
  <c r="B12" i="7"/>
  <c r="B8" i="7"/>
  <c r="B13" i="7" s="1"/>
  <c r="B16" i="7" s="1"/>
  <c r="B20" i="7" s="1"/>
  <c r="B21" i="7" s="1"/>
  <c r="B15" i="7"/>
  <c r="B19" i="7"/>
  <c r="B15" i="6"/>
  <c r="B16" i="6" s="1"/>
  <c r="B19" i="6" s="1"/>
  <c r="B21" i="6" s="1"/>
  <c r="B11" i="6"/>
  <c r="B18" i="6"/>
  <c r="B21" i="5"/>
  <c r="B29" i="5" s="1"/>
  <c r="B39" i="5" s="1"/>
  <c r="B25" i="5"/>
  <c r="B18" i="4"/>
  <c r="B26" i="4" s="1"/>
  <c r="B36" i="4" s="1"/>
  <c r="B27" i="2"/>
  <c r="B37" i="2" s="1"/>
  <c r="B26" i="2"/>
  <c r="B36" i="2" s="1"/>
  <c r="B22" i="4"/>
  <c r="B25" i="4"/>
  <c r="B35" i="4" s="1"/>
  <c r="B23" i="3"/>
  <c r="B19" i="3"/>
  <c r="B27" i="3" s="1"/>
  <c r="B37" i="3" s="1"/>
  <c r="B23" i="2"/>
  <c r="B19" i="2"/>
  <c r="B18" i="1"/>
  <c r="B21" i="1" s="1"/>
  <c r="B26" i="3" l="1"/>
  <c r="B36" i="3" s="1"/>
  <c r="B22" i="1"/>
  <c r="B28" i="5"/>
  <c r="B38" i="5" s="1"/>
</calcChain>
</file>

<file path=xl/sharedStrings.xml><?xml version="1.0" encoding="utf-8"?>
<sst xmlns="http://schemas.openxmlformats.org/spreadsheetml/2006/main" count="250" uniqueCount="132">
  <si>
    <t>Paid To Jamat Acct</t>
  </si>
  <si>
    <t>Paid to personal Acct</t>
  </si>
  <si>
    <t>Taken out from Jamat</t>
  </si>
  <si>
    <t>11/03/14 500, 11/12/14 1000, 12/11/14 3000</t>
  </si>
  <si>
    <t>Expenses for Jamat</t>
  </si>
  <si>
    <t>Ticket</t>
  </si>
  <si>
    <t>Sleepover (3)</t>
  </si>
  <si>
    <t>DOH</t>
  </si>
  <si>
    <t>Regional Ijtema</t>
  </si>
  <si>
    <t>05/13/15 on credit card</t>
  </si>
  <si>
    <t xml:space="preserve">Dec 14 new year sleepover, Jan 15 sleepover, April 15 sleepover </t>
  </si>
  <si>
    <t>11/25/14 parking ticket for CSU sleepover</t>
  </si>
  <si>
    <t>Ansar took care of that.</t>
  </si>
  <si>
    <t xml:space="preserve">Note: </t>
  </si>
  <si>
    <t>Jamat Chanda year goes till July 15th as far as budgeting is concerned</t>
  </si>
  <si>
    <t xml:space="preserve">For 2015, 300 is for MKA, 300 for Jalsa and 4400 for wasiyyat. Total with 450 per month formula is 5400 but cannot be determines where 400 of this amount was used, because since Nov 14 budgeting 400 is already percieved to be paid for chanda. </t>
  </si>
  <si>
    <t>Total</t>
  </si>
  <si>
    <t>Pay to MKA account</t>
  </si>
  <si>
    <t>Pay to personal account</t>
  </si>
  <si>
    <t>Total Expense</t>
  </si>
  <si>
    <t>Taken out from Personal Account</t>
  </si>
  <si>
    <t>Last Jamat Reconcillation Closing</t>
  </si>
  <si>
    <t>New Transactions</t>
  </si>
  <si>
    <t>07/01/15 500, 08/05/15 400</t>
  </si>
  <si>
    <t>MKA Ijtema (June 12th)</t>
  </si>
  <si>
    <t>25 dollars going, 27 dollars coming back for Gas. I am not sure what else I paid. 191.50 is reimbursement from region. 60 dollars is for Suhaib. Out of remaining pay to Waqas/Hamza for their expenses and whatever is remaining is your unaccounted expenses</t>
  </si>
  <si>
    <t>DOH (05/01)</t>
  </si>
  <si>
    <t>Although already accounted on 053015 sheet but only car rent is covered and not gas and toll charges which are added here. 04/30 gas 34.67 + oh tpk toll 5.75 + 05/02 gas 13.22 + 05/03 oh tpk toll 0.75 + 05/03 gas 34.85 + 05/04 oh tpk toll 6.50.</t>
  </si>
  <si>
    <t>Balance From Last Sheet (05/30/15)</t>
  </si>
  <si>
    <t>Chanda Payments Due</t>
  </si>
  <si>
    <t>Mka Chanda</t>
  </si>
  <si>
    <t>Sept 15th Closing</t>
  </si>
  <si>
    <t>Final Balance</t>
  </si>
  <si>
    <t>Intermediate Balance</t>
  </si>
  <si>
    <t>For 2015, 300 is for MKA which is covered in this sheet. For Wasiyyat and Jalsa chanda, need to evaluate new chanda amount due to pay increment.</t>
  </si>
  <si>
    <t>Payments From Jamat to Personal Account</t>
  </si>
  <si>
    <t>MKA Ijtema (June 12th) Payment</t>
  </si>
  <si>
    <t xml:space="preserve">Regional Qaid Sahib (Hamid Bhai) sent check with my name on it for Ijtema expense payment </t>
  </si>
  <si>
    <t>Dinner expense during Messenger Of Peace Flyers Distribution (10/04)</t>
  </si>
  <si>
    <t>Parking Ticket while volunteering for Red Cross Blood Drive (10/22)</t>
  </si>
  <si>
    <t>Chanda Paid in Cash</t>
  </si>
  <si>
    <t>Labeeb, Safeer, Samar, Hashim, Tahir Shah and Zaki all gave me 20 dollar each chanda</t>
  </si>
  <si>
    <t>Jamat Reconcillation Occurred</t>
  </si>
  <si>
    <t>Paid 60, 60 each to Waqas and Sohaib</t>
  </si>
  <si>
    <t>Balance From Last Sheet (08/05/15)</t>
  </si>
  <si>
    <t>Balance From Last Sheet (10/28/15)</t>
  </si>
  <si>
    <t>MKA Chanda</t>
  </si>
  <si>
    <t>Nothing Is paid for Jamat Chanda for 2016. Chanda can be evaluated to be higher than this</t>
  </si>
  <si>
    <t>Wassiyat Chanda + Jalsa Salana
From July 15th 2015 till Jan 15th 2016
For 6 months (500 Chanda) - 300 (MKA chanda)</t>
  </si>
  <si>
    <t>Jamat chanda can be evaluated to be higher than 500 as chanda needs to be paid on tax return and bonus</t>
  </si>
  <si>
    <t>Chanda paid as cach</t>
  </si>
  <si>
    <t>Samar 40, Shewaiz 60, Riyan 20, Labeeb 10</t>
  </si>
  <si>
    <t>Nothing Is paid for Jamat Chanda for 2016/17. Chanda can be evaluated to be higher than this</t>
  </si>
  <si>
    <t>Coming from 122715 sheet from intermediate balance section</t>
  </si>
  <si>
    <t>Wassiyat Chanda + Jalsa Salana
From July 15th 2016 till Nov 15th 2016
For 4 months (550 Chanda) - 400 (MKA chanda)</t>
  </si>
  <si>
    <t>Jamat chanda can be evaluated to be higher than 550 as chanda needs to be paid on tax return and bonus
Jamat chanda is evaluated to be 550 because monthly salary is around 6127 arpox 6100 whereas 600 is debt, left with salary of 5500 and 10% of 5500 is 550</t>
  </si>
  <si>
    <t>HQC Apr 16th</t>
  </si>
  <si>
    <t>HQC Apr 23rd</t>
  </si>
  <si>
    <t>April 15 - May 15 (HQC Apr 23)
Cleveland trvl gas and tolls.  134.98.  All Mka
Cleveland entertainment/food.     94.05</t>
  </si>
  <si>
    <t>MKA Ijtema 2016 - May 27 to Jun 1</t>
  </si>
  <si>
    <t>May 15 - June 15 (MKA Ijtema)
California trip.      Cap + sun protection (18)
                             Bag (5.50) , snow boarding         
                              (29.50) , Ventra 3 + 5  = 61
BART Train ticket = 12.05
Air ticket - United = 346.20
Regional Refund = -150</t>
  </si>
  <si>
    <t>Mar 15 - Apr 15 (HQC Apr 16, including in prev month)
Cleveland travel.      75.     All Mka
Cleveland entertainment.      40</t>
  </si>
  <si>
    <t>Balance From Last Sheet (12/27/15)</t>
  </si>
  <si>
    <t>Covers info given below as well</t>
  </si>
  <si>
    <t>All paid see top. Balance is 0 now.</t>
  </si>
  <si>
    <t>08/10/2017 3:13AM covering till 08/15/17</t>
  </si>
  <si>
    <t xml:space="preserve">MKA Chanda </t>
  </si>
  <si>
    <t>Mka Chanda due for 2016/2017</t>
  </si>
  <si>
    <t>Chanda Paid for 2016/2017</t>
  </si>
  <si>
    <t>Chanda Remaining for 2016/2017</t>
  </si>
  <si>
    <t>Jammat Chanda</t>
  </si>
  <si>
    <t>Months remaining From July 15th 2016 (from prev record) till July 15th 2017 (Jammat Chanda Year End)</t>
  </si>
  <si>
    <t>Chanda from July 15th 2016 (from prev record) till July 15th 2017 (Jammat Chanda Year End)</t>
  </si>
  <si>
    <t xml:space="preserve">2016 Federal Tax Return </t>
  </si>
  <si>
    <t>2016 State Tax Return</t>
  </si>
  <si>
    <t>Total Bonus &amp; Tax Returns</t>
  </si>
  <si>
    <t>Bonus deposited in 2017</t>
  </si>
  <si>
    <t>Chanda due on Bonus &amp; Tax Returns</t>
  </si>
  <si>
    <t>Months till 08/15/17 from 07/15/17 (last jammat chanda year end)</t>
  </si>
  <si>
    <t>Chanda due till 08/15/17 from 07/15/17 (last jammat chanda year end)</t>
  </si>
  <si>
    <t xml:space="preserve">Chanda paid so far </t>
  </si>
  <si>
    <t>Paid Wasiyyat Chanda for till 07/15/17</t>
  </si>
  <si>
    <t>Total Chanda</t>
  </si>
  <si>
    <t xml:space="preserve">Chanda due till 08/15/17 </t>
  </si>
  <si>
    <t>09/04/2017 3:00AM covering till 09/15/17</t>
  </si>
  <si>
    <t>Remaining Chanda from last Record</t>
  </si>
  <si>
    <t>Incremented Chanda from 01/17 from 550 to 570 for 7 months from 01/15/17 till 08/15/17</t>
  </si>
  <si>
    <t>Months since previous record of 081017</t>
  </si>
  <si>
    <t>Chanda added since last record of 081017</t>
  </si>
  <si>
    <t>Chanda paid since last record of 081017</t>
  </si>
  <si>
    <t xml:space="preserve">Chanda due till 09/15/17 </t>
  </si>
  <si>
    <t>Months remaining till next jamat year closing (07/15/18)</t>
  </si>
  <si>
    <t>Future chanda till next jamat year closing (07/15/18)</t>
  </si>
  <si>
    <t>Total Chanda due till next jamat year closing (07/15/18)</t>
  </si>
  <si>
    <t>Increment in Chanda for 2016/2017</t>
  </si>
  <si>
    <t>MKA chanda is added on top of 570</t>
  </si>
  <si>
    <t>Pay 8750 as Wasiyyat and 400 as Jalsa Salana = 9150 and 400 as MKA chanda</t>
  </si>
  <si>
    <t>12/10/17 12:44AM covering till 12/15/17</t>
  </si>
  <si>
    <t>Months since previous record of 090417</t>
  </si>
  <si>
    <t>Chanda added since last record of 090417</t>
  </si>
  <si>
    <t>Chanda paid since last record of 090417</t>
  </si>
  <si>
    <t xml:space="preserve">Chanda due till 12/15/17 </t>
  </si>
  <si>
    <t>Paid MKA chanda to close year 2016/2017</t>
  </si>
  <si>
    <t>Pay 8750 as Wasiyyat and 400 as Jalsa Salana = 9150</t>
  </si>
  <si>
    <t>Total Chanda due till next jamat year closing (7/15/18)</t>
  </si>
  <si>
    <t>To make round figure for Total Chanda due till next jamat year closing (7/15/18)</t>
  </si>
  <si>
    <t>2/6/18 8:08PM covering till 7/15/18</t>
  </si>
  <si>
    <t>Mka Chanda due for 2017/2018</t>
  </si>
  <si>
    <t>Months since previous record of 121017</t>
  </si>
  <si>
    <t>Chanda added since last record of 121017</t>
  </si>
  <si>
    <t>Future payments are done</t>
  </si>
  <si>
    <t xml:space="preserve">Chanda due till 03/15/18 </t>
  </si>
  <si>
    <t xml:space="preserve">Time: </t>
  </si>
  <si>
    <t>01/20/19 6:30Pm</t>
  </si>
  <si>
    <t>MKA</t>
  </si>
  <si>
    <t>600?</t>
  </si>
  <si>
    <t>Wasiyyat</t>
  </si>
  <si>
    <t>Jalsa</t>
  </si>
  <si>
    <t>Papa/Taya</t>
  </si>
  <si>
    <t>Awais</t>
  </si>
  <si>
    <t>Saliha</t>
  </si>
  <si>
    <t>Wasiyyat 2017/2018</t>
  </si>
  <si>
    <t>Wasiyyat 2018/2019 (2 months till 09/15)</t>
  </si>
  <si>
    <t>Kids Tehreek Jadeed/Waqfe Jadeed</t>
  </si>
  <si>
    <t xml:space="preserve"> Tehreek Jadeed/Waqfe Jadeed</t>
  </si>
  <si>
    <t>Wasiyyat 2018/2019 (5 months till 02/15)</t>
  </si>
  <si>
    <t xml:space="preserve">Total = </t>
  </si>
  <si>
    <t>Sadqa</t>
  </si>
  <si>
    <t>Online (For medical help like Ketto)</t>
  </si>
  <si>
    <t>Paid to beggars</t>
  </si>
  <si>
    <t>Tehreek Jadeed/Waqf-e-Jadeed</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</si>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</sst>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name val="Calibri"/>
      <family val="2"/>
      <scheme val="minor"/>
    </font>
    <font>
      <b/>
      <sz val="11"/>
      <color theme="8"/>
      <name val="Calibri"/>
      <family val="2"/>
      <scheme val="minor"/>
    </font>
    <font>
      <sz val="11"/>
      <color rgb="FFFF0000"/>
      <name val="Calibri"/>
      <family val="2"/>
      <scheme val="minor"/>
    </font>
    <font>
      <sz val="11"/>
      <color rgb="FF0070C0"/>
      <name val="Calibri"/>
      <family val="2"/>
      <scheme val="minor"/>
    </font>
    <font>
      <b/>
      <sz val="11"/>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14" fontId="0" fillId="0" borderId="0" xfId="0" applyNumberFormat="1"/>
    <xf numFmtId="0" fontId="0" fillId="2" borderId="0" xfId="0" applyFill="1"/>
    <xf numFmtId="0" fontId="0" fillId="3" borderId="0" xfId="0" applyFill="1"/>
    <xf numFmtId="14" fontId="2" fillId="0" borderId="0" xfId="0" applyNumberFormat="1" applyFont="1"/>
    <xf numFmtId="0" fontId="0" fillId="0" borderId="0" xfId="0" applyFill="1"/>
    <xf numFmtId="0" fontId="0" fillId="0" borderId="0" xfId="0" applyAlignment="1">
      <alignment wrapText="1"/>
    </xf>
    <xf numFmtId="0" fontId="1" fillId="3" borderId="0" xfId="0" applyFont="1" applyFill="1"/>
    <xf numFmtId="0" fontId="0" fillId="0" borderId="0" xfId="0" applyAlignment="1">
      <alignment wrapText="1"/>
    </xf>
    <xf numFmtId="0" fontId="0" fillId="0" borderId="0" xfId="0" applyAlignment="1">
      <alignment wrapText="1"/>
    </xf>
    <xf numFmtId="0" fontId="0" fillId="0" borderId="0" xfId="0" applyAlignment="1">
      <alignment wrapText="1"/>
    </xf>
    <xf numFmtId="0" fontId="3" fillId="4" borderId="0" xfId="0" applyFont="1" applyFill="1"/>
    <xf numFmtId="0" fontId="4" fillId="5" borderId="1" xfId="0" applyFont="1" applyFill="1" applyBorder="1"/>
    <xf numFmtId="14" fontId="4" fillId="5" borderId="1" xfId="0" applyNumberFormat="1" applyFont="1" applyFill="1" applyBorder="1"/>
    <xf numFmtId="0" fontId="0" fillId="0" borderId="0" xfId="0" applyAlignment="1">
      <alignment wrapText="1"/>
    </xf>
    <xf numFmtId="0" fontId="0" fillId="0" borderId="0" xfId="0" applyAlignment="1">
      <alignment wrapText="1"/>
    </xf>
    <xf numFmtId="0" fontId="0" fillId="0" borderId="0" xfId="0" applyAlignment="1">
      <alignment wrapText="1"/>
    </xf>
    <xf numFmtId="0" fontId="0" fillId="0" borderId="0" xfId="0" applyAlignment="1">
      <alignment wrapText="1"/>
    </xf>
    <xf numFmtId="0" fontId="0" fillId="6" borderId="0" xfId="0" applyFill="1" applyAlignment="1">
      <alignment wrapText="1"/>
    </xf>
    <xf numFmtId="0" fontId="0" fillId="6" borderId="0" xfId="0" applyFill="1"/>
    <xf numFmtId="0" fontId="0" fillId="0" borderId="0" xfId="0" applyAlignment="1">
      <alignment wrapText="1"/>
    </xf>
    <xf numFmtId="0" fontId="0" fillId="0" borderId="0" xfId="0" applyAlignment="1">
      <alignment wrapText="1"/>
    </xf>
    <xf numFmtId="0" fontId="0" fillId="0" borderId="0" xfId="0" applyAlignment="1">
      <alignment wrapText="1"/>
    </xf>
    <xf numFmtId="0" fontId="0" fillId="0" borderId="0" xfId="0" applyAlignment="1"/>
    <xf numFmtId="0" fontId="5"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B22" sqref="B22"/>
    </sheetView>
  </sheetViews>
  <sheetFormatPr defaultColWidth="8.77734375" defaultRowHeight="14.4" x14ac:dyDescent="0.3"/>
  <cols>
    <col min="1" max="1" width="28.33203125" bestFit="1" customWidth="1"/>
    <col min="2" max="2" width="10.6640625" bestFit="1" customWidth="1"/>
    <col min="3" max="3" width="59.33203125" bestFit="1" customWidth="1"/>
  </cols>
  <sheetData>
    <row r="1" spans="1:3" x14ac:dyDescent="0.3">
      <c r="A1" s="4">
        <v>42154</v>
      </c>
    </row>
    <row r="3" spans="1:3" s="3" customFormat="1" x14ac:dyDescent="0.3">
      <c r="A3" s="3" t="s">
        <v>21</v>
      </c>
    </row>
    <row r="4" spans="1:3" x14ac:dyDescent="0.3">
      <c r="B4" s="1">
        <v>41939</v>
      </c>
    </row>
    <row r="5" spans="1:3" x14ac:dyDescent="0.3">
      <c r="A5" t="s">
        <v>0</v>
      </c>
      <c r="B5">
        <v>1530.23</v>
      </c>
    </row>
    <row r="6" spans="1:3" x14ac:dyDescent="0.3">
      <c r="A6" t="s">
        <v>1</v>
      </c>
      <c r="B6">
        <v>-1530.23</v>
      </c>
    </row>
    <row r="8" spans="1:3" s="3" customFormat="1" x14ac:dyDescent="0.3">
      <c r="A8" s="3" t="s">
        <v>22</v>
      </c>
    </row>
    <row r="10" spans="1:3" x14ac:dyDescent="0.3">
      <c r="A10" s="2" t="s">
        <v>2</v>
      </c>
      <c r="B10" s="2">
        <v>4500</v>
      </c>
      <c r="C10" t="s">
        <v>3</v>
      </c>
    </row>
    <row r="11" spans="1:3" x14ac:dyDescent="0.3">
      <c r="A11" s="2" t="s">
        <v>20</v>
      </c>
      <c r="B11" s="2">
        <v>0</v>
      </c>
    </row>
    <row r="13" spans="1:3" s="7" customFormat="1" x14ac:dyDescent="0.3">
      <c r="A13" s="7" t="s">
        <v>4</v>
      </c>
    </row>
    <row r="14" spans="1:3" x14ac:dyDescent="0.3">
      <c r="A14" t="s">
        <v>5</v>
      </c>
      <c r="B14">
        <v>35</v>
      </c>
      <c r="C14" t="s">
        <v>11</v>
      </c>
    </row>
    <row r="15" spans="1:3" x14ac:dyDescent="0.3">
      <c r="A15" t="s">
        <v>6</v>
      </c>
      <c r="B15">
        <v>150</v>
      </c>
      <c r="C15" t="s">
        <v>10</v>
      </c>
    </row>
    <row r="16" spans="1:3" x14ac:dyDescent="0.3">
      <c r="A16" t="s">
        <v>7</v>
      </c>
      <c r="B16">
        <v>109.25</v>
      </c>
      <c r="C16" t="s">
        <v>9</v>
      </c>
    </row>
    <row r="17" spans="1:3" x14ac:dyDescent="0.3">
      <c r="A17" t="s">
        <v>8</v>
      </c>
      <c r="B17">
        <v>0</v>
      </c>
      <c r="C17" t="s">
        <v>12</v>
      </c>
    </row>
    <row r="18" spans="1:3" x14ac:dyDescent="0.3">
      <c r="A18" s="2" t="s">
        <v>19</v>
      </c>
      <c r="B18" s="2">
        <f>SUM(B14:B17)</f>
        <v>294.25</v>
      </c>
    </row>
    <row r="20" spans="1:3" s="3" customFormat="1" x14ac:dyDescent="0.3">
      <c r="A20" s="3" t="s">
        <v>16</v>
      </c>
    </row>
    <row r="21" spans="1:3" x14ac:dyDescent="0.3">
      <c r="A21" t="s">
        <v>17</v>
      </c>
      <c r="B21">
        <f>B10-B11-B18</f>
        <v>4205.75</v>
      </c>
    </row>
    <row r="22" spans="1:3" x14ac:dyDescent="0.3">
      <c r="A22" t="s">
        <v>18</v>
      </c>
      <c r="B22">
        <f>B11-B10+B18</f>
        <v>-4205.75</v>
      </c>
    </row>
    <row r="24" spans="1:3" x14ac:dyDescent="0.3">
      <c r="A24" t="s">
        <v>13</v>
      </c>
      <c r="B24" t="s">
        <v>14</v>
      </c>
    </row>
    <row r="25" spans="1:3" x14ac:dyDescent="0.3">
      <c r="B2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topLeftCell="A49" workbookViewId="0">
      <selection activeCell="C42" sqref="C42"/>
    </sheetView>
  </sheetViews>
  <sheetFormatPr defaultColWidth="8.77734375" defaultRowHeight="14.4" x14ac:dyDescent="0.3"/>
  <cols>
    <col min="1" max="1" width="28.33203125" bestFit="1" customWidth="1"/>
    <col min="2" max="2" width="10.6640625" bestFit="1" customWidth="1"/>
    <col min="3" max="3" width="59.33203125" bestFit="1" customWidth="1"/>
  </cols>
  <sheetData>
    <row r="1" spans="1:3" x14ac:dyDescent="0.3">
      <c r="A1" s="4">
        <v>42221</v>
      </c>
    </row>
    <row r="3" spans="1:3" s="3" customFormat="1" x14ac:dyDescent="0.3">
      <c r="A3" s="3" t="s">
        <v>21</v>
      </c>
    </row>
    <row r="4" spans="1:3" x14ac:dyDescent="0.3">
      <c r="B4" s="1">
        <v>41939</v>
      </c>
    </row>
    <row r="5" spans="1:3" x14ac:dyDescent="0.3">
      <c r="A5" t="s">
        <v>0</v>
      </c>
      <c r="B5">
        <v>1530.23</v>
      </c>
    </row>
    <row r="6" spans="1:3" x14ac:dyDescent="0.3">
      <c r="A6" t="s">
        <v>1</v>
      </c>
      <c r="B6">
        <v>-1530.23</v>
      </c>
    </row>
    <row r="8" spans="1:3" s="3" customFormat="1" x14ac:dyDescent="0.3">
      <c r="A8" s="3" t="s">
        <v>22</v>
      </c>
    </row>
    <row r="10" spans="1:3" x14ac:dyDescent="0.3">
      <c r="A10" s="2" t="s">
        <v>2</v>
      </c>
      <c r="B10" s="2">
        <v>900</v>
      </c>
      <c r="C10" t="s">
        <v>23</v>
      </c>
    </row>
    <row r="11" spans="1:3" x14ac:dyDescent="0.3">
      <c r="A11" s="2" t="s">
        <v>20</v>
      </c>
      <c r="B11" s="2">
        <v>0</v>
      </c>
    </row>
    <row r="13" spans="1:3" s="3" customFormat="1" x14ac:dyDescent="0.3">
      <c r="A13" s="3" t="s">
        <v>29</v>
      </c>
    </row>
    <row r="14" spans="1:3" x14ac:dyDescent="0.3">
      <c r="A14" t="s">
        <v>30</v>
      </c>
      <c r="B14">
        <v>300</v>
      </c>
      <c r="C14" t="s">
        <v>31</v>
      </c>
    </row>
    <row r="16" spans="1:3" s="3" customFormat="1" x14ac:dyDescent="0.3">
      <c r="A16" s="3" t="s">
        <v>4</v>
      </c>
    </row>
    <row r="17" spans="1:3" ht="57.6" x14ac:dyDescent="0.3">
      <c r="A17" t="s">
        <v>26</v>
      </c>
      <c r="B17">
        <v>95.74</v>
      </c>
      <c r="C17" s="6" t="s">
        <v>27</v>
      </c>
    </row>
    <row r="18" spans="1:3" ht="57.6" x14ac:dyDescent="0.3">
      <c r="A18" t="s">
        <v>24</v>
      </c>
      <c r="B18">
        <v>52</v>
      </c>
      <c r="C18" s="6" t="s">
        <v>25</v>
      </c>
    </row>
    <row r="19" spans="1:3" x14ac:dyDescent="0.3">
      <c r="A19" s="2" t="s">
        <v>19</v>
      </c>
      <c r="B19" s="2">
        <f>SUM(B17:B18)</f>
        <v>147.74</v>
      </c>
    </row>
    <row r="20" spans="1:3" s="5" customFormat="1" x14ac:dyDescent="0.3"/>
    <row r="21" spans="1:3" s="3" customFormat="1" x14ac:dyDescent="0.3">
      <c r="A21" s="3" t="s">
        <v>35</v>
      </c>
    </row>
    <row r="22" spans="1:3" ht="28.8" x14ac:dyDescent="0.3">
      <c r="A22" t="s">
        <v>36</v>
      </c>
      <c r="B22">
        <v>191.5</v>
      </c>
      <c r="C22" s="8" t="s">
        <v>37</v>
      </c>
    </row>
    <row r="23" spans="1:3" x14ac:dyDescent="0.3">
      <c r="A23" s="2" t="s">
        <v>19</v>
      </c>
      <c r="B23" s="2">
        <f>SUM(B22:B22)</f>
        <v>191.5</v>
      </c>
    </row>
    <row r="25" spans="1:3" s="3" customFormat="1" x14ac:dyDescent="0.3">
      <c r="A25" s="3" t="s">
        <v>33</v>
      </c>
    </row>
    <row r="26" spans="1:3" x14ac:dyDescent="0.3">
      <c r="A26" t="s">
        <v>17</v>
      </c>
      <c r="B26">
        <f>B10-B11+B14-B19+B23</f>
        <v>1243.76</v>
      </c>
    </row>
    <row r="27" spans="1:3" x14ac:dyDescent="0.3">
      <c r="A27" t="s">
        <v>18</v>
      </c>
      <c r="B27">
        <f>B11-B10-B14+B19-B23</f>
        <v>-1243.76</v>
      </c>
    </row>
    <row r="28" spans="1:3" s="5" customFormat="1" x14ac:dyDescent="0.3"/>
    <row r="29" spans="1:3" s="3" customFormat="1" x14ac:dyDescent="0.3">
      <c r="A29" s="3" t="s">
        <v>28</v>
      </c>
    </row>
    <row r="30" spans="1:3" s="5" customFormat="1" x14ac:dyDescent="0.3"/>
    <row r="31" spans="1:3" x14ac:dyDescent="0.3">
      <c r="A31" t="s">
        <v>17</v>
      </c>
      <c r="B31">
        <v>4205.75</v>
      </c>
    </row>
    <row r="32" spans="1:3" x14ac:dyDescent="0.3">
      <c r="A32" t="s">
        <v>18</v>
      </c>
      <c r="B32">
        <v>-4205.75</v>
      </c>
    </row>
    <row r="34" spans="1:3" s="3" customFormat="1" x14ac:dyDescent="0.3">
      <c r="A34" s="3" t="s">
        <v>32</v>
      </c>
    </row>
    <row r="35" spans="1:3" s="5" customFormat="1" x14ac:dyDescent="0.3"/>
    <row r="36" spans="1:3" x14ac:dyDescent="0.3">
      <c r="A36" t="s">
        <v>17</v>
      </c>
      <c r="B36">
        <f>B31+B26</f>
        <v>5449.51</v>
      </c>
    </row>
    <row r="37" spans="1:3" x14ac:dyDescent="0.3">
      <c r="A37" t="s">
        <v>18</v>
      </c>
      <c r="B37">
        <f>B32+B27</f>
        <v>-5449.51</v>
      </c>
    </row>
    <row r="39" spans="1:3" x14ac:dyDescent="0.3">
      <c r="A39" t="s">
        <v>13</v>
      </c>
      <c r="B39" t="s">
        <v>14</v>
      </c>
    </row>
    <row r="40" spans="1:3" ht="31.95" customHeight="1" x14ac:dyDescent="0.3">
      <c r="B40" s="22" t="s">
        <v>34</v>
      </c>
      <c r="C40" s="23"/>
    </row>
  </sheetData>
  <mergeCells count="1">
    <mergeCell ref="B40:C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Views>
    <sheetView topLeftCell="A19" workbookViewId="0">
      <selection activeCell="C41" sqref="C41"/>
    </sheetView>
  </sheetViews>
  <sheetFormatPr defaultColWidth="8.77734375" defaultRowHeight="14.4" x14ac:dyDescent="0.3"/>
  <cols>
    <col min="1" max="1" width="28.33203125" bestFit="1" customWidth="1"/>
    <col min="2" max="2" width="10.6640625" bestFit="1" customWidth="1"/>
    <col min="3" max="3" width="59.33203125" bestFit="1" customWidth="1"/>
  </cols>
  <sheetData>
    <row r="1" spans="1:3" x14ac:dyDescent="0.3">
      <c r="A1" s="4">
        <v>42305</v>
      </c>
    </row>
    <row r="3" spans="1:3" s="3" customFormat="1" x14ac:dyDescent="0.3">
      <c r="A3" s="3" t="s">
        <v>21</v>
      </c>
    </row>
    <row r="4" spans="1:3" x14ac:dyDescent="0.3">
      <c r="B4" s="1">
        <v>41939</v>
      </c>
    </row>
    <row r="5" spans="1:3" x14ac:dyDescent="0.3">
      <c r="A5" t="s">
        <v>0</v>
      </c>
      <c r="B5">
        <v>1530.23</v>
      </c>
    </row>
    <row r="6" spans="1:3" x14ac:dyDescent="0.3">
      <c r="A6" t="s">
        <v>1</v>
      </c>
      <c r="B6">
        <v>-1530.23</v>
      </c>
    </row>
    <row r="8" spans="1:3" s="3" customFormat="1" x14ac:dyDescent="0.3">
      <c r="A8" s="3" t="s">
        <v>22</v>
      </c>
    </row>
    <row r="10" spans="1:3" x14ac:dyDescent="0.3">
      <c r="A10" s="2" t="s">
        <v>2</v>
      </c>
      <c r="B10" s="2">
        <v>0</v>
      </c>
      <c r="C10">
        <v>0</v>
      </c>
    </row>
    <row r="11" spans="1:3" x14ac:dyDescent="0.3">
      <c r="A11" s="2" t="s">
        <v>20</v>
      </c>
      <c r="B11" s="2">
        <v>0</v>
      </c>
    </row>
    <row r="13" spans="1:3" s="3" customFormat="1" x14ac:dyDescent="0.3">
      <c r="A13" s="3" t="s">
        <v>29</v>
      </c>
    </row>
    <row r="14" spans="1:3" x14ac:dyDescent="0.3">
      <c r="A14" t="s">
        <v>30</v>
      </c>
      <c r="B14">
        <v>0</v>
      </c>
    </row>
    <row r="16" spans="1:3" s="3" customFormat="1" x14ac:dyDescent="0.3">
      <c r="A16" s="3" t="s">
        <v>4</v>
      </c>
    </row>
    <row r="17" spans="1:3" ht="43.2" x14ac:dyDescent="0.3">
      <c r="A17" s="9" t="s">
        <v>38</v>
      </c>
      <c r="B17">
        <v>75</v>
      </c>
      <c r="C17" s="9"/>
    </row>
    <row r="18" spans="1:3" ht="57.6" x14ac:dyDescent="0.3">
      <c r="A18" s="9" t="s">
        <v>39</v>
      </c>
      <c r="B18">
        <v>25</v>
      </c>
      <c r="C18" s="9" t="s">
        <v>25</v>
      </c>
    </row>
    <row r="19" spans="1:3" x14ac:dyDescent="0.3">
      <c r="A19" s="2" t="s">
        <v>19</v>
      </c>
      <c r="B19" s="2">
        <f>SUM(B17:B18)</f>
        <v>100</v>
      </c>
    </row>
    <row r="20" spans="1:3" s="5" customFormat="1" x14ac:dyDescent="0.3"/>
    <row r="21" spans="1:3" s="3" customFormat="1" x14ac:dyDescent="0.3">
      <c r="A21" s="3" t="s">
        <v>35</v>
      </c>
    </row>
    <row r="22" spans="1:3" ht="28.8" x14ac:dyDescent="0.3">
      <c r="A22" t="s">
        <v>40</v>
      </c>
      <c r="B22">
        <v>120</v>
      </c>
      <c r="C22" s="9" t="s">
        <v>41</v>
      </c>
    </row>
    <row r="23" spans="1:3" x14ac:dyDescent="0.3">
      <c r="A23" s="2" t="s">
        <v>19</v>
      </c>
      <c r="B23" s="2">
        <f>SUM(B22:B22)</f>
        <v>120</v>
      </c>
    </row>
    <row r="25" spans="1:3" s="3" customFormat="1" x14ac:dyDescent="0.3">
      <c r="A25" s="3" t="s">
        <v>33</v>
      </c>
    </row>
    <row r="26" spans="1:3" x14ac:dyDescent="0.3">
      <c r="A26" t="s">
        <v>17</v>
      </c>
      <c r="B26">
        <f>B10-B11+B14-B19+B23</f>
        <v>20</v>
      </c>
    </row>
    <row r="27" spans="1:3" x14ac:dyDescent="0.3">
      <c r="A27" t="s">
        <v>18</v>
      </c>
      <c r="B27">
        <f>B11-B10-B14+B19-B23</f>
        <v>-20</v>
      </c>
    </row>
    <row r="28" spans="1:3" s="5" customFormat="1" x14ac:dyDescent="0.3"/>
    <row r="29" spans="1:3" s="3" customFormat="1" x14ac:dyDescent="0.3">
      <c r="A29" s="3" t="s">
        <v>44</v>
      </c>
    </row>
    <row r="30" spans="1:3" s="5" customFormat="1" x14ac:dyDescent="0.3"/>
    <row r="31" spans="1:3" x14ac:dyDescent="0.3">
      <c r="A31" t="s">
        <v>17</v>
      </c>
      <c r="B31">
        <v>5449.51</v>
      </c>
    </row>
    <row r="32" spans="1:3" x14ac:dyDescent="0.3">
      <c r="A32" t="s">
        <v>18</v>
      </c>
      <c r="B32">
        <v>-5449.51</v>
      </c>
    </row>
    <row r="34" spans="1:3" s="3" customFormat="1" x14ac:dyDescent="0.3">
      <c r="A34" s="3" t="s">
        <v>32</v>
      </c>
    </row>
    <row r="35" spans="1:3" s="5" customFormat="1" x14ac:dyDescent="0.3"/>
    <row r="36" spans="1:3" x14ac:dyDescent="0.3">
      <c r="A36" t="s">
        <v>17</v>
      </c>
      <c r="B36">
        <f>B31+B26</f>
        <v>5469.51</v>
      </c>
    </row>
    <row r="37" spans="1:3" x14ac:dyDescent="0.3">
      <c r="A37" t="s">
        <v>18</v>
      </c>
      <c r="B37">
        <f>B32+B27</f>
        <v>-5469.51</v>
      </c>
    </row>
    <row r="39" spans="1:3" x14ac:dyDescent="0.3">
      <c r="A39" t="s">
        <v>13</v>
      </c>
      <c r="B39" t="s">
        <v>14</v>
      </c>
    </row>
    <row r="40" spans="1:3" ht="31.95" customHeight="1" x14ac:dyDescent="0.3">
      <c r="B40" s="22" t="s">
        <v>34</v>
      </c>
      <c r="C40" s="23"/>
    </row>
    <row r="42" spans="1:3" x14ac:dyDescent="0.3">
      <c r="A42" s="11" t="s">
        <v>42</v>
      </c>
      <c r="B42" s="11"/>
    </row>
    <row r="43" spans="1:3" x14ac:dyDescent="0.3">
      <c r="A43" s="12"/>
      <c r="B43" s="13">
        <v>42305</v>
      </c>
    </row>
    <row r="44" spans="1:3" x14ac:dyDescent="0.3">
      <c r="A44" s="12" t="s">
        <v>0</v>
      </c>
      <c r="B44" s="12">
        <v>5469.51</v>
      </c>
    </row>
    <row r="45" spans="1:3" x14ac:dyDescent="0.3">
      <c r="A45" s="12" t="s">
        <v>1</v>
      </c>
      <c r="B45" s="12">
        <v>-5469.51</v>
      </c>
    </row>
  </sheetData>
  <mergeCells count="1">
    <mergeCell ref="B40:C4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topLeftCell="A4" workbookViewId="0">
      <selection activeCell="B4" sqref="B4"/>
    </sheetView>
  </sheetViews>
  <sheetFormatPr defaultColWidth="8.77734375" defaultRowHeight="14.4" x14ac:dyDescent="0.3"/>
  <cols>
    <col min="1" max="1" width="40.109375" customWidth="1"/>
    <col min="2" max="2" width="17.77734375" customWidth="1"/>
    <col min="3" max="3" width="88.33203125" bestFit="1" customWidth="1"/>
  </cols>
  <sheetData>
    <row r="1" spans="1:3" x14ac:dyDescent="0.3">
      <c r="A1" s="4">
        <v>42365</v>
      </c>
    </row>
    <row r="3" spans="1:3" s="3" customFormat="1" x14ac:dyDescent="0.3">
      <c r="A3" s="3" t="s">
        <v>21</v>
      </c>
    </row>
    <row r="4" spans="1:3" x14ac:dyDescent="0.3">
      <c r="B4" s="1">
        <v>42305</v>
      </c>
    </row>
    <row r="5" spans="1:3" x14ac:dyDescent="0.3">
      <c r="A5" t="s">
        <v>0</v>
      </c>
      <c r="B5">
        <v>5469.51</v>
      </c>
    </row>
    <row r="6" spans="1:3" x14ac:dyDescent="0.3">
      <c r="A6" t="s">
        <v>1</v>
      </c>
      <c r="B6">
        <v>-5469.51</v>
      </c>
    </row>
    <row r="8" spans="1:3" s="3" customFormat="1" x14ac:dyDescent="0.3">
      <c r="A8" s="3" t="s">
        <v>22</v>
      </c>
    </row>
    <row r="10" spans="1:3" x14ac:dyDescent="0.3">
      <c r="A10" s="2" t="s">
        <v>2</v>
      </c>
      <c r="B10" s="2">
        <v>0</v>
      </c>
      <c r="C10">
        <v>0</v>
      </c>
    </row>
    <row r="11" spans="1:3" x14ac:dyDescent="0.3">
      <c r="A11" s="2" t="s">
        <v>20</v>
      </c>
      <c r="B11" s="2">
        <v>0</v>
      </c>
    </row>
    <row r="13" spans="1:3" s="3" customFormat="1" x14ac:dyDescent="0.3">
      <c r="A13" s="3" t="s">
        <v>29</v>
      </c>
    </row>
    <row r="14" spans="1:3" x14ac:dyDescent="0.3">
      <c r="A14" t="s">
        <v>30</v>
      </c>
      <c r="B14">
        <v>0</v>
      </c>
    </row>
    <row r="16" spans="1:3" s="3" customFormat="1" x14ac:dyDescent="0.3">
      <c r="A16" s="3" t="s">
        <v>4</v>
      </c>
    </row>
    <row r="17" spans="1:3" x14ac:dyDescent="0.3">
      <c r="A17" s="10" t="s">
        <v>43</v>
      </c>
      <c r="B17">
        <v>120</v>
      </c>
      <c r="C17" s="10"/>
    </row>
    <row r="18" spans="1:3" x14ac:dyDescent="0.3">
      <c r="A18" s="2" t="s">
        <v>19</v>
      </c>
      <c r="B18" s="2">
        <f>SUM(B17:B17)</f>
        <v>120</v>
      </c>
    </row>
    <row r="19" spans="1:3" s="5" customFormat="1" x14ac:dyDescent="0.3"/>
    <row r="20" spans="1:3" s="3" customFormat="1" x14ac:dyDescent="0.3">
      <c r="A20" s="3" t="s">
        <v>35</v>
      </c>
    </row>
    <row r="21" spans="1:3" x14ac:dyDescent="0.3">
      <c r="A21" t="s">
        <v>50</v>
      </c>
      <c r="B21">
        <v>130</v>
      </c>
      <c r="C21" s="10" t="s">
        <v>51</v>
      </c>
    </row>
    <row r="22" spans="1:3" x14ac:dyDescent="0.3">
      <c r="A22" s="2" t="s">
        <v>19</v>
      </c>
      <c r="B22" s="2">
        <f>SUM(B21:B21)</f>
        <v>130</v>
      </c>
    </row>
    <row r="24" spans="1:3" s="3" customFormat="1" x14ac:dyDescent="0.3">
      <c r="A24" s="3" t="s">
        <v>33</v>
      </c>
    </row>
    <row r="25" spans="1:3" x14ac:dyDescent="0.3">
      <c r="A25" t="s">
        <v>17</v>
      </c>
      <c r="B25">
        <f>B10-B11+B14-B18+B22</f>
        <v>10</v>
      </c>
    </row>
    <row r="26" spans="1:3" x14ac:dyDescent="0.3">
      <c r="A26" t="s">
        <v>18</v>
      </c>
      <c r="B26">
        <f>B11-B10-B14+B18-B22</f>
        <v>-10</v>
      </c>
    </row>
    <row r="27" spans="1:3" s="5" customFormat="1" x14ac:dyDescent="0.3"/>
    <row r="28" spans="1:3" s="3" customFormat="1" x14ac:dyDescent="0.3">
      <c r="A28" s="3" t="s">
        <v>45</v>
      </c>
    </row>
    <row r="29" spans="1:3" s="5" customFormat="1" x14ac:dyDescent="0.3"/>
    <row r="30" spans="1:3" x14ac:dyDescent="0.3">
      <c r="A30" t="s">
        <v>17</v>
      </c>
      <c r="B30">
        <v>0</v>
      </c>
    </row>
    <row r="31" spans="1:3" x14ac:dyDescent="0.3">
      <c r="A31" t="s">
        <v>18</v>
      </c>
      <c r="B31">
        <v>0</v>
      </c>
    </row>
    <row r="33" spans="1:3" s="3" customFormat="1" x14ac:dyDescent="0.3">
      <c r="A33" s="3" t="s">
        <v>32</v>
      </c>
    </row>
    <row r="34" spans="1:3" s="5" customFormat="1" x14ac:dyDescent="0.3"/>
    <row r="35" spans="1:3" x14ac:dyDescent="0.3">
      <c r="A35" t="s">
        <v>17</v>
      </c>
      <c r="B35">
        <f>B30+B25</f>
        <v>10</v>
      </c>
    </row>
    <row r="36" spans="1:3" x14ac:dyDescent="0.3">
      <c r="A36" t="s">
        <v>18</v>
      </c>
      <c r="B36">
        <f>B31+B26</f>
        <v>-10</v>
      </c>
    </row>
    <row r="39" spans="1:3" ht="31.95" customHeight="1" x14ac:dyDescent="0.3">
      <c r="B39" s="22"/>
      <c r="C39" s="23"/>
    </row>
    <row r="40" spans="1:3" x14ac:dyDescent="0.3">
      <c r="A40" t="s">
        <v>46</v>
      </c>
      <c r="B40">
        <v>300</v>
      </c>
      <c r="C40" t="s">
        <v>47</v>
      </c>
    </row>
    <row r="41" spans="1:3" ht="43.2" x14ac:dyDescent="0.3">
      <c r="A41" s="10" t="s">
        <v>48</v>
      </c>
      <c r="B41">
        <v>2700</v>
      </c>
      <c r="C41" t="s">
        <v>49</v>
      </c>
    </row>
  </sheetData>
  <mergeCells count="1">
    <mergeCell ref="B39:C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topLeftCell="A21" workbookViewId="0">
      <selection activeCell="B43" sqref="B43"/>
    </sheetView>
  </sheetViews>
  <sheetFormatPr defaultColWidth="8.77734375" defaultRowHeight="14.4" x14ac:dyDescent="0.3"/>
  <cols>
    <col min="1" max="1" width="40.109375" customWidth="1"/>
    <col min="2" max="2" width="17.77734375" customWidth="1"/>
    <col min="3" max="3" width="88.33203125" bestFit="1" customWidth="1"/>
  </cols>
  <sheetData>
    <row r="1" spans="1:3" x14ac:dyDescent="0.3">
      <c r="A1" s="4">
        <v>42681</v>
      </c>
    </row>
    <row r="3" spans="1:3" s="3" customFormat="1" x14ac:dyDescent="0.3">
      <c r="A3" s="3" t="s">
        <v>21</v>
      </c>
    </row>
    <row r="4" spans="1:3" x14ac:dyDescent="0.3">
      <c r="B4" s="1">
        <v>42681</v>
      </c>
      <c r="C4" t="s">
        <v>63</v>
      </c>
    </row>
    <row r="5" spans="1:3" x14ac:dyDescent="0.3">
      <c r="A5" t="s">
        <v>0</v>
      </c>
      <c r="B5">
        <v>-203.28</v>
      </c>
    </row>
    <row r="6" spans="1:3" x14ac:dyDescent="0.3">
      <c r="A6" t="s">
        <v>1</v>
      </c>
      <c r="B6">
        <v>203.28</v>
      </c>
    </row>
    <row r="8" spans="1:3" s="3" customFormat="1" x14ac:dyDescent="0.3">
      <c r="A8" s="3" t="s">
        <v>22</v>
      </c>
    </row>
    <row r="10" spans="1:3" x14ac:dyDescent="0.3">
      <c r="A10" s="2" t="s">
        <v>2</v>
      </c>
      <c r="B10" s="2">
        <v>0</v>
      </c>
    </row>
    <row r="11" spans="1:3" x14ac:dyDescent="0.3">
      <c r="A11" s="2" t="s">
        <v>20</v>
      </c>
      <c r="B11" s="2">
        <v>0</v>
      </c>
    </row>
    <row r="13" spans="1:3" s="3" customFormat="1" x14ac:dyDescent="0.3">
      <c r="A13" s="3" t="s">
        <v>29</v>
      </c>
    </row>
    <row r="14" spans="1:3" x14ac:dyDescent="0.3">
      <c r="A14" t="s">
        <v>30</v>
      </c>
      <c r="B14">
        <v>400</v>
      </c>
    </row>
    <row r="17" spans="1:3" s="3" customFormat="1" x14ac:dyDescent="0.3">
      <c r="A17" s="3" t="s">
        <v>4</v>
      </c>
    </row>
    <row r="18" spans="1:3" ht="43.2" x14ac:dyDescent="0.3">
      <c r="A18" s="14" t="s">
        <v>56</v>
      </c>
      <c r="B18">
        <v>115</v>
      </c>
      <c r="C18" s="14" t="s">
        <v>61</v>
      </c>
    </row>
    <row r="19" spans="1:3" ht="43.2" x14ac:dyDescent="0.3">
      <c r="A19" s="14" t="s">
        <v>57</v>
      </c>
      <c r="B19">
        <v>229.03</v>
      </c>
      <c r="C19" s="14" t="s">
        <v>58</v>
      </c>
    </row>
    <row r="20" spans="1:3" ht="100.8" x14ac:dyDescent="0.3">
      <c r="A20" s="14" t="s">
        <v>59</v>
      </c>
      <c r="B20">
        <v>269.25</v>
      </c>
      <c r="C20" s="14" t="s">
        <v>60</v>
      </c>
    </row>
    <row r="21" spans="1:3" x14ac:dyDescent="0.3">
      <c r="A21" s="2" t="s">
        <v>19</v>
      </c>
      <c r="B21" s="2">
        <f>SUM(B18:B20)</f>
        <v>613.28</v>
      </c>
    </row>
    <row r="22" spans="1:3" s="5" customFormat="1" x14ac:dyDescent="0.3"/>
    <row r="23" spans="1:3" s="3" customFormat="1" x14ac:dyDescent="0.3">
      <c r="A23" s="3" t="s">
        <v>35</v>
      </c>
    </row>
    <row r="24" spans="1:3" x14ac:dyDescent="0.3">
      <c r="C24" s="14"/>
    </row>
    <row r="25" spans="1:3" x14ac:dyDescent="0.3">
      <c r="A25" s="2" t="s">
        <v>19</v>
      </c>
      <c r="B25" s="2">
        <f>SUM(B24:B24)</f>
        <v>0</v>
      </c>
    </row>
    <row r="27" spans="1:3" s="3" customFormat="1" x14ac:dyDescent="0.3">
      <c r="A27" s="3" t="s">
        <v>33</v>
      </c>
    </row>
    <row r="28" spans="1:3" x14ac:dyDescent="0.3">
      <c r="A28" t="s">
        <v>17</v>
      </c>
      <c r="B28">
        <f>B10-B11+B14-B21+B25</f>
        <v>-213.27999999999997</v>
      </c>
    </row>
    <row r="29" spans="1:3" x14ac:dyDescent="0.3">
      <c r="A29" t="s">
        <v>18</v>
      </c>
      <c r="B29">
        <f>B11-B10-B14+B21-B25</f>
        <v>213.27999999999997</v>
      </c>
    </row>
    <row r="30" spans="1:3" s="5" customFormat="1" x14ac:dyDescent="0.3"/>
    <row r="31" spans="1:3" s="3" customFormat="1" x14ac:dyDescent="0.3">
      <c r="A31" s="3" t="s">
        <v>62</v>
      </c>
    </row>
    <row r="32" spans="1:3" s="5" customFormat="1" x14ac:dyDescent="0.3"/>
    <row r="33" spans="1:3" x14ac:dyDescent="0.3">
      <c r="A33" t="s">
        <v>17</v>
      </c>
      <c r="B33">
        <v>10</v>
      </c>
      <c r="C33" t="s">
        <v>53</v>
      </c>
    </row>
    <row r="34" spans="1:3" x14ac:dyDescent="0.3">
      <c r="A34" t="s">
        <v>18</v>
      </c>
      <c r="B34">
        <v>-10</v>
      </c>
      <c r="C34" t="s">
        <v>53</v>
      </c>
    </row>
    <row r="36" spans="1:3" s="3" customFormat="1" x14ac:dyDescent="0.3">
      <c r="A36" s="3" t="s">
        <v>32</v>
      </c>
    </row>
    <row r="37" spans="1:3" s="5" customFormat="1" x14ac:dyDescent="0.3"/>
    <row r="38" spans="1:3" x14ac:dyDescent="0.3">
      <c r="A38" t="s">
        <v>17</v>
      </c>
      <c r="B38">
        <f>B33+B28</f>
        <v>-203.27999999999997</v>
      </c>
      <c r="C38" t="s">
        <v>64</v>
      </c>
    </row>
    <row r="39" spans="1:3" x14ac:dyDescent="0.3">
      <c r="A39" t="s">
        <v>18</v>
      </c>
      <c r="B39">
        <f>B34+B29</f>
        <v>203.27999999999997</v>
      </c>
      <c r="C39" t="s">
        <v>64</v>
      </c>
    </row>
    <row r="42" spans="1:3" ht="31.95" customHeight="1" x14ac:dyDescent="0.3">
      <c r="B42" s="22"/>
      <c r="C42" s="23"/>
    </row>
    <row r="43" spans="1:3" x14ac:dyDescent="0.3">
      <c r="A43" t="s">
        <v>46</v>
      </c>
      <c r="B43">
        <v>400</v>
      </c>
      <c r="C43" t="s">
        <v>52</v>
      </c>
    </row>
    <row r="44" spans="1:3" ht="43.2" x14ac:dyDescent="0.3">
      <c r="A44" s="14" t="s">
        <v>54</v>
      </c>
      <c r="B44">
        <v>1800</v>
      </c>
      <c r="C44" s="14" t="s">
        <v>55</v>
      </c>
    </row>
  </sheetData>
  <mergeCells count="1">
    <mergeCell ref="B42:C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workbookViewId="0">
      <selection activeCell="B11" sqref="B11"/>
    </sheetView>
  </sheetViews>
  <sheetFormatPr defaultColWidth="8.77734375" defaultRowHeight="14.4" x14ac:dyDescent="0.3"/>
  <cols>
    <col min="1" max="1" width="79.33203125" customWidth="1"/>
    <col min="2" max="2" width="17.77734375" customWidth="1"/>
    <col min="3" max="3" width="88.33203125" bestFit="1" customWidth="1"/>
  </cols>
  <sheetData>
    <row r="1" spans="1:3" x14ac:dyDescent="0.3">
      <c r="A1" s="4" t="s">
        <v>65</v>
      </c>
    </row>
    <row r="4" spans="1:3" s="3" customFormat="1" x14ac:dyDescent="0.3">
      <c r="A4" s="3" t="s">
        <v>66</v>
      </c>
    </row>
    <row r="5" spans="1:3" x14ac:dyDescent="0.3">
      <c r="A5" t="s">
        <v>67</v>
      </c>
      <c r="B5">
        <v>400</v>
      </c>
    </row>
    <row r="6" spans="1:3" x14ac:dyDescent="0.3">
      <c r="A6" t="s">
        <v>68</v>
      </c>
      <c r="B6">
        <v>200</v>
      </c>
    </row>
    <row r="7" spans="1:3" x14ac:dyDescent="0.3">
      <c r="A7" s="2" t="s">
        <v>69</v>
      </c>
      <c r="B7" s="2">
        <v>200</v>
      </c>
    </row>
    <row r="9" spans="1:3" s="3" customFormat="1" x14ac:dyDescent="0.3">
      <c r="A9" s="3" t="s">
        <v>70</v>
      </c>
    </row>
    <row r="10" spans="1:3" ht="28.8" x14ac:dyDescent="0.3">
      <c r="A10" s="15" t="s">
        <v>71</v>
      </c>
      <c r="B10">
        <v>12</v>
      </c>
      <c r="C10" s="15"/>
    </row>
    <row r="11" spans="1:3" x14ac:dyDescent="0.3">
      <c r="A11" s="15" t="s">
        <v>72</v>
      </c>
      <c r="B11" s="3">
        <f>B10*550</f>
        <v>6600</v>
      </c>
      <c r="C11" s="15"/>
    </row>
    <row r="12" spans="1:3" x14ac:dyDescent="0.3">
      <c r="A12" s="15" t="s">
        <v>73</v>
      </c>
      <c r="B12">
        <v>18199</v>
      </c>
      <c r="C12" s="15"/>
    </row>
    <row r="13" spans="1:3" x14ac:dyDescent="0.3">
      <c r="A13" s="15" t="s">
        <v>74</v>
      </c>
      <c r="B13">
        <v>917</v>
      </c>
      <c r="C13" s="15"/>
    </row>
    <row r="14" spans="1:3" x14ac:dyDescent="0.3">
      <c r="A14" s="15" t="s">
        <v>76</v>
      </c>
      <c r="B14">
        <v>2485.83</v>
      </c>
      <c r="C14" s="15"/>
    </row>
    <row r="15" spans="1:3" x14ac:dyDescent="0.3">
      <c r="A15" s="15" t="s">
        <v>75</v>
      </c>
      <c r="B15">
        <f>SUM(B12:B14)</f>
        <v>21601.83</v>
      </c>
      <c r="C15" s="15"/>
    </row>
    <row r="16" spans="1:3" x14ac:dyDescent="0.3">
      <c r="A16" s="15" t="s">
        <v>77</v>
      </c>
      <c r="B16" s="3">
        <f>(B15*10)/100</f>
        <v>2160.183</v>
      </c>
      <c r="C16" s="15"/>
    </row>
    <row r="17" spans="1:3" x14ac:dyDescent="0.3">
      <c r="A17" s="15" t="s">
        <v>78</v>
      </c>
      <c r="B17">
        <v>1</v>
      </c>
      <c r="C17" s="15"/>
    </row>
    <row r="18" spans="1:3" x14ac:dyDescent="0.3">
      <c r="A18" s="15" t="s">
        <v>79</v>
      </c>
      <c r="B18" s="3">
        <f>B17*550</f>
        <v>550</v>
      </c>
      <c r="C18" s="15"/>
    </row>
    <row r="19" spans="1:3" x14ac:dyDescent="0.3">
      <c r="A19" s="15" t="s">
        <v>82</v>
      </c>
      <c r="B19" s="3">
        <f>B11+B16+B18</f>
        <v>9310.1830000000009</v>
      </c>
      <c r="C19" s="15"/>
    </row>
    <row r="20" spans="1:3" x14ac:dyDescent="0.3">
      <c r="A20" s="15" t="s">
        <v>80</v>
      </c>
      <c r="B20" s="3">
        <v>6600</v>
      </c>
      <c r="C20" s="15" t="s">
        <v>81</v>
      </c>
    </row>
    <row r="21" spans="1:3" x14ac:dyDescent="0.3">
      <c r="A21" s="2" t="s">
        <v>83</v>
      </c>
      <c r="B21" s="2">
        <f>B19-B20</f>
        <v>2710.1830000000009</v>
      </c>
    </row>
    <row r="22" spans="1:3" s="5" customFormat="1" x14ac:dyDescent="0.3"/>
    <row r="24" spans="1:3" x14ac:dyDescent="0.3">
      <c r="A24" s="4"/>
    </row>
    <row r="25" spans="1:3" ht="31.95" customHeight="1" x14ac:dyDescent="0.3">
      <c r="B25" s="22"/>
      <c r="C25" s="23"/>
    </row>
    <row r="27" spans="1:3" x14ac:dyDescent="0.3">
      <c r="A27" s="15"/>
      <c r="C27" s="15"/>
    </row>
  </sheetData>
  <mergeCells count="1">
    <mergeCell ref="B25: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Views>
    <sheetView topLeftCell="A43" workbookViewId="0">
      <selection activeCell="C47" sqref="C47"/>
    </sheetView>
  </sheetViews>
  <sheetFormatPr defaultColWidth="8.77734375" defaultRowHeight="14.4" x14ac:dyDescent="0.3"/>
  <cols>
    <col min="1" max="1" width="79.33203125" customWidth="1"/>
    <col min="2" max="2" width="17.77734375" customWidth="1"/>
    <col min="3" max="3" width="88.33203125" bestFit="1" customWidth="1"/>
  </cols>
  <sheetData>
    <row r="1" spans="1:3" x14ac:dyDescent="0.3">
      <c r="A1" s="4" t="s">
        <v>84</v>
      </c>
    </row>
    <row r="4" spans="1:3" s="3" customFormat="1" x14ac:dyDescent="0.3">
      <c r="A4" s="3" t="s">
        <v>66</v>
      </c>
    </row>
    <row r="5" spans="1:3" x14ac:dyDescent="0.3">
      <c r="A5" t="s">
        <v>67</v>
      </c>
      <c r="B5">
        <v>400</v>
      </c>
    </row>
    <row r="6" spans="1:3" x14ac:dyDescent="0.3">
      <c r="A6" t="s">
        <v>68</v>
      </c>
      <c r="B6">
        <v>200</v>
      </c>
    </row>
    <row r="7" spans="1:3" x14ac:dyDescent="0.3">
      <c r="A7" t="s">
        <v>94</v>
      </c>
      <c r="B7">
        <v>200</v>
      </c>
    </row>
    <row r="8" spans="1:3" x14ac:dyDescent="0.3">
      <c r="A8" s="2" t="s">
        <v>69</v>
      </c>
      <c r="B8" s="2">
        <f>B5-B6+B7</f>
        <v>400</v>
      </c>
    </row>
    <row r="10" spans="1:3" s="3" customFormat="1" x14ac:dyDescent="0.3">
      <c r="A10" s="3" t="s">
        <v>70</v>
      </c>
    </row>
    <row r="11" spans="1:3" x14ac:dyDescent="0.3">
      <c r="A11" s="16" t="s">
        <v>85</v>
      </c>
      <c r="B11" s="3">
        <v>2710.183</v>
      </c>
      <c r="C11" s="16"/>
    </row>
    <row r="12" spans="1:3" x14ac:dyDescent="0.3">
      <c r="A12" s="16" t="s">
        <v>86</v>
      </c>
      <c r="B12" s="5">
        <f>7*20</f>
        <v>140</v>
      </c>
      <c r="C12" s="16"/>
    </row>
    <row r="13" spans="1:3" x14ac:dyDescent="0.3">
      <c r="A13" s="17" t="s">
        <v>95</v>
      </c>
      <c r="B13" s="5">
        <f>B8</f>
        <v>400</v>
      </c>
      <c r="C13" s="17"/>
    </row>
    <row r="14" spans="1:3" x14ac:dyDescent="0.3">
      <c r="A14" s="16" t="s">
        <v>87</v>
      </c>
      <c r="B14">
        <v>1</v>
      </c>
      <c r="C14" s="16"/>
    </row>
    <row r="15" spans="1:3" x14ac:dyDescent="0.3">
      <c r="A15" s="16" t="s">
        <v>88</v>
      </c>
      <c r="B15" s="3">
        <f>B14*570</f>
        <v>570</v>
      </c>
      <c r="C15" s="16"/>
    </row>
    <row r="16" spans="1:3" x14ac:dyDescent="0.3">
      <c r="A16" s="16" t="s">
        <v>82</v>
      </c>
      <c r="B16" s="3">
        <f>B11+B12+B13+B15</f>
        <v>3820.183</v>
      </c>
      <c r="C16" s="16"/>
    </row>
    <row r="17" spans="1:3" x14ac:dyDescent="0.3">
      <c r="A17" s="16" t="s">
        <v>89</v>
      </c>
      <c r="B17" s="3">
        <v>0</v>
      </c>
      <c r="C17" s="16" t="s">
        <v>81</v>
      </c>
    </row>
    <row r="18" spans="1:3" x14ac:dyDescent="0.3">
      <c r="A18" s="16" t="s">
        <v>91</v>
      </c>
      <c r="B18" s="5">
        <v>10</v>
      </c>
      <c r="C18" s="16"/>
    </row>
    <row r="19" spans="1:3" x14ac:dyDescent="0.3">
      <c r="A19" s="16" t="s">
        <v>92</v>
      </c>
      <c r="B19" s="5">
        <f>B18*570</f>
        <v>5700</v>
      </c>
      <c r="C19" s="16"/>
    </row>
    <row r="20" spans="1:3" x14ac:dyDescent="0.3">
      <c r="A20" s="2" t="s">
        <v>90</v>
      </c>
      <c r="B20" s="2">
        <f>B16-B17</f>
        <v>3820.183</v>
      </c>
    </row>
    <row r="21" spans="1:3" s="5" customFormat="1" x14ac:dyDescent="0.3">
      <c r="A21" s="18" t="s">
        <v>93</v>
      </c>
      <c r="B21" s="19">
        <f>B19+B20</f>
        <v>9520.1830000000009</v>
      </c>
      <c r="C21" s="5" t="s">
        <v>96</v>
      </c>
    </row>
    <row r="23" spans="1:3" x14ac:dyDescent="0.3">
      <c r="A23" s="4" t="s">
        <v>97</v>
      </c>
    </row>
    <row r="24" spans="1:3" ht="31.95" customHeight="1" x14ac:dyDescent="0.3"/>
    <row r="26" spans="1:3" x14ac:dyDescent="0.3">
      <c r="A26" s="3" t="s">
        <v>66</v>
      </c>
      <c r="B26" s="3"/>
      <c r="C26" s="3"/>
    </row>
    <row r="27" spans="1:3" x14ac:dyDescent="0.3">
      <c r="A27" t="s">
        <v>67</v>
      </c>
      <c r="B27">
        <v>400</v>
      </c>
    </row>
    <row r="28" spans="1:3" x14ac:dyDescent="0.3">
      <c r="A28" t="s">
        <v>68</v>
      </c>
      <c r="B28" s="3">
        <v>600</v>
      </c>
    </row>
    <row r="29" spans="1:3" x14ac:dyDescent="0.3">
      <c r="A29" t="s">
        <v>94</v>
      </c>
      <c r="B29">
        <v>200</v>
      </c>
    </row>
    <row r="30" spans="1:3" x14ac:dyDescent="0.3">
      <c r="A30" s="2" t="s">
        <v>69</v>
      </c>
      <c r="B30" s="2">
        <f>B27-B28+B29</f>
        <v>0</v>
      </c>
    </row>
    <row r="32" spans="1:3" x14ac:dyDescent="0.3">
      <c r="A32" s="3" t="s">
        <v>70</v>
      </c>
      <c r="B32" s="3"/>
      <c r="C32" s="3"/>
    </row>
    <row r="33" spans="1:3" x14ac:dyDescent="0.3">
      <c r="A33" s="20" t="s">
        <v>85</v>
      </c>
      <c r="B33" s="3">
        <v>3820.183</v>
      </c>
      <c r="C33" s="20"/>
    </row>
    <row r="34" spans="1:3" x14ac:dyDescent="0.3">
      <c r="A34" s="20" t="s">
        <v>95</v>
      </c>
      <c r="B34" s="5">
        <f>B30</f>
        <v>0</v>
      </c>
      <c r="C34" s="20"/>
    </row>
    <row r="35" spans="1:3" x14ac:dyDescent="0.3">
      <c r="A35" s="20" t="s">
        <v>98</v>
      </c>
      <c r="B35">
        <v>3</v>
      </c>
      <c r="C35" s="20"/>
    </row>
    <row r="36" spans="1:3" x14ac:dyDescent="0.3">
      <c r="A36" s="20" t="s">
        <v>99</v>
      </c>
      <c r="B36" s="3">
        <f>B35*570</f>
        <v>1710</v>
      </c>
      <c r="C36" s="20"/>
    </row>
    <row r="37" spans="1:3" x14ac:dyDescent="0.3">
      <c r="A37" s="20" t="s">
        <v>82</v>
      </c>
      <c r="B37" s="3">
        <f>B33+B34+B36</f>
        <v>5530.183</v>
      </c>
      <c r="C37" s="20"/>
    </row>
    <row r="38" spans="1:3" x14ac:dyDescent="0.3">
      <c r="A38" s="20" t="s">
        <v>100</v>
      </c>
      <c r="B38" s="3">
        <v>400</v>
      </c>
      <c r="C38" s="20" t="s">
        <v>102</v>
      </c>
    </row>
    <row r="39" spans="1:3" x14ac:dyDescent="0.3">
      <c r="A39" s="20" t="s">
        <v>91</v>
      </c>
      <c r="B39" s="5">
        <v>7</v>
      </c>
      <c r="C39" s="20"/>
    </row>
    <row r="40" spans="1:3" x14ac:dyDescent="0.3">
      <c r="A40" s="20" t="s">
        <v>92</v>
      </c>
      <c r="B40" s="5">
        <f>B39*570</f>
        <v>3990</v>
      </c>
      <c r="C40" s="20"/>
    </row>
    <row r="41" spans="1:3" x14ac:dyDescent="0.3">
      <c r="A41" s="2" t="s">
        <v>101</v>
      </c>
      <c r="B41" s="2">
        <f>B37-B38</f>
        <v>5130.183</v>
      </c>
    </row>
    <row r="42" spans="1:3" x14ac:dyDescent="0.3">
      <c r="A42" s="18" t="s">
        <v>104</v>
      </c>
      <c r="B42" s="19">
        <f>B40+B41</f>
        <v>9120.1830000000009</v>
      </c>
    </row>
    <row r="43" spans="1:3" x14ac:dyDescent="0.3">
      <c r="A43" s="18" t="s">
        <v>105</v>
      </c>
      <c r="B43" s="19">
        <v>9150</v>
      </c>
      <c r="C43" s="5" t="s">
        <v>103</v>
      </c>
    </row>
    <row r="45" spans="1:3" x14ac:dyDescent="0.3">
      <c r="A45" s="4" t="s">
        <v>106</v>
      </c>
    </row>
    <row r="48" spans="1:3" x14ac:dyDescent="0.3">
      <c r="A48" s="3" t="s">
        <v>66</v>
      </c>
      <c r="B48" s="3"/>
    </row>
    <row r="49" spans="1:3" x14ac:dyDescent="0.3">
      <c r="A49" t="s">
        <v>107</v>
      </c>
      <c r="B49">
        <v>600</v>
      </c>
    </row>
    <row r="50" spans="1:3" x14ac:dyDescent="0.3">
      <c r="A50" t="s">
        <v>68</v>
      </c>
      <c r="B50" s="3">
        <v>0</v>
      </c>
    </row>
    <row r="51" spans="1:3" x14ac:dyDescent="0.3">
      <c r="A51" t="s">
        <v>94</v>
      </c>
      <c r="B51">
        <v>0</v>
      </c>
    </row>
    <row r="52" spans="1:3" x14ac:dyDescent="0.3">
      <c r="A52" s="2" t="s">
        <v>69</v>
      </c>
      <c r="B52" s="2">
        <f>B49-B50+B51</f>
        <v>600</v>
      </c>
    </row>
    <row r="54" spans="1:3" x14ac:dyDescent="0.3">
      <c r="A54" s="3" t="s">
        <v>70</v>
      </c>
      <c r="B54" s="3"/>
    </row>
    <row r="55" spans="1:3" x14ac:dyDescent="0.3">
      <c r="A55" s="21" t="s">
        <v>85</v>
      </c>
      <c r="B55" s="3">
        <f>B43</f>
        <v>9150</v>
      </c>
    </row>
    <row r="56" spans="1:3" x14ac:dyDescent="0.3">
      <c r="A56" s="21" t="s">
        <v>95</v>
      </c>
      <c r="B56" s="5">
        <f>B52</f>
        <v>600</v>
      </c>
    </row>
    <row r="57" spans="1:3" x14ac:dyDescent="0.3">
      <c r="A57" s="21" t="s">
        <v>108</v>
      </c>
      <c r="B57">
        <v>0</v>
      </c>
    </row>
    <row r="58" spans="1:3" x14ac:dyDescent="0.3">
      <c r="A58" s="21" t="s">
        <v>109</v>
      </c>
      <c r="B58" s="3">
        <f>B57*570</f>
        <v>0</v>
      </c>
    </row>
    <row r="59" spans="1:3" x14ac:dyDescent="0.3">
      <c r="A59" s="21" t="s">
        <v>82</v>
      </c>
      <c r="B59" s="3">
        <f>B55+B56+B58</f>
        <v>9750</v>
      </c>
    </row>
    <row r="60" spans="1:3" x14ac:dyDescent="0.3">
      <c r="A60" s="21" t="s">
        <v>100</v>
      </c>
      <c r="B60" s="3">
        <v>9150</v>
      </c>
    </row>
    <row r="61" spans="1:3" x14ac:dyDescent="0.3">
      <c r="A61" s="21" t="s">
        <v>91</v>
      </c>
      <c r="B61" s="5">
        <v>0</v>
      </c>
      <c r="C61" t="s">
        <v>110</v>
      </c>
    </row>
    <row r="62" spans="1:3" x14ac:dyDescent="0.3">
      <c r="A62" s="21" t="s">
        <v>92</v>
      </c>
      <c r="B62" s="5">
        <f>B61*570</f>
        <v>0</v>
      </c>
      <c r="C62" t="s">
        <v>110</v>
      </c>
    </row>
    <row r="63" spans="1:3" x14ac:dyDescent="0.3">
      <c r="A63" s="2" t="s">
        <v>111</v>
      </c>
      <c r="B63" s="2">
        <f>B59-B60</f>
        <v>600</v>
      </c>
    </row>
    <row r="64" spans="1:3" x14ac:dyDescent="0.3">
      <c r="A64" s="18" t="s">
        <v>104</v>
      </c>
      <c r="B64" s="19">
        <f>B62+B63</f>
        <v>600</v>
      </c>
    </row>
    <row r="65" spans="1:2" x14ac:dyDescent="0.3">
      <c r="A65" s="18" t="s">
        <v>105</v>
      </c>
      <c r="B65" s="19">
        <f>B64</f>
        <v>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workbookViewId="0">
      <selection activeCell="B8" sqref="B8"/>
    </sheetView>
  </sheetViews>
  <sheetFormatPr defaultRowHeight="14.4" x14ac:dyDescent="0.3"/>
  <cols>
    <col min="1" max="1" width="45.44140625" bestFit="1" customWidth="1"/>
  </cols>
  <sheetData>
    <row r="1" spans="1:3" x14ac:dyDescent="0.3">
      <c r="A1" t="s">
        <v>112</v>
      </c>
      <c r="B1" t="s">
        <v>113</v>
      </c>
    </row>
    <row r="3" spans="1:3" x14ac:dyDescent="0.3">
      <c r="A3" s="24" t="s">
        <v>119</v>
      </c>
    </row>
    <row r="4" spans="1:3" x14ac:dyDescent="0.3">
      <c r="A4" t="s">
        <v>114</v>
      </c>
      <c r="B4">
        <v>500</v>
      </c>
      <c r="C4" t="s">
        <v>115</v>
      </c>
    </row>
    <row r="5" spans="1:3" x14ac:dyDescent="0.3">
      <c r="A5" t="s">
        <v>116</v>
      </c>
      <c r="B5">
        <v>9700</v>
      </c>
    </row>
    <row r="6" spans="1:3" x14ac:dyDescent="0.3">
      <c r="A6" t="s">
        <v>117</v>
      </c>
      <c r="B6">
        <v>500</v>
      </c>
    </row>
    <row r="7" spans="1:3" x14ac:dyDescent="0.3">
      <c r="A7" t="s">
        <v>118</v>
      </c>
      <c r="B7">
        <v>100</v>
      </c>
    </row>
    <row r="8" spans="1:3" x14ac:dyDescent="0.3">
      <c r="A8" t="s">
        <v>130</v>
      </c>
      <c r="B8" s="25">
        <v>0</v>
      </c>
      <c r="C8" t="s">
        <v>131</v>
      </c>
    </row>
    <row r="9" spans="1:3" x14ac:dyDescent="0.3">
      <c r="A9" s="24" t="s">
        <v>120</v>
      </c>
    </row>
    <row r="10" spans="1:3" x14ac:dyDescent="0.3">
      <c r="A10" t="s">
        <v>121</v>
      </c>
      <c r="B10">
        <v>150</v>
      </c>
    </row>
    <row r="11" spans="1:3" x14ac:dyDescent="0.3">
      <c r="A11" t="s">
        <v>122</v>
      </c>
      <c r="B11">
        <v>600</v>
      </c>
    </row>
    <row r="12" spans="1:3" x14ac:dyDescent="0.3">
      <c r="A12" t="s">
        <v>123</v>
      </c>
      <c r="B12">
        <v>200</v>
      </c>
    </row>
    <row r="13" spans="1:3" x14ac:dyDescent="0.3">
      <c r="A13" t="s">
        <v>124</v>
      </c>
      <c r="B13">
        <v>100</v>
      </c>
    </row>
    <row r="14" spans="1:3" x14ac:dyDescent="0.3">
      <c r="A14" t="s">
        <v>125</v>
      </c>
      <c r="B14">
        <v>2000</v>
      </c>
    </row>
    <row r="15" spans="1:3" x14ac:dyDescent="0.3">
      <c r="A15" t="s">
        <v>126</v>
      </c>
      <c r="B15">
        <f>SUM(B4:B14)</f>
        <v>13850</v>
      </c>
    </row>
    <row r="17" spans="1:1" x14ac:dyDescent="0.3">
      <c r="A17" t="s">
        <v>127</v>
      </c>
    </row>
    <row r="18" spans="1:1" x14ac:dyDescent="0.3">
      <c r="A18" t="s">
        <v>129</v>
      </c>
    </row>
    <row r="19" spans="1:1" x14ac:dyDescent="0.3">
      <c r="A19" t="s">
        <v>128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053015</vt:lpstr>
      <vt:lpstr>080515</vt:lpstr>
      <vt:lpstr>102815</vt:lpstr>
      <vt:lpstr>122715</vt:lpstr>
      <vt:lpstr>110716</vt:lpstr>
      <vt:lpstr>081017</vt:lpstr>
      <vt:lpstr>For all - Starting From 090417</vt:lpstr>
      <vt:lpstr>Jan 19</vt:lpstr>
    </vt:vector>
  </TitlesOfParts>
  <Company>PNC 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Sultan</dc:creator>
  <cp:lastModifiedBy>Sultan, Awais</cp:lastModifiedBy>
  <dcterms:created xsi:type="dcterms:W3CDTF">2015-05-30T23:45:39Z</dcterms:created>
  <dcterms:modified xsi:type="dcterms:W3CDTF">2019-01-21T00:46:01Z</dcterms:modified>
</cp:coreProperties>
</file>