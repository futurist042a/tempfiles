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XSULT1\Documents\AXSULT1-Workspace\Personal-Documents\CarryForward\Budget\"/>
    </mc:Choice>
  </mc:AlternateContent>
  <bookViews>
    <workbookView xWindow="0" yWindow="456" windowWidth="28800" windowHeight="17460" activeTab="4"/>
  </bookViews>
  <sheets>
    <sheet name="Federal" sheetId="1" r:id="rId1"/>
    <sheet name="Estimate for 17 Return" sheetId="3" r:id="rId2"/>
    <sheet name="16 Closing" sheetId="4" r:id="rId3"/>
    <sheet name="17 Closing" sheetId="5" r:id="rId4"/>
    <sheet name="18 Closing" sheetId="6" r:id="rId5"/>
    <sheet name="State" sheetId="2" r:id="rId6"/>
  </sheets>
  <calcPr calcId="15251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7" i="6" l="1"/>
  <c r="E26" i="6"/>
  <c r="E34" i="6"/>
  <c r="B65" i="6"/>
  <c r="B63" i="6"/>
  <c r="B58" i="6"/>
  <c r="B34" i="6"/>
  <c r="B27" i="6"/>
  <c r="B26" i="6"/>
  <c r="E16" i="6"/>
  <c r="E17" i="6"/>
  <c r="B20" i="6"/>
  <c r="B22" i="6"/>
  <c r="B23" i="6"/>
  <c r="E25" i="6"/>
  <c r="E31" i="6"/>
  <c r="B8" i="6"/>
  <c r="B13" i="6"/>
  <c r="E33" i="6"/>
  <c r="B25" i="6"/>
  <c r="B31" i="6"/>
  <c r="B33" i="6"/>
  <c r="B42" i="5"/>
  <c r="B39" i="5"/>
  <c r="B33" i="5"/>
  <c r="B30" i="5"/>
  <c r="B29" i="5"/>
  <c r="D112" i="5"/>
  <c r="D113" i="5"/>
  <c r="D114" i="5"/>
  <c r="B56" i="5"/>
  <c r="B115" i="5"/>
  <c r="D117" i="5"/>
  <c r="D111" i="5"/>
  <c r="D110" i="5"/>
  <c r="D109" i="5"/>
  <c r="D108" i="5"/>
  <c r="B112" i="5"/>
  <c r="B113" i="5"/>
  <c r="B111" i="5"/>
  <c r="B109" i="5"/>
  <c r="B104" i="5"/>
  <c r="B110" i="5"/>
  <c r="B105" i="5"/>
  <c r="B70" i="5"/>
  <c r="B69" i="5"/>
  <c r="B59" i="5"/>
  <c r="B65" i="5"/>
  <c r="B66" i="5"/>
  <c r="B53" i="5"/>
  <c r="B67" i="5"/>
  <c r="B68" i="5"/>
  <c r="B34" i="5"/>
  <c r="B43" i="5"/>
  <c r="B76" i="5"/>
  <c r="B131" i="5"/>
  <c r="B77" i="5"/>
  <c r="B132" i="5"/>
  <c r="B133" i="5"/>
  <c r="D106" i="5"/>
  <c r="D107" i="5"/>
  <c r="D130" i="5"/>
  <c r="B106" i="5"/>
  <c r="B107" i="5"/>
  <c r="B130" i="5"/>
  <c r="D84" i="5"/>
  <c r="D87" i="5"/>
  <c r="D86" i="5"/>
  <c r="D85" i="5"/>
  <c r="E85" i="5"/>
  <c r="E86" i="5"/>
  <c r="E87" i="5"/>
  <c r="E89" i="5"/>
  <c r="E91" i="5"/>
  <c r="E92" i="5"/>
  <c r="D129" i="5"/>
  <c r="B84" i="5"/>
  <c r="B88" i="5"/>
  <c r="B87" i="5"/>
  <c r="B86" i="5"/>
  <c r="B85" i="5"/>
  <c r="C85" i="5"/>
  <c r="C86" i="5"/>
  <c r="C87" i="5"/>
  <c r="C88" i="5"/>
  <c r="C89" i="5"/>
  <c r="C91" i="5"/>
  <c r="C92" i="5"/>
  <c r="B129" i="5"/>
  <c r="B72" i="5"/>
  <c r="B124" i="5"/>
  <c r="B73" i="5"/>
  <c r="B125" i="5"/>
  <c r="B126" i="5"/>
  <c r="D104" i="5"/>
  <c r="D105" i="5"/>
  <c r="D123" i="5"/>
  <c r="B123" i="5"/>
  <c r="D122" i="5"/>
  <c r="B122" i="5"/>
  <c r="B55" i="5"/>
  <c r="F82" i="5"/>
  <c r="F84" i="5"/>
  <c r="F86" i="5"/>
  <c r="F85" i="5"/>
  <c r="G85" i="5"/>
  <c r="G86" i="5"/>
  <c r="G89" i="5"/>
  <c r="G91" i="5"/>
  <c r="G92" i="5"/>
  <c r="G93" i="5"/>
  <c r="B96" i="5"/>
  <c r="B97" i="5"/>
  <c r="B16" i="5"/>
  <c r="B98" i="5"/>
  <c r="B99" i="5"/>
  <c r="G100" i="5"/>
  <c r="G101" i="5"/>
  <c r="E93" i="5"/>
  <c r="E100" i="5"/>
  <c r="E101" i="5"/>
  <c r="F90" i="5"/>
  <c r="D90" i="5"/>
  <c r="B90" i="5"/>
  <c r="F89" i="5"/>
  <c r="D89" i="5"/>
  <c r="B89" i="5"/>
  <c r="A88" i="5"/>
  <c r="A87" i="5"/>
  <c r="A86" i="5"/>
  <c r="A85" i="5"/>
  <c r="B78" i="5"/>
  <c r="B74" i="5"/>
  <c r="B34" i="3"/>
  <c r="D97" i="3"/>
  <c r="B37" i="3"/>
  <c r="D94" i="3"/>
  <c r="B55" i="3"/>
  <c r="B47" i="3"/>
  <c r="B59" i="3"/>
  <c r="D92" i="3"/>
  <c r="B60" i="3"/>
  <c r="D93" i="3"/>
  <c r="D95" i="3"/>
  <c r="D96" i="3"/>
  <c r="D98" i="3"/>
  <c r="B97" i="3"/>
  <c r="B94" i="3"/>
  <c r="B92" i="3"/>
  <c r="B93" i="3"/>
  <c r="B95" i="3"/>
  <c r="B96" i="3"/>
  <c r="B98" i="3"/>
  <c r="B54" i="3"/>
  <c r="B56" i="3"/>
  <c r="B57" i="3"/>
  <c r="B58" i="3"/>
  <c r="B54" i="4"/>
  <c r="B55" i="4"/>
  <c r="B56" i="4"/>
  <c r="B39" i="4"/>
  <c r="B47" i="4"/>
  <c r="B49" i="4"/>
  <c r="F70" i="4"/>
  <c r="F72" i="4"/>
  <c r="F78" i="4"/>
  <c r="D72" i="4"/>
  <c r="D78" i="4"/>
  <c r="B72" i="4"/>
  <c r="B78" i="4"/>
  <c r="B16" i="4"/>
  <c r="B33" i="3"/>
  <c r="B35" i="3"/>
  <c r="B39" i="3"/>
  <c r="B49" i="3"/>
  <c r="B57" i="4"/>
  <c r="B64" i="4"/>
  <c r="B110" i="4"/>
  <c r="B65" i="4"/>
  <c r="B111" i="4"/>
  <c r="B112" i="4"/>
  <c r="D94" i="4"/>
  <c r="D95" i="4"/>
  <c r="D109" i="4"/>
  <c r="B94" i="4"/>
  <c r="B95" i="4"/>
  <c r="B109" i="4"/>
  <c r="D75" i="4"/>
  <c r="D74" i="4"/>
  <c r="D73" i="4"/>
  <c r="E73" i="4"/>
  <c r="E74" i="4"/>
  <c r="E75" i="4"/>
  <c r="E77" i="4"/>
  <c r="E79" i="4"/>
  <c r="E80" i="4"/>
  <c r="D108" i="4"/>
  <c r="B76" i="4"/>
  <c r="B75" i="4"/>
  <c r="B74" i="4"/>
  <c r="B73" i="4"/>
  <c r="C73" i="4"/>
  <c r="C74" i="4"/>
  <c r="C75" i="4"/>
  <c r="C76" i="4"/>
  <c r="C77" i="4"/>
  <c r="C79" i="4"/>
  <c r="C80" i="4"/>
  <c r="B108" i="4"/>
  <c r="B60" i="4"/>
  <c r="B103" i="4"/>
  <c r="B61" i="4"/>
  <c r="B104" i="4"/>
  <c r="B105" i="4"/>
  <c r="D92" i="4"/>
  <c r="D93" i="4"/>
  <c r="D102" i="4"/>
  <c r="B92" i="4"/>
  <c r="B93" i="4"/>
  <c r="B102" i="4"/>
  <c r="D101" i="4"/>
  <c r="B101" i="4"/>
  <c r="D96" i="4"/>
  <c r="F74" i="4"/>
  <c r="F73" i="4"/>
  <c r="G73" i="4"/>
  <c r="G74" i="4"/>
  <c r="G77" i="4"/>
  <c r="G79" i="4"/>
  <c r="G80" i="4"/>
  <c r="G81" i="4"/>
  <c r="B84" i="4"/>
  <c r="B85" i="4"/>
  <c r="B86" i="4"/>
  <c r="B87" i="4"/>
  <c r="G88" i="4"/>
  <c r="G89" i="4"/>
  <c r="E81" i="4"/>
  <c r="E88" i="4"/>
  <c r="E89" i="4"/>
  <c r="F77" i="4"/>
  <c r="D77" i="4"/>
  <c r="B77" i="4"/>
  <c r="A76" i="4"/>
  <c r="A75" i="4"/>
  <c r="A74" i="4"/>
  <c r="A73" i="4"/>
  <c r="B66" i="4"/>
  <c r="B62" i="4"/>
  <c r="B58" i="4"/>
  <c r="B85" i="3"/>
  <c r="B86" i="3"/>
  <c r="B14" i="3"/>
  <c r="B16" i="3"/>
  <c r="B87" i="3"/>
  <c r="B88" i="3"/>
  <c r="B66" i="3"/>
  <c r="B112" i="3"/>
  <c r="B67" i="3"/>
  <c r="B113" i="3"/>
  <c r="B114" i="3"/>
  <c r="D111" i="3"/>
  <c r="B111" i="3"/>
  <c r="D74" i="3"/>
  <c r="D77" i="3"/>
  <c r="D76" i="3"/>
  <c r="D75" i="3"/>
  <c r="E75" i="3"/>
  <c r="E76" i="3"/>
  <c r="E77" i="3"/>
  <c r="E79" i="3"/>
  <c r="E80" i="3"/>
  <c r="E81" i="3"/>
  <c r="D110" i="3"/>
  <c r="B74" i="3"/>
  <c r="B78" i="3"/>
  <c r="B77" i="3"/>
  <c r="B76" i="3"/>
  <c r="B75" i="3"/>
  <c r="C75" i="3"/>
  <c r="C76" i="3"/>
  <c r="C77" i="3"/>
  <c r="C78" i="3"/>
  <c r="C79" i="3"/>
  <c r="C80" i="3"/>
  <c r="C81" i="3"/>
  <c r="B110" i="3"/>
  <c r="B62" i="3"/>
  <c r="B105" i="3"/>
  <c r="B63" i="3"/>
  <c r="B106" i="3"/>
  <c r="B107" i="3"/>
  <c r="D104" i="3"/>
  <c r="B104" i="3"/>
  <c r="D103" i="3"/>
  <c r="B103" i="3"/>
  <c r="F72" i="3"/>
  <c r="F74" i="3"/>
  <c r="F76" i="3"/>
  <c r="F75" i="3"/>
  <c r="G75" i="3"/>
  <c r="G76" i="3"/>
  <c r="G79" i="3"/>
  <c r="G80" i="3"/>
  <c r="G81" i="3"/>
  <c r="G82" i="3"/>
  <c r="G89" i="3"/>
  <c r="E82" i="3"/>
  <c r="E89" i="3"/>
  <c r="F79" i="3"/>
  <c r="D79" i="3"/>
  <c r="B79" i="3"/>
  <c r="A78" i="3"/>
  <c r="A77" i="3"/>
  <c r="A76" i="3"/>
  <c r="A75" i="3"/>
  <c r="B68" i="3"/>
  <c r="B64" i="3"/>
  <c r="F14" i="2"/>
  <c r="F19" i="2"/>
  <c r="F29" i="2"/>
  <c r="F31" i="2"/>
  <c r="F39" i="2"/>
  <c r="F41" i="2"/>
  <c r="F42" i="2"/>
  <c r="F56" i="2"/>
  <c r="F61" i="2"/>
  <c r="F71" i="2"/>
  <c r="F73" i="2"/>
  <c r="F81" i="2"/>
  <c r="F83" i="2"/>
  <c r="F84" i="2"/>
  <c r="F86" i="2"/>
  <c r="D14" i="2"/>
  <c r="D19" i="2"/>
  <c r="D29" i="2"/>
  <c r="D31" i="2"/>
  <c r="D39" i="2"/>
  <c r="D41" i="2"/>
  <c r="D42" i="2"/>
  <c r="D56" i="2"/>
  <c r="D61" i="2"/>
  <c r="D71" i="2"/>
  <c r="D73" i="2"/>
  <c r="D81" i="2"/>
  <c r="D83" i="2"/>
  <c r="D84" i="2"/>
  <c r="D86" i="2"/>
  <c r="B14" i="2"/>
  <c r="B19" i="2"/>
  <c r="B29" i="2"/>
  <c r="B31" i="2"/>
  <c r="B39" i="2"/>
  <c r="B41" i="2"/>
  <c r="B42" i="2"/>
  <c r="B73" i="2"/>
  <c r="B81" i="2"/>
  <c r="B83" i="2"/>
  <c r="B84" i="2"/>
  <c r="B86" i="2"/>
  <c r="B93" i="2"/>
  <c r="B91" i="2"/>
  <c r="B94" i="2"/>
  <c r="F65" i="2"/>
  <c r="D65" i="2"/>
  <c r="B56" i="2"/>
  <c r="B61" i="2"/>
  <c r="B65" i="2"/>
  <c r="F23" i="2"/>
  <c r="D33" i="2"/>
  <c r="D23" i="2"/>
  <c r="B33" i="2"/>
  <c r="B23" i="2"/>
  <c r="B38" i="1"/>
  <c r="B39" i="1"/>
  <c r="B40" i="1"/>
  <c r="B55" i="1"/>
  <c r="B59" i="1"/>
  <c r="B58" i="1"/>
  <c r="B57" i="1"/>
  <c r="B56" i="1"/>
  <c r="C56" i="1"/>
  <c r="C57" i="1"/>
  <c r="C58" i="1"/>
  <c r="C59" i="1"/>
  <c r="C60" i="1"/>
  <c r="C61" i="1"/>
  <c r="C62" i="1"/>
  <c r="B27" i="1"/>
  <c r="B28" i="1"/>
  <c r="B29" i="1"/>
  <c r="B33" i="1"/>
  <c r="F53" i="1"/>
  <c r="F55" i="1"/>
  <c r="F57" i="1"/>
  <c r="F56" i="1"/>
  <c r="G56" i="1"/>
  <c r="G57" i="1"/>
  <c r="G60" i="1"/>
  <c r="G61" i="1"/>
  <c r="G62" i="1"/>
  <c r="G63" i="1"/>
  <c r="B66" i="1"/>
  <c r="B67" i="1"/>
  <c r="B68" i="1"/>
  <c r="G69" i="1"/>
  <c r="G70" i="1"/>
  <c r="D55" i="1"/>
  <c r="D58" i="1"/>
  <c r="D57" i="1"/>
  <c r="D56" i="1"/>
  <c r="E56" i="1"/>
  <c r="E57" i="1"/>
  <c r="E58" i="1"/>
  <c r="E60" i="1"/>
  <c r="E61" i="1"/>
  <c r="E62" i="1"/>
  <c r="E63" i="1"/>
  <c r="E69" i="1"/>
  <c r="E70" i="1"/>
  <c r="A59" i="1"/>
  <c r="A58" i="1"/>
  <c r="A57" i="1"/>
  <c r="A56" i="1"/>
  <c r="D73" i="1"/>
  <c r="D74" i="1"/>
  <c r="D83" i="1"/>
  <c r="B73" i="1"/>
  <c r="B74" i="1"/>
  <c r="B83" i="1"/>
  <c r="B44" i="1"/>
  <c r="B43" i="1"/>
  <c r="B41" i="1"/>
  <c r="F60" i="1"/>
  <c r="B47" i="1"/>
  <c r="B91" i="1"/>
  <c r="B48" i="1"/>
  <c r="B92" i="1"/>
  <c r="B75" i="1"/>
  <c r="B76" i="1"/>
  <c r="B90" i="1"/>
  <c r="D75" i="1"/>
  <c r="D76" i="1"/>
  <c r="D90" i="1"/>
  <c r="B85" i="1"/>
  <c r="B84" i="1"/>
  <c r="B93" i="1"/>
  <c r="B49" i="1"/>
  <c r="B86" i="1"/>
  <c r="B45" i="1"/>
  <c r="D77" i="1"/>
  <c r="D60" i="1"/>
  <c r="B60" i="1"/>
  <c r="D89" i="1"/>
  <c r="D82" i="1"/>
  <c r="B82" i="1"/>
  <c r="B89" i="1"/>
</calcChain>
</file>

<file path=xl/sharedStrings.xml><?xml version="1.0" encoding="utf-8"?>
<sst xmlns="http://schemas.openxmlformats.org/spreadsheetml/2006/main" count="620" uniqueCount="249">
  <si>
    <t>Table 1. 2016 Taxable Income Brackets and Rates (Estimate)</t>
  </si>
  <si>
    <t>Rate</t>
  </si>
  <si>
    <t>Single Filers</t>
  </si>
  <si>
    <t>Married Joint Filers</t>
  </si>
  <si>
    <t>Medical Pretax</t>
  </si>
  <si>
    <t>Pay</t>
  </si>
  <si>
    <t>Annual</t>
  </si>
  <si>
    <t>Dental Pretax</t>
  </si>
  <si>
    <t>Pretax pay</t>
  </si>
  <si>
    <t>State Tax Rate (IL)</t>
  </si>
  <si>
    <t>Social Security Tax</t>
  </si>
  <si>
    <t>Meciare Tax Rate</t>
  </si>
  <si>
    <t>Social Security Tax Rate</t>
  </si>
  <si>
    <t>State Tax</t>
  </si>
  <si>
    <t>Medicare Tax</t>
  </si>
  <si>
    <t>Federal Tax</t>
  </si>
  <si>
    <t>Total</t>
  </si>
  <si>
    <t>Applicable Amount</t>
  </si>
  <si>
    <t>Pretax pay after exemptions</t>
  </si>
  <si>
    <t>Bonus</t>
  </si>
  <si>
    <t>Pretax pay with Bonus</t>
  </si>
  <si>
    <t>IL state tax exemption amount</t>
  </si>
  <si>
    <t>Federal tax exemption amount</t>
  </si>
  <si>
    <t>Federal Tax Refund</t>
  </si>
  <si>
    <t>Total Federal tax</t>
  </si>
  <si>
    <t>State Tax Exemptions</t>
  </si>
  <si>
    <t>Pretax pay with bonus after exemptions</t>
  </si>
  <si>
    <t>State Tax Refund</t>
  </si>
  <si>
    <t>Federal Tax Exemptions</t>
  </si>
  <si>
    <t>Federal Tax on Bonus</t>
  </si>
  <si>
    <t>Tax</t>
  </si>
  <si>
    <t>Monthly</t>
  </si>
  <si>
    <t>FICA</t>
  </si>
  <si>
    <t>Social Security Tax on pay w/o bouns</t>
  </si>
  <si>
    <t>Medicare Tax on pay w/o bonus</t>
  </si>
  <si>
    <t>FICA (SST,MT) on pay w/o bonus</t>
  </si>
  <si>
    <t>Pretax pay w/o bonus after exemptions</t>
  </si>
  <si>
    <t>State Tax on pay with bonus</t>
  </si>
  <si>
    <t>Considering pay w/o Bonus</t>
  </si>
  <si>
    <t>Considering pay with Bonus</t>
  </si>
  <si>
    <t>Social Security Tax on pay with bouns</t>
  </si>
  <si>
    <t>Medicare Tax on pay with bonus</t>
  </si>
  <si>
    <t>FICA (SST,MT) on pay with bonus</t>
  </si>
  <si>
    <t>Deductions</t>
  </si>
  <si>
    <t>Lived in property for months</t>
  </si>
  <si>
    <t>Property tax can be deducted</t>
  </si>
  <si>
    <t>No of months interest paid</t>
  </si>
  <si>
    <t>Interest payment can be deducted</t>
  </si>
  <si>
    <t>Sq feet for home office</t>
  </si>
  <si>
    <t>Deduction allowed per sq feet</t>
  </si>
  <si>
    <t>Amount can be deducted for home office</t>
  </si>
  <si>
    <t>Moving cost</t>
  </si>
  <si>
    <t>UIC loan interest repay amount</t>
  </si>
  <si>
    <t>Jamat Donation</t>
  </si>
  <si>
    <t>3300 yet to be paid</t>
  </si>
  <si>
    <t>Property tax for the year</t>
  </si>
  <si>
    <t>Total Interest payment for this year</t>
  </si>
  <si>
    <t>Standard Deduction/Deduction</t>
  </si>
  <si>
    <t>Married Join Filers using deductions</t>
  </si>
  <si>
    <t>Single Filers using standard deduction</t>
  </si>
  <si>
    <t>Married Joint Filers using standard deduction</t>
  </si>
  <si>
    <t>Federal tax credit for child</t>
  </si>
  <si>
    <t>Federal tax credit for university student</t>
  </si>
  <si>
    <t>No of Children</t>
  </si>
  <si>
    <t>No of Students</t>
  </si>
  <si>
    <t>Child Tax Credit</t>
  </si>
  <si>
    <t>University Tax Credit</t>
  </si>
  <si>
    <t>Total Federal Tax Credit</t>
  </si>
  <si>
    <t>Federal Tax Refund including Tax Credit</t>
  </si>
  <si>
    <t>Max sq feet for home office</t>
  </si>
  <si>
    <t>Strongsville Income Tax taken out refund</t>
  </si>
  <si>
    <t>$9,470.73
Last month interest payment (Nov) $1,049.31
With one more month remaining. Total will be
$10,520.04</t>
  </si>
  <si>
    <t>Illinois</t>
  </si>
  <si>
    <t>Total Income</t>
  </si>
  <si>
    <t>Interest</t>
  </si>
  <si>
    <t>Dividend</t>
  </si>
  <si>
    <t>Capital Gain/Loss</t>
  </si>
  <si>
    <t>Cap</t>
  </si>
  <si>
    <t>Income</t>
  </si>
  <si>
    <t>Moving Expenses</t>
  </si>
  <si>
    <t>College Tution Interest</t>
  </si>
  <si>
    <t>AGI</t>
  </si>
  <si>
    <t>IL exemtption</t>
  </si>
  <si>
    <t>No of exemptions</t>
  </si>
  <si>
    <t>Me + wife + 2 kids</t>
  </si>
  <si>
    <t>Tax on AGI</t>
  </si>
  <si>
    <t>AGI after exemptions</t>
  </si>
  <si>
    <t>K-12 Education expenses</t>
  </si>
  <si>
    <t>Property taxes paid</t>
  </si>
  <si>
    <t>K-12 Education expenses credit</t>
  </si>
  <si>
    <t>25% on expenses above 250.</t>
  </si>
  <si>
    <t>Property Taxes Paid Credit</t>
  </si>
  <si>
    <t>Property taxes paid credit percentage</t>
  </si>
  <si>
    <t>Tax on AGI after exemptions</t>
  </si>
  <si>
    <t>Considering whole income in IL for 2016</t>
  </si>
  <si>
    <t>Refund</t>
  </si>
  <si>
    <t>Using HR concepts calculations</t>
  </si>
  <si>
    <t>Ohio</t>
  </si>
  <si>
    <t>Tax Withheld</t>
  </si>
  <si>
    <t>Tax Rate</t>
  </si>
  <si>
    <t>Local City Tax Withheld</t>
  </si>
  <si>
    <t>Strongsville</t>
  </si>
  <si>
    <t>Note: OH Tax 2015 Refund of 611 not considered in calculations</t>
  </si>
  <si>
    <t>Property taxes paid in OH</t>
  </si>
  <si>
    <t>K-12 Education expenses in OH</t>
  </si>
  <si>
    <t>Considering W2 state income</t>
  </si>
  <si>
    <t>HR calculated it to be 779.</t>
  </si>
  <si>
    <t>All considered in IL</t>
  </si>
  <si>
    <t>Ohio Taxable Income</t>
  </si>
  <si>
    <t>Tax Calculation</t>
  </si>
  <si>
    <t>0 – $5,250</t>
  </si>
  <si>
    <t>$5,250– $10,500</t>
  </si>
  <si>
    <t>$25.99+ .990% of excess over $5,250</t>
  </si>
  <si>
    <t>$10,500 – $15,800</t>
  </si>
  <si>
    <t>$77.97+ 1.980% of excess over $10,500</t>
  </si>
  <si>
    <t>$15,800 – $21,100</t>
  </si>
  <si>
    <t>$182.91 + 2.476% of excess over $15,800</t>
  </si>
  <si>
    <t>$21,100 – $42,100</t>
  </si>
  <si>
    <t>$314.14 + 2.969% of excess over $21,100</t>
  </si>
  <si>
    <t>$42,100 – $84,200</t>
  </si>
  <si>
    <t>$937.63 + 3.465% of excess over $42,100</t>
  </si>
  <si>
    <t>$84,200 – $105,300</t>
  </si>
  <si>
    <t>$2,396.40 + 3.960% of excess over $84,200</t>
  </si>
  <si>
    <t>$105,300 – $210,600</t>
  </si>
  <si>
    <t>$3,231.96 + 4.597% of excess over $105,300</t>
  </si>
  <si>
    <t>More than $210,600</t>
  </si>
  <si>
    <t>$8,072.60 + 4.997% of excess over $210,600</t>
  </si>
  <si>
    <t>Normally 1700 but All considered in IL</t>
  </si>
  <si>
    <t>Local city tax will not be refunded</t>
  </si>
  <si>
    <t>Local city tax will not be refunded. HR calculated it to be 165</t>
  </si>
  <si>
    <t>Why OH withheld is 500.61</t>
  </si>
  <si>
    <t>Gross Income</t>
  </si>
  <si>
    <t>OH Tax Bracket</t>
  </si>
  <si>
    <t>Total Tax</t>
  </si>
  <si>
    <t>Oh W2 reported income</t>
  </si>
  <si>
    <t>Reported income is % of Gross Income</t>
  </si>
  <si>
    <t>Tax withheld should be</t>
  </si>
  <si>
    <t>Considering 12219.62 as monthly incom</t>
  </si>
  <si>
    <t>Still not 500.61</t>
  </si>
  <si>
    <t>Total Refund</t>
  </si>
  <si>
    <t>After Care Credit</t>
  </si>
  <si>
    <t>UIC loan interest repay amount max allowed</t>
  </si>
  <si>
    <t>After Care Expenses</t>
  </si>
  <si>
    <t>After Care Credit Percentage (%)</t>
  </si>
  <si>
    <t>Kids After Care Credit</t>
  </si>
  <si>
    <t>AGI expenses/Gains</t>
  </si>
  <si>
    <t>taxable Interest</t>
  </si>
  <si>
    <t>Use negative value as this will reduce expenses. Its addition to AGI.</t>
  </si>
  <si>
    <t>Capital Gain/Losses Max</t>
  </si>
  <si>
    <t xml:space="preserve">3000 is max if loss is more than 3000. If Gain use negative value as his will reduce expenses. Its addition to AGI. </t>
  </si>
  <si>
    <t>Moving Cost</t>
  </si>
  <si>
    <t>Total AGI Expenses/Gains</t>
  </si>
  <si>
    <t>If gain will be negative as this will reduce expenses. Its addition to AGI.</t>
  </si>
  <si>
    <t>State Tax Rate (IL) for first 6 months</t>
  </si>
  <si>
    <t>State Tax Rate (IL) for last 6 months</t>
  </si>
  <si>
    <t>State Tax on bonus</t>
  </si>
  <si>
    <t>Mortgage Insurance premium</t>
  </si>
  <si>
    <t>Total Itemized Deductions</t>
  </si>
  <si>
    <t>This is normally for Gross Income and not AGI</t>
  </si>
  <si>
    <t>Dividends</t>
  </si>
  <si>
    <t>Applicable Total Amount With Bonus</t>
  </si>
  <si>
    <t>AGI is not used in calculations later for tax and refund calculation. As deductions for AGI calculation are made part of itemized deductions. Whereas for Single filer and married jointly standard deduction, gross income is used as those are for calculative purposes and also in pay stubs AGI is not used, instead gross income is used.
However for itemzed deduction limits and similar calculations AGI will be used. Also for State tax AGI is used</t>
  </si>
  <si>
    <t>State Tax Withheld</t>
  </si>
  <si>
    <t>State tax On AGI after exemptions</t>
  </si>
  <si>
    <t>440.09 from now onwards +3056.91 year to date</t>
  </si>
  <si>
    <t>Analysis on 09/05/17 at 3:00AM</t>
  </si>
  <si>
    <t>First 6 months AGI</t>
  </si>
  <si>
    <t>Last 6 months AGI</t>
  </si>
  <si>
    <t>AGI after exemptions for first 6 months</t>
  </si>
  <si>
    <t>AGI after exemptions for first last 6 months</t>
  </si>
  <si>
    <t>State Tax credit on Property tax</t>
  </si>
  <si>
    <t>State tax credit for property tax</t>
  </si>
  <si>
    <t>Total State tax refund with credit</t>
  </si>
  <si>
    <t>Could be limited by AGI. ???</t>
  </si>
  <si>
    <t>Analysis on 02/26/17 at 5:40PM</t>
  </si>
  <si>
    <t>Table 1. 2017 Taxable Income Brackets and Rates</t>
  </si>
  <si>
    <t>Use negative value as this will reduce expenses. Its addition to AGI. Get chase, citizens bank stmnts.</t>
  </si>
  <si>
    <t>Get UIC loan stmt.</t>
  </si>
  <si>
    <t>Mortgage Insurance premium for inv props.</t>
  </si>
  <si>
    <t>Property tax for inv props.</t>
  </si>
  <si>
    <t>Interest payment for inv props</t>
  </si>
  <si>
    <t>2% of AGI</t>
  </si>
  <si>
    <t>Work related traveling/stay expenses - 2% of AGI</t>
  </si>
  <si>
    <t>USB pay on W2 is already after removing pretax deductions.</t>
  </si>
  <si>
    <t>Medical + Dental Pretax</t>
  </si>
  <si>
    <t>HSA account Pretax</t>
  </si>
  <si>
    <t>Federal Tax Withheld from W2</t>
  </si>
  <si>
    <t>State Tax Withheld from W2 (state = IL)</t>
  </si>
  <si>
    <t>State Tax on pay with bonus b4 07/01/17</t>
  </si>
  <si>
    <t>Total state tax on pay with bonus accounting rate inc.</t>
  </si>
  <si>
    <t>Pretax pay with bonus after exemptions b4 07/01/17
(Use Techlogix pay check of 06/17. Removed pretax from income)</t>
  </si>
  <si>
    <t>State Tax on pay with bonus after 07/01/17</t>
  </si>
  <si>
    <t>Pretax pay with bonus after exemptions after 07/01/17
(Removing pretax with bonus pay of 59133.7 b4 07/01/17 as used in two columns before above)</t>
  </si>
  <si>
    <t>Total Property Taxes Paid</t>
  </si>
  <si>
    <r>
      <t xml:space="preserve">State Tax Credit 50 per 1000 of property tax. 5% of ptax. </t>
    </r>
    <r>
      <rPr>
        <sz val="11"/>
        <color rgb="FFFF0000"/>
        <rFont val="Calibri"/>
        <family val="2"/>
        <scheme val="minor"/>
      </rPr>
      <t>(Remove business expense = work related expese?)</t>
    </r>
  </si>
  <si>
    <t>Does k-12 IL State Tax credit includes after school care too?</t>
  </si>
  <si>
    <r>
      <rPr>
        <sz val="11"/>
        <rFont val="Calibri"/>
        <family val="2"/>
        <scheme val="minor"/>
      </rPr>
      <t>Payment only appearing in Cenlar (background in next comment).</t>
    </r>
    <r>
      <rPr>
        <sz val="11"/>
        <color rgb="FFFF0000"/>
        <rFont val="Calibri"/>
        <family val="2"/>
        <scheme val="minor"/>
      </rPr>
      <t xml:space="preserve"> Will Cenlar stmt be enough or do we need tax bill.</t>
    </r>
    <r>
      <rPr>
        <sz val="11"/>
        <color theme="7" tint="-0.499984740745262"/>
        <rFont val="Calibri"/>
        <family val="2"/>
        <scheme val="minor"/>
      </rPr>
      <t xml:space="preserve"> Got physical cenlar stmt, need its electronic copy.</t>
    </r>
    <r>
      <rPr>
        <sz val="11"/>
        <color rgb="FFFF0000"/>
        <rFont val="Calibri"/>
        <family val="2"/>
        <scheme val="minor"/>
      </rPr>
      <t xml:space="preserve"> </t>
    </r>
    <r>
      <rPr>
        <sz val="11"/>
        <rFont val="Calibri"/>
        <family val="2"/>
        <scheme val="minor"/>
      </rPr>
      <t>Tax paid 8412- refund of 865.97</t>
    </r>
  </si>
  <si>
    <r>
      <rPr>
        <sz val="11"/>
        <rFont val="Calibri"/>
        <family val="2"/>
        <scheme val="minor"/>
      </rPr>
      <t>From Cenlar MI = 7,283.54 + Mr.Cooper Mortgage interest of $5148.98, which started collecting interest from August 17, although loan was transferred to it from Cenlar on July 17.</t>
    </r>
    <r>
      <rPr>
        <sz val="11"/>
        <color rgb="FFFF0000"/>
        <rFont val="Calibri"/>
        <family val="2"/>
        <scheme val="minor"/>
      </rPr>
      <t xml:space="preserve"> </t>
    </r>
    <r>
      <rPr>
        <sz val="11"/>
        <color theme="7" tint="-0.499984740745262"/>
        <rFont val="Calibri"/>
        <family val="2"/>
        <scheme val="minor"/>
      </rPr>
      <t xml:space="preserve"> Got physical cenlar stmt, need its electronic copy.</t>
    </r>
  </si>
  <si>
    <t>Not needed.</t>
  </si>
  <si>
    <t>Capital Gain/Losses Carried Over</t>
  </si>
  <si>
    <t>868 being carried over.</t>
  </si>
  <si>
    <t>Capital Gain/Losses This year</t>
  </si>
  <si>
    <t>625 is not appearing as interest but as other income uder misc income section in citizens bank stmt.</t>
  </si>
  <si>
    <t>taxable Interest\other income</t>
  </si>
  <si>
    <t>Total capital gain distributions</t>
  </si>
  <si>
    <r>
      <rPr>
        <sz val="11"/>
        <rFont val="Calibri"/>
        <family val="2"/>
        <scheme val="minor"/>
      </rPr>
      <t>Max is 3000.</t>
    </r>
    <r>
      <rPr>
        <sz val="11"/>
        <color rgb="FFFF0000"/>
        <rFont val="Calibri"/>
        <family val="2"/>
        <scheme val="minor"/>
      </rPr>
      <t xml:space="preserve"> 0 As no sale/purchase happened. Confirm with Ravi.</t>
    </r>
  </si>
  <si>
    <r>
      <rPr>
        <sz val="11"/>
        <rFont val="Calibri"/>
        <family val="2"/>
        <scheme val="minor"/>
      </rPr>
      <t>Cenlar collected 859.95 for first 6 months (</t>
    </r>
    <r>
      <rPr>
        <sz val="11"/>
        <color theme="7" tint="-0.499984740745262"/>
        <rFont val="Calibri"/>
        <family val="2"/>
        <scheme val="minor"/>
      </rPr>
      <t>1 month extra</t>
    </r>
    <r>
      <rPr>
        <sz val="11"/>
        <rFont val="Calibri"/>
        <family val="2"/>
        <scheme val="minor"/>
      </rPr>
      <t>) + Mr.cooper collected 737.10 for 6 months.See above comment for more information. Total is $1597.05.</t>
    </r>
    <r>
      <rPr>
        <sz val="11"/>
        <color rgb="FFFF0000"/>
        <rFont val="Calibri"/>
        <family val="2"/>
        <scheme val="minor"/>
      </rPr>
      <t xml:space="preserve"> However it seems to be not applicable for 2017 Or if income is more than 109000, confirm with Ravi. </t>
    </r>
    <r>
      <rPr>
        <sz val="11"/>
        <color theme="7" tint="-0.499984740745262"/>
        <rFont val="Calibri"/>
        <family val="2"/>
        <scheme val="minor"/>
      </rPr>
      <t>Got physical cenlar stmt, need its electronic copy.</t>
    </r>
  </si>
  <si>
    <t>Amount is $82.20. However it seems to be not applicable for 2017 Or if income is more than 109000, confirm with Ravi.</t>
  </si>
  <si>
    <r>
      <t xml:space="preserve">After Care Expenses </t>
    </r>
    <r>
      <rPr>
        <sz val="11"/>
        <color rgb="FFFF0000"/>
        <rFont val="Calibri"/>
        <family val="2"/>
        <scheme val="minor"/>
      </rPr>
      <t>(Note: wife is full time student)</t>
    </r>
  </si>
  <si>
    <t>Confirm formula is correct esp removing 2% of AGI. Expenses are 7,262</t>
  </si>
  <si>
    <t>9750 Mine + 650 (300 Saliha Wasiyaat. 150 waqf-e-jadid,  tehreek-e-jadid, lajna chanda. 100 each for Mekeal/Dania for tehreek and waqf-e-jadeed)</t>
  </si>
  <si>
    <t>2818.38 was paid according to closing stmnt but not by me. Check with Ravi</t>
  </si>
  <si>
    <t>My Income</t>
  </si>
  <si>
    <t>Selly</t>
  </si>
  <si>
    <t>Selly Deductions</t>
  </si>
  <si>
    <t>401k Per Pay Check PreTax</t>
  </si>
  <si>
    <t>Total 401k Pre Tax</t>
  </si>
  <si>
    <t xml:space="preserve">My Per Pay Check Pre Tax Non 401k </t>
  </si>
  <si>
    <t xml:space="preserve">Total Pre Tax Non 401k </t>
  </si>
  <si>
    <t>Total Pre Tax</t>
  </si>
  <si>
    <t>Total Income After PreTax</t>
  </si>
  <si>
    <t xml:space="preserve">Taxable Income = </t>
  </si>
  <si>
    <t>600 loss for two weeks in a month for leaving at 5pm for Saliha (every alternate week 300 loss)</t>
  </si>
  <si>
    <t>Effective Tax Rate</t>
  </si>
  <si>
    <t>Marginal Tax Rate</t>
  </si>
  <si>
    <t>Marginal Tax Bracket</t>
  </si>
  <si>
    <t>Used 2018 Calculator</t>
  </si>
  <si>
    <t>$78,951 to $168,400</t>
  </si>
  <si>
    <t>$168,401 to $321,450</t>
  </si>
  <si>
    <t>Will save 1100 thru FSA + 200 for credit = 1300 (Child Care)</t>
  </si>
  <si>
    <t>Will save 1200 throgh FSA + 200 for credit = 1400 (Child Care)</t>
  </si>
  <si>
    <t>84,201 - 160,725</t>
  </si>
  <si>
    <t xml:space="preserve">My Wife Ind Tax </t>
  </si>
  <si>
    <t>My Total PreTax</t>
  </si>
  <si>
    <t>Saliha Total PreTax</t>
  </si>
  <si>
    <t>My Ind Tax Without Deductions</t>
  </si>
  <si>
    <t>$9701-39,475
39476-84200 (22%)</t>
  </si>
  <si>
    <t xml:space="preserve">Adjusted Taxable Income for online Tool = </t>
  </si>
  <si>
    <t>Tool is autodeducting 24000 standard deduction.</t>
  </si>
  <si>
    <t>Tax on tool adjusted income</t>
  </si>
  <si>
    <t>My own calculation is near this too.</t>
  </si>
  <si>
    <t>You Can Get Extra from Saliha for Brack Diff and UnPaid Taxes</t>
  </si>
  <si>
    <t>Tax Return</t>
  </si>
  <si>
    <t>Childs Credits</t>
  </si>
  <si>
    <t xml:space="preserve">Me and Wife Credit </t>
  </si>
  <si>
    <t>Tution Credit (2000)</t>
  </si>
  <si>
    <t>Saliha Student Credit</t>
  </si>
  <si>
    <t xml:space="preserve">Total = </t>
  </si>
  <si>
    <t xml:space="preserve">Including Saliha Extra Payment =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</si>
</sst>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8" formatCode="&quot;$&quot;#,##0.00_);[Red]\(&quot;$&quot;#,##0.00\)"/>
  </numFmts>
  <fonts count="15">
    <font>
      <sz val="11"/>
      <color theme="1"/>
      <name val="Calibri"/>
      <family val="2"/>
      <scheme val="minor"/>
    </font>
    <font>
      <sz val="11"/>
      <color rgb="FFFF0000"/>
      <name val="Calibri"/>
      <family val="2"/>
      <scheme val="minor"/>
    </font>
    <font>
      <b/>
      <sz val="11"/>
      <color rgb="FF222222"/>
      <name val="Arial"/>
      <family val="2"/>
    </font>
    <font>
      <sz val="11"/>
      <color rgb="FF222222"/>
      <name val="Arial"/>
      <family val="2"/>
    </font>
    <font>
      <sz val="11"/>
      <color rgb="FF000000"/>
      <name val="Arial"/>
      <family val="2"/>
    </font>
    <font>
      <sz val="11"/>
      <name val="Calibri"/>
      <family val="2"/>
      <scheme val="minor"/>
    </font>
    <font>
      <sz val="11"/>
      <color theme="4" tint="-0.249977111117893"/>
      <name val="Calibri"/>
      <family val="2"/>
      <scheme val="minor"/>
    </font>
    <font>
      <u/>
      <sz val="11"/>
      <color theme="4" tint="-0.249977111117893"/>
      <name val="Calibri"/>
      <family val="2"/>
      <scheme val="minor"/>
    </font>
    <font>
      <sz val="13"/>
      <color rgb="FF000000"/>
      <name val="Verdana"/>
    </font>
    <font>
      <b/>
      <sz val="13"/>
      <color rgb="FF000000"/>
      <name val="Inherit"/>
    </font>
    <font>
      <u/>
      <sz val="11"/>
      <color theme="10"/>
      <name val="Calibri"/>
      <family val="2"/>
      <scheme val="minor"/>
    </font>
    <font>
      <u/>
      <sz val="11"/>
      <color theme="11"/>
      <name val="Calibri"/>
      <family val="2"/>
      <scheme val="minor"/>
    </font>
    <font>
      <sz val="11"/>
      <color rgb="FF000000"/>
      <name val="Calibri"/>
      <family val="2"/>
      <scheme val="minor"/>
    </font>
    <font>
      <sz val="11"/>
      <color theme="4" tint="-0.499984740745262"/>
      <name val="Calibri"/>
      <family val="2"/>
      <scheme val="minor"/>
    </font>
    <font>
      <sz val="11"/>
      <color theme="7" tint="-0.49998474074526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s>
  <cellStyleXfs count="5">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cellStyleXfs>
  <cellXfs count="55">
    <xf numFmtId="0" fontId="0" fillId="0" borderId="0" xfId="0"/>
    <xf numFmtId="9" fontId="0" fillId="0" borderId="0" xfId="0" applyNumberFormat="1"/>
    <xf numFmtId="0" fontId="2" fillId="3" borderId="1" xfId="0" applyFont="1" applyFill="1" applyBorder="1" applyAlignment="1">
      <alignment horizontal="center" vertical="center" wrapText="1"/>
    </xf>
    <xf numFmtId="9" fontId="3" fillId="3" borderId="1" xfId="0" applyNumberFormat="1" applyFont="1" applyFill="1" applyBorder="1" applyAlignment="1">
      <alignment vertical="center" wrapText="1"/>
    </xf>
    <xf numFmtId="3" fontId="0" fillId="0" borderId="0" xfId="0" applyNumberFormat="1"/>
    <xf numFmtId="0" fontId="0" fillId="0" borderId="0" xfId="0" applyAlignment="1">
      <alignment horizontal="center"/>
    </xf>
    <xf numFmtId="10" fontId="0" fillId="0" borderId="0" xfId="0" applyNumberFormat="1"/>
    <xf numFmtId="6" fontId="3" fillId="3" borderId="1" xfId="0" applyNumberFormat="1" applyFont="1" applyFill="1" applyBorder="1" applyAlignment="1">
      <alignment vertical="center" wrapText="1"/>
    </xf>
    <xf numFmtId="6" fontId="4" fillId="0" borderId="1" xfId="0" applyNumberFormat="1" applyFont="1" applyBorder="1"/>
    <xf numFmtId="6" fontId="0" fillId="0" borderId="0" xfId="0" applyNumberFormat="1"/>
    <xf numFmtId="8" fontId="0" fillId="0" borderId="0" xfId="0" applyNumberFormat="1"/>
    <xf numFmtId="0" fontId="0" fillId="0" borderId="0" xfId="0" applyAlignment="1">
      <alignment horizontal="left"/>
    </xf>
    <xf numFmtId="0" fontId="1" fillId="0" borderId="0" xfId="0" applyFont="1"/>
    <xf numFmtId="8" fontId="1" fillId="0" borderId="0" xfId="0" applyNumberFormat="1" applyFont="1"/>
    <xf numFmtId="8" fontId="0" fillId="2" borderId="0" xfId="0" applyNumberFormat="1" applyFill="1"/>
    <xf numFmtId="8" fontId="5" fillId="0" borderId="0" xfId="0" applyNumberFormat="1" applyFont="1" applyFill="1"/>
    <xf numFmtId="8" fontId="0" fillId="0" borderId="0" xfId="0" applyNumberFormat="1" applyFill="1"/>
    <xf numFmtId="0" fontId="0" fillId="0" borderId="0" xfId="0" applyAlignment="1">
      <alignment wrapText="1"/>
    </xf>
    <xf numFmtId="0" fontId="0" fillId="0" borderId="0" xfId="0" applyAlignment="1">
      <alignment horizontal="center"/>
    </xf>
    <xf numFmtId="2" fontId="0" fillId="0" borderId="0" xfId="0" applyNumberFormat="1"/>
    <xf numFmtId="0" fontId="6" fillId="0" borderId="0" xfId="0" applyFont="1"/>
    <xf numFmtId="0" fontId="7" fillId="0" borderId="0" xfId="0" applyFont="1"/>
    <xf numFmtId="0" fontId="6" fillId="2" borderId="0" xfId="0" applyFont="1" applyFill="1"/>
    <xf numFmtId="0" fontId="0" fillId="2" borderId="0" xfId="0" applyFill="1"/>
    <xf numFmtId="0" fontId="9" fillId="0" borderId="0" xfId="0" applyFont="1"/>
    <xf numFmtId="0" fontId="8" fillId="0" borderId="0" xfId="0" applyFont="1"/>
    <xf numFmtId="10" fontId="8" fillId="0" borderId="0" xfId="0" applyNumberFormat="1" applyFont="1"/>
    <xf numFmtId="4" fontId="0" fillId="0" borderId="0" xfId="0" applyNumberFormat="1"/>
    <xf numFmtId="2" fontId="0" fillId="2" borderId="0" xfId="0" applyNumberFormat="1" applyFill="1"/>
    <xf numFmtId="0" fontId="0" fillId="0" borderId="0" xfId="0" applyAlignment="1">
      <alignment horizontal="center"/>
    </xf>
    <xf numFmtId="0" fontId="13" fillId="0" borderId="0" xfId="0" applyFont="1"/>
    <xf numFmtId="0" fontId="0" fillId="2" borderId="0" xfId="0" applyFill="1" applyAlignment="1">
      <alignment wrapText="1"/>
    </xf>
    <xf numFmtId="0" fontId="0" fillId="5" borderId="0" xfId="0" applyFill="1" applyAlignment="1">
      <alignment wrapText="1"/>
    </xf>
    <xf numFmtId="0" fontId="12" fillId="5" borderId="0" xfId="0" applyFont="1" applyFill="1" applyAlignment="1">
      <alignment wrapText="1"/>
    </xf>
    <xf numFmtId="0" fontId="0" fillId="0" borderId="0" xfId="0" applyFill="1" applyAlignment="1">
      <alignment wrapText="1"/>
    </xf>
    <xf numFmtId="8" fontId="5" fillId="2" borderId="0" xfId="0" applyNumberFormat="1" applyFont="1" applyFill="1"/>
    <xf numFmtId="0" fontId="1" fillId="0" borderId="0" xfId="0" applyFont="1" applyAlignment="1">
      <alignment wrapText="1"/>
    </xf>
    <xf numFmtId="0" fontId="5" fillId="0" borderId="0" xfId="0" applyFont="1"/>
    <xf numFmtId="0" fontId="14" fillId="0" borderId="0" xfId="0" applyFont="1" applyAlignment="1">
      <alignment wrapText="1"/>
    </xf>
    <xf numFmtId="0" fontId="14" fillId="0" borderId="0" xfId="0" applyFont="1"/>
    <xf numFmtId="8" fontId="0" fillId="6" borderId="0" xfId="0" applyNumberFormat="1" applyFill="1"/>
    <xf numFmtId="0" fontId="0" fillId="0" borderId="0" xfId="0" applyAlignment="1">
      <alignment horizontal="center"/>
    </xf>
    <xf numFmtId="0" fontId="2" fillId="3" borderId="2" xfId="0" applyFont="1" applyFill="1" applyBorder="1" applyAlignment="1">
      <alignment horizontal="center" vertical="center" wrapText="1"/>
    </xf>
    <xf numFmtId="0" fontId="0" fillId="0" borderId="3" xfId="0"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0" fillId="0" borderId="5" xfId="0" applyBorder="1" applyAlignment="1"/>
    <xf numFmtId="0" fontId="0" fillId="0" borderId="0" xfId="0"/>
    <xf numFmtId="9" fontId="0" fillId="0" borderId="0" xfId="0" applyNumberFormat="1"/>
    <xf numFmtId="10" fontId="0" fillId="0" borderId="0" xfId="0" applyNumberFormat="1"/>
    <xf numFmtId="6" fontId="0" fillId="0" borderId="0" xfId="0" applyNumberFormat="1"/>
    <xf numFmtId="8" fontId="0" fillId="0" borderId="0" xfId="0" applyNumberFormat="1"/>
    <xf numFmtId="0" fontId="1" fillId="0" borderId="0" xfId="0" applyFont="1"/>
    <xf numFmtId="8" fontId="1" fillId="0" borderId="0" xfId="0" applyNumberFormat="1" applyFont="1"/>
    <xf numFmtId="0" fontId="0" fillId="0" borderId="0" xfId="0" applyAlignment="1">
      <alignment wrapText="1"/>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93"/>
  <sheetViews>
    <sheetView workbookViewId="0">
      <selection activeCell="E69" sqref="E69"/>
    </sheetView>
  </sheetViews>
  <sheetFormatPr defaultColWidth="8.77734375" defaultRowHeight="14.4"/>
  <cols>
    <col min="1" max="1" width="37.109375" bestFit="1" customWidth="1"/>
    <col min="2" max="2" width="27.44140625" customWidth="1"/>
    <col min="3" max="3" width="43.33203125" customWidth="1"/>
    <col min="4" max="4" width="18.33203125" bestFit="1" customWidth="1"/>
    <col min="5" max="5" width="26.109375" customWidth="1"/>
    <col min="6" max="6" width="18.44140625" customWidth="1"/>
    <col min="7" max="7" width="17.44140625" customWidth="1"/>
  </cols>
  <sheetData>
    <row r="3" spans="1:5" ht="45" customHeight="1">
      <c r="A3" s="44" t="s">
        <v>0</v>
      </c>
      <c r="B3" s="45"/>
      <c r="C3" s="45"/>
      <c r="D3" s="46"/>
      <c r="E3" s="46"/>
    </row>
    <row r="4" spans="1:5">
      <c r="A4" s="2" t="s">
        <v>1</v>
      </c>
      <c r="B4" s="42" t="s">
        <v>2</v>
      </c>
      <c r="C4" s="43"/>
      <c r="D4" s="42" t="s">
        <v>3</v>
      </c>
      <c r="E4" s="43"/>
    </row>
    <row r="5" spans="1:5">
      <c r="A5" s="3">
        <v>0.1</v>
      </c>
      <c r="B5" s="7">
        <v>0</v>
      </c>
      <c r="C5" s="7">
        <v>9275</v>
      </c>
      <c r="D5" s="7">
        <v>0</v>
      </c>
      <c r="E5" s="8">
        <v>18550</v>
      </c>
    </row>
    <row r="6" spans="1:5">
      <c r="A6" s="3">
        <v>0.15</v>
      </c>
      <c r="B6" s="7">
        <v>9275</v>
      </c>
      <c r="C6" s="7">
        <v>37650</v>
      </c>
      <c r="D6" s="7">
        <v>18550</v>
      </c>
      <c r="E6" s="7">
        <v>75300</v>
      </c>
    </row>
    <row r="7" spans="1:5">
      <c r="A7" s="3">
        <v>0.25</v>
      </c>
      <c r="B7" s="7">
        <v>37650</v>
      </c>
      <c r="C7" s="7">
        <v>91150</v>
      </c>
      <c r="D7" s="7">
        <v>75300</v>
      </c>
      <c r="E7" s="7">
        <v>151900</v>
      </c>
    </row>
    <row r="8" spans="1:5">
      <c r="A8" s="3">
        <v>0.28000000000000003</v>
      </c>
      <c r="B8" s="7">
        <v>91150</v>
      </c>
      <c r="C8" s="7">
        <v>190150</v>
      </c>
      <c r="D8" s="7">
        <v>151900</v>
      </c>
      <c r="E8" s="7">
        <v>231450</v>
      </c>
    </row>
    <row r="10" spans="1:5">
      <c r="A10" t="s">
        <v>22</v>
      </c>
      <c r="B10" s="4">
        <v>4050</v>
      </c>
    </row>
    <row r="11" spans="1:5">
      <c r="A11" t="s">
        <v>21</v>
      </c>
      <c r="B11" s="4">
        <v>2175</v>
      </c>
    </row>
    <row r="12" spans="1:5">
      <c r="A12" t="s">
        <v>61</v>
      </c>
      <c r="B12" s="4">
        <v>1000</v>
      </c>
    </row>
    <row r="13" spans="1:5">
      <c r="A13" t="s">
        <v>62</v>
      </c>
      <c r="B13" s="4">
        <v>2000</v>
      </c>
    </row>
    <row r="15" spans="1:5">
      <c r="A15" t="s">
        <v>9</v>
      </c>
      <c r="B15" s="6">
        <v>3.7499999999999999E-2</v>
      </c>
    </row>
    <row r="16" spans="1:5">
      <c r="A16" t="s">
        <v>12</v>
      </c>
      <c r="B16" s="6">
        <v>6.2E-2</v>
      </c>
    </row>
    <row r="17" spans="1:3">
      <c r="A17" t="s">
        <v>11</v>
      </c>
      <c r="B17" s="6">
        <v>1.4500000000000001E-2</v>
      </c>
    </row>
    <row r="19" spans="1:3">
      <c r="A19" t="s">
        <v>43</v>
      </c>
    </row>
    <row r="20" spans="1:3">
      <c r="A20" s="12" t="s">
        <v>44</v>
      </c>
      <c r="B20" s="12">
        <v>11</v>
      </c>
    </row>
    <row r="21" spans="1:3">
      <c r="A21" s="12" t="s">
        <v>46</v>
      </c>
      <c r="B21" s="12">
        <v>10</v>
      </c>
    </row>
    <row r="22" spans="1:3">
      <c r="A22" s="12" t="s">
        <v>48</v>
      </c>
      <c r="B22" s="12">
        <v>900</v>
      </c>
    </row>
    <row r="23" spans="1:3">
      <c r="A23" s="12" t="s">
        <v>69</v>
      </c>
      <c r="B23" s="12">
        <v>300</v>
      </c>
    </row>
    <row r="24" spans="1:3">
      <c r="A24" s="12" t="s">
        <v>49</v>
      </c>
      <c r="B24" s="13">
        <v>5</v>
      </c>
    </row>
    <row r="25" spans="1:3">
      <c r="A25" s="12" t="s">
        <v>55</v>
      </c>
      <c r="B25" s="13">
        <v>8804.0400000000009</v>
      </c>
      <c r="C25" s="10">
        <v>5274.38</v>
      </c>
    </row>
    <row r="26" spans="1:3" ht="57.6">
      <c r="A26" s="12" t="s">
        <v>56</v>
      </c>
      <c r="B26" s="13">
        <v>12643.59</v>
      </c>
      <c r="C26" s="17" t="s">
        <v>71</v>
      </c>
    </row>
    <row r="27" spans="1:3">
      <c r="A27" s="12" t="s">
        <v>45</v>
      </c>
      <c r="B27" s="13">
        <f>B25/12*11</f>
        <v>8070.3700000000008</v>
      </c>
    </row>
    <row r="28" spans="1:3">
      <c r="A28" s="12" t="s">
        <v>47</v>
      </c>
      <c r="B28" s="13">
        <f>B26/12*B21</f>
        <v>10536.324999999999</v>
      </c>
    </row>
    <row r="29" spans="1:3">
      <c r="A29" s="12" t="s">
        <v>50</v>
      </c>
      <c r="B29" s="13">
        <f>B24*B23</f>
        <v>1500</v>
      </c>
    </row>
    <row r="30" spans="1:3">
      <c r="A30" s="12" t="s">
        <v>51</v>
      </c>
      <c r="B30" s="13">
        <v>2000</v>
      </c>
    </row>
    <row r="31" spans="1:3">
      <c r="A31" s="12" t="s">
        <v>52</v>
      </c>
      <c r="B31" s="13">
        <v>4510.3599999999997</v>
      </c>
    </row>
    <row r="32" spans="1:3">
      <c r="A32" s="12" t="s">
        <v>53</v>
      </c>
      <c r="B32" s="13">
        <v>10500</v>
      </c>
      <c r="C32" t="s">
        <v>54</v>
      </c>
    </row>
    <row r="33" spans="1:2">
      <c r="A33" s="12" t="s">
        <v>16</v>
      </c>
      <c r="B33" s="13">
        <f>SUM(B27:B32)</f>
        <v>37117.055</v>
      </c>
    </row>
    <row r="35" spans="1:2">
      <c r="A35" s="5" t="s">
        <v>6</v>
      </c>
    </row>
    <row r="36" spans="1:2">
      <c r="A36" t="s">
        <v>5</v>
      </c>
      <c r="B36" s="10">
        <v>107000</v>
      </c>
    </row>
    <row r="37" spans="1:2">
      <c r="A37" t="s">
        <v>19</v>
      </c>
      <c r="B37" s="10">
        <v>3631</v>
      </c>
    </row>
    <row r="38" spans="1:2">
      <c r="A38" t="s">
        <v>4</v>
      </c>
      <c r="B38" s="10">
        <f>100*12</f>
        <v>1200</v>
      </c>
    </row>
    <row r="39" spans="1:2">
      <c r="A39" t="s">
        <v>7</v>
      </c>
      <c r="B39" s="10">
        <f>61.38*12</f>
        <v>736.56000000000006</v>
      </c>
    </row>
    <row r="40" spans="1:2">
      <c r="A40" t="s">
        <v>8</v>
      </c>
      <c r="B40" s="10">
        <f>B36-B38-B39</f>
        <v>105063.44</v>
      </c>
    </row>
    <row r="41" spans="1:2">
      <c r="A41" t="s">
        <v>20</v>
      </c>
      <c r="B41" s="10">
        <f>B40+B37</f>
        <v>108694.44</v>
      </c>
    </row>
    <row r="43" spans="1:2">
      <c r="A43" t="s">
        <v>33</v>
      </c>
      <c r="B43" s="10">
        <f>B16*B40</f>
        <v>6513.9332800000002</v>
      </c>
    </row>
    <row r="44" spans="1:2">
      <c r="A44" t="s">
        <v>34</v>
      </c>
      <c r="B44" s="10">
        <f>B17*B40</f>
        <v>1523.4198800000001</v>
      </c>
    </row>
    <row r="45" spans="1:2">
      <c r="A45" t="s">
        <v>35</v>
      </c>
      <c r="B45" s="10">
        <f>B43+B44</f>
        <v>8037.3531600000006</v>
      </c>
    </row>
    <row r="46" spans="1:2">
      <c r="B46" s="10"/>
    </row>
    <row r="47" spans="1:2">
      <c r="A47" t="s">
        <v>40</v>
      </c>
      <c r="B47" s="10">
        <f>B16*B41</f>
        <v>6739.0552800000005</v>
      </c>
    </row>
    <row r="48" spans="1:2">
      <c r="A48" t="s">
        <v>41</v>
      </c>
      <c r="B48" s="10">
        <f>B17*B41</f>
        <v>1576.0693800000001</v>
      </c>
    </row>
    <row r="49" spans="1:7">
      <c r="A49" t="s">
        <v>42</v>
      </c>
      <c r="B49" s="10">
        <f>B47+B48</f>
        <v>8315.1246600000013</v>
      </c>
    </row>
    <row r="50" spans="1:7">
      <c r="B50" s="10"/>
    </row>
    <row r="51" spans="1:7">
      <c r="B51" s="41" t="s">
        <v>59</v>
      </c>
      <c r="C51" s="41"/>
      <c r="D51" s="41" t="s">
        <v>60</v>
      </c>
      <c r="E51" s="41"/>
      <c r="F51" s="41" t="s">
        <v>58</v>
      </c>
      <c r="G51" s="41"/>
    </row>
    <row r="52" spans="1:7">
      <c r="A52" t="s">
        <v>28</v>
      </c>
      <c r="B52">
        <v>1</v>
      </c>
      <c r="D52">
        <v>4</v>
      </c>
      <c r="F52">
        <v>4</v>
      </c>
    </row>
    <row r="53" spans="1:7">
      <c r="A53" t="s">
        <v>57</v>
      </c>
      <c r="B53" s="9">
        <v>6300</v>
      </c>
      <c r="D53" s="9">
        <v>12600</v>
      </c>
      <c r="F53" s="10">
        <f>B33</f>
        <v>37117.055</v>
      </c>
    </row>
    <row r="54" spans="1:7">
      <c r="B54" s="5" t="s">
        <v>17</v>
      </c>
      <c r="C54" s="5" t="s">
        <v>30</v>
      </c>
      <c r="D54" s="5" t="s">
        <v>17</v>
      </c>
      <c r="E54" s="5" t="s">
        <v>30</v>
      </c>
      <c r="F54" s="5" t="s">
        <v>17</v>
      </c>
      <c r="G54" s="5" t="s">
        <v>30</v>
      </c>
    </row>
    <row r="55" spans="1:7">
      <c r="A55" t="s">
        <v>18</v>
      </c>
      <c r="B55" s="10">
        <f>B40-B52*B10-B53</f>
        <v>94713.44</v>
      </c>
      <c r="D55" s="10">
        <f>B40-D52*B10-D53</f>
        <v>76263.44</v>
      </c>
      <c r="F55" s="10">
        <f>B40-F52*B10-F53</f>
        <v>51746.385000000002</v>
      </c>
    </row>
    <row r="56" spans="1:7">
      <c r="A56" s="1">
        <f>A5</f>
        <v>0.1</v>
      </c>
      <c r="B56" s="10">
        <f>B55-B59-B58-B57</f>
        <v>9275</v>
      </c>
      <c r="C56" s="10">
        <f>A5*B56</f>
        <v>927.5</v>
      </c>
      <c r="D56" s="10">
        <f>D55-D58-D57</f>
        <v>18550</v>
      </c>
      <c r="E56" s="10">
        <f>A5*D56</f>
        <v>1855</v>
      </c>
      <c r="F56" s="10">
        <f>F55-F57</f>
        <v>18550</v>
      </c>
      <c r="G56" s="10">
        <f>A5*F56</f>
        <v>1855</v>
      </c>
    </row>
    <row r="57" spans="1:7">
      <c r="A57" s="1">
        <f>A6</f>
        <v>0.15</v>
      </c>
      <c r="B57" s="10">
        <f>B55-B59-B58-B6</f>
        <v>28375</v>
      </c>
      <c r="C57" s="10">
        <f>A6*B57</f>
        <v>4256.25</v>
      </c>
      <c r="D57" s="10">
        <f>D55-D58-D6</f>
        <v>56750</v>
      </c>
      <c r="E57" s="10">
        <f>A6*D57</f>
        <v>8512.5</v>
      </c>
      <c r="F57" s="10">
        <f>F55-D6</f>
        <v>33196.385000000002</v>
      </c>
      <c r="G57" s="10">
        <f>A6*F57</f>
        <v>4979.4577500000005</v>
      </c>
    </row>
    <row r="58" spans="1:7">
      <c r="A58" s="1">
        <f>A7</f>
        <v>0.25</v>
      </c>
      <c r="B58" s="10">
        <f>B55-B59-B7</f>
        <v>53500</v>
      </c>
      <c r="C58" s="10">
        <f>A7*B58</f>
        <v>13375</v>
      </c>
      <c r="D58" s="10">
        <f>D55-D7</f>
        <v>963.44000000000233</v>
      </c>
      <c r="E58" s="10">
        <f>A7*D58</f>
        <v>240.86000000000058</v>
      </c>
      <c r="F58" s="10">
        <v>0</v>
      </c>
      <c r="G58" s="10">
        <v>0</v>
      </c>
    </row>
    <row r="59" spans="1:7">
      <c r="A59" s="1">
        <f>A8</f>
        <v>0.28000000000000003</v>
      </c>
      <c r="B59" s="10">
        <f>B55-B8</f>
        <v>3563.4400000000023</v>
      </c>
      <c r="C59" s="10">
        <f>A8*B59</f>
        <v>997.76320000000078</v>
      </c>
      <c r="D59" s="10">
        <v>0</v>
      </c>
      <c r="E59" s="10">
        <v>0</v>
      </c>
      <c r="F59" s="10">
        <v>0</v>
      </c>
      <c r="G59" s="10">
        <v>0</v>
      </c>
    </row>
    <row r="60" spans="1:7">
      <c r="A60" t="s">
        <v>16</v>
      </c>
      <c r="B60" s="10">
        <f t="shared" ref="B60:G60" si="0">SUM(B56:B59)</f>
        <v>94713.44</v>
      </c>
      <c r="C60" s="10">
        <f t="shared" si="0"/>
        <v>19556.513200000001</v>
      </c>
      <c r="D60" s="10">
        <f t="shared" si="0"/>
        <v>76263.44</v>
      </c>
      <c r="E60" s="10">
        <f t="shared" si="0"/>
        <v>10608.36</v>
      </c>
      <c r="F60" s="10">
        <f t="shared" si="0"/>
        <v>51746.385000000002</v>
      </c>
      <c r="G60" s="10">
        <f t="shared" si="0"/>
        <v>6834.4577500000005</v>
      </c>
    </row>
    <row r="61" spans="1:7">
      <c r="A61" t="s">
        <v>29</v>
      </c>
      <c r="B61" s="1">
        <v>0.28000000000000003</v>
      </c>
      <c r="C61" s="10">
        <f>B61*B37</f>
        <v>1016.6800000000001</v>
      </c>
      <c r="D61" s="1">
        <v>0.25</v>
      </c>
      <c r="E61" s="10">
        <f>D61*B37</f>
        <v>907.75</v>
      </c>
      <c r="F61" s="1">
        <v>0.15</v>
      </c>
      <c r="G61" s="10">
        <f>F61*B37</f>
        <v>544.65</v>
      </c>
    </row>
    <row r="62" spans="1:7">
      <c r="A62" t="s">
        <v>24</v>
      </c>
      <c r="C62" s="10">
        <f>C60+C61</f>
        <v>20573.193200000002</v>
      </c>
      <c r="E62" s="10">
        <f>E60+E61</f>
        <v>11516.11</v>
      </c>
      <c r="G62" s="10">
        <f>G60+G61</f>
        <v>7379.1077500000001</v>
      </c>
    </row>
    <row r="63" spans="1:7">
      <c r="A63" t="s">
        <v>23</v>
      </c>
      <c r="E63" s="10">
        <f>C62-E62</f>
        <v>9057.0832000000009</v>
      </c>
      <c r="G63" s="10">
        <f>C62-G62</f>
        <v>13194.085450000002</v>
      </c>
    </row>
    <row r="64" spans="1:7">
      <c r="A64" t="s">
        <v>63</v>
      </c>
      <c r="B64">
        <v>2</v>
      </c>
    </row>
    <row r="65" spans="1:7">
      <c r="A65" t="s">
        <v>64</v>
      </c>
      <c r="B65">
        <v>1</v>
      </c>
    </row>
    <row r="66" spans="1:7">
      <c r="A66" t="s">
        <v>65</v>
      </c>
      <c r="B66">
        <f>B64*B12</f>
        <v>2000</v>
      </c>
    </row>
    <row r="67" spans="1:7">
      <c r="A67" t="s">
        <v>66</v>
      </c>
      <c r="B67">
        <f>B65*B13</f>
        <v>2000</v>
      </c>
    </row>
    <row r="68" spans="1:7">
      <c r="A68" t="s">
        <v>67</v>
      </c>
      <c r="B68">
        <f>B66+B67</f>
        <v>4000</v>
      </c>
    </row>
    <row r="69" spans="1:7">
      <c r="A69" t="s">
        <v>68</v>
      </c>
      <c r="E69" s="15">
        <f>E63+B68</f>
        <v>13057.083200000001</v>
      </c>
      <c r="G69" s="16">
        <f>G63+B68</f>
        <v>17194.085450000002</v>
      </c>
    </row>
    <row r="70" spans="1:7">
      <c r="A70" t="s">
        <v>70</v>
      </c>
      <c r="B70">
        <v>244.39</v>
      </c>
      <c r="E70" s="14">
        <f>E69+B70</f>
        <v>13301.4732</v>
      </c>
      <c r="G70" s="14">
        <f>G69+B70</f>
        <v>17438.475450000002</v>
      </c>
    </row>
    <row r="72" spans="1:7">
      <c r="A72" t="s">
        <v>25</v>
      </c>
      <c r="B72">
        <v>1</v>
      </c>
      <c r="D72">
        <v>4</v>
      </c>
    </row>
    <row r="73" spans="1:7">
      <c r="A73" t="s">
        <v>36</v>
      </c>
      <c r="B73" s="10">
        <f>B40-B72*B11</f>
        <v>102888.44</v>
      </c>
      <c r="D73" s="10">
        <f>B40-D72*B11</f>
        <v>96363.44</v>
      </c>
    </row>
    <row r="74" spans="1:7">
      <c r="A74" t="s">
        <v>13</v>
      </c>
      <c r="B74" s="10">
        <f>B15*B73</f>
        <v>3858.3164999999999</v>
      </c>
      <c r="D74" s="10">
        <f>B15*D73</f>
        <v>3613.6289999999999</v>
      </c>
    </row>
    <row r="75" spans="1:7">
      <c r="A75" t="s">
        <v>26</v>
      </c>
      <c r="B75" s="10">
        <f>B41-B72*B11</f>
        <v>106519.44</v>
      </c>
      <c r="D75" s="10">
        <f>B41-D72*B11</f>
        <v>99994.44</v>
      </c>
    </row>
    <row r="76" spans="1:7">
      <c r="A76" t="s">
        <v>37</v>
      </c>
      <c r="B76" s="10">
        <f>B15*B75</f>
        <v>3994.4789999999998</v>
      </c>
      <c r="D76" s="10">
        <f>B15*D75</f>
        <v>3749.7914999999998</v>
      </c>
    </row>
    <row r="77" spans="1:7">
      <c r="A77" t="s">
        <v>27</v>
      </c>
      <c r="D77" s="14">
        <f>B76-D76</f>
        <v>244.6875</v>
      </c>
    </row>
    <row r="79" spans="1:7">
      <c r="A79" s="5" t="s">
        <v>31</v>
      </c>
    </row>
    <row r="80" spans="1:7">
      <c r="A80" s="5"/>
    </row>
    <row r="81" spans="1:4">
      <c r="A81" s="11" t="s">
        <v>38</v>
      </c>
    </row>
    <row r="82" spans="1:4">
      <c r="A82" t="s">
        <v>15</v>
      </c>
      <c r="B82" s="10">
        <f>C60/12</f>
        <v>1629.7094333333334</v>
      </c>
      <c r="D82" s="10">
        <f>E60/12</f>
        <v>884.03000000000009</v>
      </c>
    </row>
    <row r="83" spans="1:4">
      <c r="A83" t="s">
        <v>13</v>
      </c>
      <c r="B83" s="10">
        <f>B74/12</f>
        <v>321.52637499999997</v>
      </c>
      <c r="D83" s="10">
        <f>D74/12</f>
        <v>301.13574999999997</v>
      </c>
    </row>
    <row r="84" spans="1:4">
      <c r="A84" t="s">
        <v>10</v>
      </c>
      <c r="B84" s="10">
        <f>B43/12</f>
        <v>542.82777333333331</v>
      </c>
      <c r="D84" s="10"/>
    </row>
    <row r="85" spans="1:4">
      <c r="A85" t="s">
        <v>14</v>
      </c>
      <c r="B85" s="10">
        <f>B44/12</f>
        <v>126.95165666666668</v>
      </c>
    </row>
    <row r="86" spans="1:4">
      <c r="A86" t="s">
        <v>32</v>
      </c>
      <c r="B86" s="10">
        <f>B84+B85</f>
        <v>669.77943000000005</v>
      </c>
    </row>
    <row r="88" spans="1:4">
      <c r="A88" s="11" t="s">
        <v>39</v>
      </c>
    </row>
    <row r="89" spans="1:4">
      <c r="A89" t="s">
        <v>15</v>
      </c>
      <c r="B89" s="10">
        <f>C62/12</f>
        <v>1714.4327666666668</v>
      </c>
      <c r="D89" s="10">
        <f>E62/12</f>
        <v>959.67583333333334</v>
      </c>
    </row>
    <row r="90" spans="1:4">
      <c r="A90" t="s">
        <v>13</v>
      </c>
      <c r="B90" s="10">
        <f>B76/12</f>
        <v>332.87324999999998</v>
      </c>
      <c r="D90" s="10">
        <f>D76/12</f>
        <v>312.48262499999998</v>
      </c>
    </row>
    <row r="91" spans="1:4">
      <c r="A91" t="s">
        <v>10</v>
      </c>
      <c r="B91" s="10">
        <f>B47/12</f>
        <v>561.58794</v>
      </c>
      <c r="D91" s="10"/>
    </row>
    <row r="92" spans="1:4">
      <c r="A92" t="s">
        <v>14</v>
      </c>
      <c r="B92" s="10">
        <f>B48/12</f>
        <v>131.33911500000002</v>
      </c>
    </row>
    <row r="93" spans="1:4">
      <c r="A93" t="s">
        <v>32</v>
      </c>
      <c r="B93" s="10">
        <f>B91+B92</f>
        <v>692.927055</v>
      </c>
    </row>
  </sheetData>
  <mergeCells count="6">
    <mergeCell ref="F51:G51"/>
    <mergeCell ref="B4:C4"/>
    <mergeCell ref="D4:E4"/>
    <mergeCell ref="A3:E3"/>
    <mergeCell ref="D51:E51"/>
    <mergeCell ref="B51:C5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4"/>
  <sheetViews>
    <sheetView topLeftCell="A19" workbookViewId="0">
      <selection activeCell="A42" sqref="A42:B42"/>
    </sheetView>
  </sheetViews>
  <sheetFormatPr defaultColWidth="8.77734375" defaultRowHeight="14.4"/>
  <cols>
    <col min="1" max="1" width="37.109375" bestFit="1" customWidth="1"/>
    <col min="2" max="2" width="27.44140625" customWidth="1"/>
    <col min="3" max="3" width="53.44140625" bestFit="1" customWidth="1"/>
    <col min="4" max="4" width="22.109375" customWidth="1"/>
    <col min="5" max="5" width="26.109375" customWidth="1"/>
    <col min="6" max="6" width="18.44140625" customWidth="1"/>
    <col min="7" max="7" width="17.44140625" customWidth="1"/>
  </cols>
  <sheetData>
    <row r="1" spans="1:5">
      <c r="A1" t="s">
        <v>165</v>
      </c>
    </row>
    <row r="3" spans="1:5" ht="45" customHeight="1">
      <c r="A3" s="44" t="s">
        <v>0</v>
      </c>
      <c r="B3" s="45"/>
      <c r="C3" s="45"/>
      <c r="D3" s="46"/>
      <c r="E3" s="46"/>
    </row>
    <row r="4" spans="1:5">
      <c r="A4" s="2" t="s">
        <v>1</v>
      </c>
      <c r="B4" s="42" t="s">
        <v>2</v>
      </c>
      <c r="C4" s="43"/>
      <c r="D4" s="42" t="s">
        <v>3</v>
      </c>
      <c r="E4" s="43"/>
    </row>
    <row r="5" spans="1:5">
      <c r="A5" s="3">
        <v>0.1</v>
      </c>
      <c r="B5" s="7">
        <v>0</v>
      </c>
      <c r="C5" s="7">
        <v>9325</v>
      </c>
      <c r="D5" s="7">
        <v>0</v>
      </c>
      <c r="E5" s="8">
        <v>18650</v>
      </c>
    </row>
    <row r="6" spans="1:5">
      <c r="A6" s="3">
        <v>0.15</v>
      </c>
      <c r="B6" s="7">
        <v>9325</v>
      </c>
      <c r="C6" s="7">
        <v>37950</v>
      </c>
      <c r="D6" s="7">
        <v>18650</v>
      </c>
      <c r="E6" s="7">
        <v>75900</v>
      </c>
    </row>
    <row r="7" spans="1:5">
      <c r="A7" s="3">
        <v>0.25</v>
      </c>
      <c r="B7" s="7">
        <v>37950</v>
      </c>
      <c r="C7" s="7">
        <v>91900</v>
      </c>
      <c r="D7" s="7">
        <v>75900</v>
      </c>
      <c r="E7" s="7">
        <v>153100</v>
      </c>
    </row>
    <row r="8" spans="1:5">
      <c r="A8" s="3">
        <v>0.28000000000000003</v>
      </c>
      <c r="B8" s="7">
        <v>91900</v>
      </c>
      <c r="C8" s="7">
        <v>191650</v>
      </c>
      <c r="D8" s="7">
        <v>153100</v>
      </c>
      <c r="E8" s="7">
        <v>233350</v>
      </c>
    </row>
    <row r="10" spans="1:5">
      <c r="A10" t="s">
        <v>22</v>
      </c>
      <c r="B10" s="4">
        <v>4050</v>
      </c>
    </row>
    <row r="11" spans="1:5">
      <c r="A11" t="s">
        <v>21</v>
      </c>
      <c r="B11" s="4">
        <v>2175</v>
      </c>
    </row>
    <row r="12" spans="1:5">
      <c r="A12" t="s">
        <v>61</v>
      </c>
      <c r="B12" s="4">
        <v>1000</v>
      </c>
    </row>
    <row r="13" spans="1:5">
      <c r="A13" t="s">
        <v>62</v>
      </c>
      <c r="B13" s="4">
        <v>2000</v>
      </c>
    </row>
    <row r="14" spans="1:5">
      <c r="A14" t="s">
        <v>142</v>
      </c>
      <c r="B14" s="4">
        <f>240*1+480*3</f>
        <v>1680</v>
      </c>
    </row>
    <row r="15" spans="1:5">
      <c r="A15" t="s">
        <v>143</v>
      </c>
      <c r="B15" s="6">
        <v>0.2</v>
      </c>
    </row>
    <row r="16" spans="1:5">
      <c r="A16" t="s">
        <v>140</v>
      </c>
      <c r="B16" s="4">
        <f>B15*B14</f>
        <v>336</v>
      </c>
    </row>
    <row r="18" spans="1:3">
      <c r="A18" t="s">
        <v>153</v>
      </c>
      <c r="B18" s="6">
        <v>3.7499999999999999E-2</v>
      </c>
    </row>
    <row r="19" spans="1:3">
      <c r="A19" t="s">
        <v>154</v>
      </c>
      <c r="B19" s="6">
        <v>4.9500000000000002E-2</v>
      </c>
    </row>
    <row r="20" spans="1:3">
      <c r="A20" t="s">
        <v>171</v>
      </c>
      <c r="B20" s="6">
        <v>0.05</v>
      </c>
    </row>
    <row r="21" spans="1:3">
      <c r="A21" t="s">
        <v>12</v>
      </c>
      <c r="B21" s="6">
        <v>6.2E-2</v>
      </c>
    </row>
    <row r="22" spans="1:3">
      <c r="A22" t="s">
        <v>11</v>
      </c>
      <c r="B22" s="6">
        <v>1.4500000000000001E-2</v>
      </c>
    </row>
    <row r="24" spans="1:3">
      <c r="A24" t="s">
        <v>43</v>
      </c>
    </row>
    <row r="25" spans="1:3">
      <c r="A25" s="12" t="s">
        <v>44</v>
      </c>
      <c r="B25" s="12">
        <v>12</v>
      </c>
    </row>
    <row r="26" spans="1:3">
      <c r="A26" s="12" t="s">
        <v>46</v>
      </c>
      <c r="B26" s="12">
        <v>12</v>
      </c>
    </row>
    <row r="27" spans="1:3">
      <c r="A27" s="12" t="s">
        <v>48</v>
      </c>
      <c r="B27" s="12">
        <v>900</v>
      </c>
    </row>
    <row r="28" spans="1:3">
      <c r="A28" s="12" t="s">
        <v>69</v>
      </c>
      <c r="B28" s="12">
        <v>300</v>
      </c>
    </row>
    <row r="29" spans="1:3">
      <c r="A29" s="12" t="s">
        <v>49</v>
      </c>
      <c r="B29" s="13">
        <v>5</v>
      </c>
    </row>
    <row r="30" spans="1:3">
      <c r="A30" s="12" t="s">
        <v>55</v>
      </c>
      <c r="B30" s="13">
        <v>8000</v>
      </c>
      <c r="C30" s="10">
        <v>5274.38</v>
      </c>
    </row>
    <row r="31" spans="1:3" ht="57.6">
      <c r="A31" s="12" t="s">
        <v>56</v>
      </c>
      <c r="B31" s="13">
        <v>12389.58</v>
      </c>
      <c r="C31" s="17" t="s">
        <v>71</v>
      </c>
    </row>
    <row r="32" spans="1:3">
      <c r="A32" s="12"/>
      <c r="B32" s="13"/>
      <c r="C32" s="17"/>
    </row>
    <row r="33" spans="1:4">
      <c r="A33" s="12" t="s">
        <v>156</v>
      </c>
      <c r="B33" s="13">
        <f>12*122.85</f>
        <v>1474.1999999999998</v>
      </c>
      <c r="C33" s="32" t="s">
        <v>173</v>
      </c>
    </row>
    <row r="34" spans="1:4">
      <c r="A34" s="12" t="s">
        <v>45</v>
      </c>
      <c r="B34" s="13">
        <f>B30/12*12</f>
        <v>8000</v>
      </c>
    </row>
    <row r="35" spans="1:4">
      <c r="A35" s="12" t="s">
        <v>47</v>
      </c>
      <c r="B35" s="13">
        <f>B31/12*B26</f>
        <v>12389.579999999998</v>
      </c>
    </row>
    <row r="36" spans="1:4">
      <c r="A36" s="12" t="s">
        <v>50</v>
      </c>
      <c r="B36" s="13">
        <v>0</v>
      </c>
    </row>
    <row r="37" spans="1:4">
      <c r="A37" s="12" t="s">
        <v>162</v>
      </c>
      <c r="B37" s="13">
        <f>440.09*4+3056.91</f>
        <v>4817.2699999999995</v>
      </c>
      <c r="C37" t="s">
        <v>164</v>
      </c>
    </row>
    <row r="38" spans="1:4">
      <c r="A38" s="12" t="s">
        <v>53</v>
      </c>
      <c r="B38" s="13">
        <v>10000</v>
      </c>
      <c r="C38" t="s">
        <v>54</v>
      </c>
    </row>
    <row r="39" spans="1:4">
      <c r="A39" s="12" t="s">
        <v>157</v>
      </c>
      <c r="B39" s="13">
        <f>SUM(B33:B38)</f>
        <v>36681.050000000003</v>
      </c>
    </row>
    <row r="40" spans="1:4">
      <c r="A40" s="12"/>
      <c r="B40" s="13"/>
    </row>
    <row r="41" spans="1:4">
      <c r="A41" s="30" t="s">
        <v>145</v>
      </c>
      <c r="B41" s="13"/>
    </row>
    <row r="42" spans="1:4">
      <c r="A42" s="12" t="s">
        <v>141</v>
      </c>
      <c r="B42" s="13">
        <v>2500</v>
      </c>
    </row>
    <row r="43" spans="1:4" ht="28.8">
      <c r="A43" s="12" t="s">
        <v>148</v>
      </c>
      <c r="B43" s="13">
        <v>0</v>
      </c>
      <c r="C43" s="17" t="s">
        <v>149</v>
      </c>
      <c r="D43" s="32" t="s">
        <v>158</v>
      </c>
    </row>
    <row r="44" spans="1:4" ht="28.8">
      <c r="A44" s="12" t="s">
        <v>146</v>
      </c>
      <c r="B44" s="13">
        <v>0</v>
      </c>
      <c r="C44" t="s">
        <v>147</v>
      </c>
      <c r="D44" s="32" t="s">
        <v>158</v>
      </c>
    </row>
    <row r="45" spans="1:4" ht="28.8">
      <c r="A45" s="12" t="s">
        <v>159</v>
      </c>
      <c r="B45" s="13">
        <v>0</v>
      </c>
      <c r="C45" t="s">
        <v>147</v>
      </c>
      <c r="D45" s="33" t="s">
        <v>158</v>
      </c>
    </row>
    <row r="46" spans="1:4">
      <c r="A46" s="12" t="s">
        <v>150</v>
      </c>
      <c r="B46" s="13">
        <v>0</v>
      </c>
    </row>
    <row r="47" spans="1:4">
      <c r="A47" s="12" t="s">
        <v>151</v>
      </c>
      <c r="B47" s="13">
        <f>SUM(B42:B46)</f>
        <v>2500</v>
      </c>
      <c r="C47" t="s">
        <v>152</v>
      </c>
    </row>
    <row r="48" spans="1:4">
      <c r="A48" s="12"/>
      <c r="B48" s="13"/>
    </row>
    <row r="49" spans="1:3">
      <c r="A49" s="12" t="s">
        <v>16</v>
      </c>
      <c r="B49" s="13">
        <f>B39+B47</f>
        <v>39181.050000000003</v>
      </c>
    </row>
    <row r="51" spans="1:3">
      <c r="A51" s="18" t="s">
        <v>6</v>
      </c>
    </row>
    <row r="52" spans="1:3">
      <c r="A52" t="s">
        <v>5</v>
      </c>
      <c r="B52" s="10">
        <v>112000</v>
      </c>
    </row>
    <row r="53" spans="1:3">
      <c r="A53" t="s">
        <v>19</v>
      </c>
      <c r="B53" s="10">
        <v>4102</v>
      </c>
    </row>
    <row r="54" spans="1:3">
      <c r="A54" t="s">
        <v>4</v>
      </c>
      <c r="B54" s="10">
        <f>100*6+200*6</f>
        <v>1800</v>
      </c>
    </row>
    <row r="55" spans="1:3">
      <c r="A55" t="s">
        <v>7</v>
      </c>
      <c r="B55" s="10">
        <f>61.38*12</f>
        <v>736.56000000000006</v>
      </c>
    </row>
    <row r="56" spans="1:3">
      <c r="A56" t="s">
        <v>8</v>
      </c>
      <c r="B56" s="10">
        <f>B52-B54-B55</f>
        <v>109463.44</v>
      </c>
    </row>
    <row r="57" spans="1:3">
      <c r="A57" t="s">
        <v>20</v>
      </c>
      <c r="B57" s="10">
        <f>B56+B53</f>
        <v>113565.44</v>
      </c>
    </row>
    <row r="58" spans="1:3" ht="115.2">
      <c r="A58" t="s">
        <v>81</v>
      </c>
      <c r="B58" s="10">
        <f>B57-B47</f>
        <v>111065.44</v>
      </c>
      <c r="C58" s="31" t="s">
        <v>161</v>
      </c>
    </row>
    <row r="59" spans="1:3">
      <c r="A59" t="s">
        <v>166</v>
      </c>
      <c r="B59" s="10">
        <f>B52/12*6-600-B55/2+B53-B47/2</f>
        <v>57883.72</v>
      </c>
      <c r="C59" s="34"/>
    </row>
    <row r="60" spans="1:3">
      <c r="A60" t="s">
        <v>167</v>
      </c>
      <c r="B60" s="10">
        <f>B52/12*6-1200-B55/2-B47/2</f>
        <v>53181.72</v>
      </c>
      <c r="C60" s="34"/>
    </row>
    <row r="62" spans="1:3">
      <c r="A62" t="s">
        <v>33</v>
      </c>
      <c r="B62" s="10">
        <f>B21*B56</f>
        <v>6786.7332800000004</v>
      </c>
    </row>
    <row r="63" spans="1:3">
      <c r="A63" t="s">
        <v>34</v>
      </c>
      <c r="B63" s="10">
        <f>B22*B56</f>
        <v>1587.2198800000001</v>
      </c>
    </row>
    <row r="64" spans="1:3">
      <c r="A64" t="s">
        <v>35</v>
      </c>
      <c r="B64" s="10">
        <f>B62+B63</f>
        <v>8373.9531600000009</v>
      </c>
    </row>
    <row r="65" spans="1:7">
      <c r="B65" s="10"/>
    </row>
    <row r="66" spans="1:7">
      <c r="A66" t="s">
        <v>40</v>
      </c>
      <c r="B66" s="10">
        <f>B21*B57</f>
        <v>7041.05728</v>
      </c>
    </row>
    <row r="67" spans="1:7">
      <c r="A67" t="s">
        <v>41</v>
      </c>
      <c r="B67" s="10">
        <f>B22*B57</f>
        <v>1646.6988800000001</v>
      </c>
    </row>
    <row r="68" spans="1:7">
      <c r="A68" t="s">
        <v>42</v>
      </c>
      <c r="B68" s="10">
        <f>B66+B67</f>
        <v>8687.7561600000008</v>
      </c>
    </row>
    <row r="69" spans="1:7">
      <c r="B69" s="10"/>
    </row>
    <row r="70" spans="1:7">
      <c r="B70" s="41" t="s">
        <v>59</v>
      </c>
      <c r="C70" s="41"/>
      <c r="D70" s="41" t="s">
        <v>60</v>
      </c>
      <c r="E70" s="41"/>
      <c r="F70" s="41" t="s">
        <v>58</v>
      </c>
      <c r="G70" s="41"/>
    </row>
    <row r="71" spans="1:7">
      <c r="A71" t="s">
        <v>28</v>
      </c>
      <c r="B71">
        <v>1</v>
      </c>
      <c r="D71">
        <v>4</v>
      </c>
      <c r="F71">
        <v>4</v>
      </c>
    </row>
    <row r="72" spans="1:7">
      <c r="A72" t="s">
        <v>57</v>
      </c>
      <c r="B72" s="9">
        <v>6350</v>
      </c>
      <c r="D72" s="9">
        <v>12700</v>
      </c>
      <c r="F72" s="10">
        <f>B49</f>
        <v>39181.050000000003</v>
      </c>
    </row>
    <row r="73" spans="1:7">
      <c r="B73" s="18" t="s">
        <v>17</v>
      </c>
      <c r="C73" s="18" t="s">
        <v>30</v>
      </c>
      <c r="D73" s="18" t="s">
        <v>17</v>
      </c>
      <c r="E73" s="18" t="s">
        <v>30</v>
      </c>
      <c r="F73" s="18" t="s">
        <v>17</v>
      </c>
      <c r="G73" s="18" t="s">
        <v>30</v>
      </c>
    </row>
    <row r="74" spans="1:7">
      <c r="A74" t="s">
        <v>18</v>
      </c>
      <c r="B74" s="10">
        <f>B56-B71*B10-B72</f>
        <v>99063.44</v>
      </c>
      <c r="D74" s="10">
        <f>B56-D71*B10-D72</f>
        <v>80563.44</v>
      </c>
      <c r="F74" s="10">
        <f>B56-F71*B10-F72</f>
        <v>54082.39</v>
      </c>
    </row>
    <row r="75" spans="1:7">
      <c r="A75" s="1">
        <f>A5</f>
        <v>0.1</v>
      </c>
      <c r="B75" s="10">
        <f>B74-B78-B77-B76</f>
        <v>9325</v>
      </c>
      <c r="C75" s="10">
        <f>A5*B75</f>
        <v>932.5</v>
      </c>
      <c r="D75" s="10">
        <f>D74-D77-D76</f>
        <v>18650</v>
      </c>
      <c r="E75" s="10">
        <f>A5*D75</f>
        <v>1865</v>
      </c>
      <c r="F75" s="10">
        <f>F74-F76</f>
        <v>18650</v>
      </c>
      <c r="G75" s="10">
        <f>A5*F75</f>
        <v>1865</v>
      </c>
    </row>
    <row r="76" spans="1:7">
      <c r="A76" s="1">
        <f>A6</f>
        <v>0.15</v>
      </c>
      <c r="B76" s="10">
        <f>B74-B78-B77-B6</f>
        <v>28625</v>
      </c>
      <c r="C76" s="10">
        <f>A6*B76</f>
        <v>4293.75</v>
      </c>
      <c r="D76" s="10">
        <f>D74-D77-D6</f>
        <v>57250</v>
      </c>
      <c r="E76" s="10">
        <f>A6*D76</f>
        <v>8587.5</v>
      </c>
      <c r="F76" s="10">
        <f>F74-D6</f>
        <v>35432.39</v>
      </c>
      <c r="G76" s="10">
        <f>A6*F76</f>
        <v>5314.8584999999994</v>
      </c>
    </row>
    <row r="77" spans="1:7">
      <c r="A77" s="1">
        <f>A7</f>
        <v>0.25</v>
      </c>
      <c r="B77" s="10">
        <f>B74-B78-B7</f>
        <v>53950</v>
      </c>
      <c r="C77" s="10">
        <f>A7*B77</f>
        <v>13487.5</v>
      </c>
      <c r="D77" s="10">
        <f>D74-D7</f>
        <v>4663.4400000000023</v>
      </c>
      <c r="E77" s="10">
        <f>A7*D77</f>
        <v>1165.8600000000006</v>
      </c>
      <c r="F77" s="10">
        <v>0</v>
      </c>
      <c r="G77" s="10">
        <v>0</v>
      </c>
    </row>
    <row r="78" spans="1:7">
      <c r="A78" s="1">
        <f>A8</f>
        <v>0.28000000000000003</v>
      </c>
      <c r="B78" s="10">
        <f>B74-B8</f>
        <v>7163.4400000000023</v>
      </c>
      <c r="C78" s="10">
        <f>A8*B78</f>
        <v>2005.7632000000008</v>
      </c>
      <c r="D78" s="10">
        <v>0</v>
      </c>
      <c r="E78" s="10">
        <v>0</v>
      </c>
      <c r="F78" s="10">
        <v>0</v>
      </c>
      <c r="G78" s="10">
        <v>0</v>
      </c>
    </row>
    <row r="79" spans="1:7">
      <c r="A79" t="s">
        <v>16</v>
      </c>
      <c r="B79" s="10">
        <f t="shared" ref="B79:G79" si="0">SUM(B75:B78)</f>
        <v>99063.44</v>
      </c>
      <c r="C79" s="10">
        <f t="shared" si="0"/>
        <v>20719.513200000001</v>
      </c>
      <c r="D79" s="10">
        <f t="shared" si="0"/>
        <v>80563.44</v>
      </c>
      <c r="E79" s="10">
        <f t="shared" si="0"/>
        <v>11618.36</v>
      </c>
      <c r="F79" s="10">
        <f t="shared" si="0"/>
        <v>54082.39</v>
      </c>
      <c r="G79" s="10">
        <f t="shared" si="0"/>
        <v>7179.8584999999994</v>
      </c>
    </row>
    <row r="80" spans="1:7">
      <c r="A80" t="s">
        <v>29</v>
      </c>
      <c r="B80" s="1">
        <v>0.28000000000000003</v>
      </c>
      <c r="C80" s="10">
        <f>B80*B53</f>
        <v>1148.5600000000002</v>
      </c>
      <c r="D80" s="1">
        <v>0.25</v>
      </c>
      <c r="E80" s="10">
        <f>D80*B53</f>
        <v>1025.5</v>
      </c>
      <c r="F80" s="1">
        <v>0.15</v>
      </c>
      <c r="G80" s="10">
        <f>F80*B53</f>
        <v>615.29999999999995</v>
      </c>
    </row>
    <row r="81" spans="1:7">
      <c r="A81" t="s">
        <v>24</v>
      </c>
      <c r="C81" s="10">
        <f>C79+C80</f>
        <v>21868.073200000003</v>
      </c>
      <c r="E81" s="10">
        <f>E79+E80</f>
        <v>12643.86</v>
      </c>
      <c r="G81" s="10">
        <f>G79+G80</f>
        <v>7795.1584999999995</v>
      </c>
    </row>
    <row r="82" spans="1:7">
      <c r="A82" t="s">
        <v>23</v>
      </c>
      <c r="E82" s="10">
        <f>C81-E81</f>
        <v>9224.213200000002</v>
      </c>
      <c r="G82" s="10">
        <f>C81-G81</f>
        <v>14072.914700000003</v>
      </c>
    </row>
    <row r="83" spans="1:7">
      <c r="A83" t="s">
        <v>63</v>
      </c>
      <c r="B83">
        <v>2</v>
      </c>
    </row>
    <row r="84" spans="1:7">
      <c r="A84" t="s">
        <v>64</v>
      </c>
      <c r="B84">
        <v>1</v>
      </c>
    </row>
    <row r="85" spans="1:7">
      <c r="A85" t="s">
        <v>65</v>
      </c>
      <c r="B85">
        <f>B83*B12</f>
        <v>2000</v>
      </c>
    </row>
    <row r="86" spans="1:7">
      <c r="A86" t="s">
        <v>66</v>
      </c>
      <c r="B86">
        <f>B84*B13</f>
        <v>2000</v>
      </c>
    </row>
    <row r="87" spans="1:7">
      <c r="A87" t="s">
        <v>144</v>
      </c>
      <c r="B87" s="4">
        <f>B16</f>
        <v>336</v>
      </c>
    </row>
    <row r="88" spans="1:7">
      <c r="A88" t="s">
        <v>67</v>
      </c>
      <c r="B88" s="4">
        <f>B85+B86+B87</f>
        <v>4336</v>
      </c>
    </row>
    <row r="89" spans="1:7">
      <c r="A89" t="s">
        <v>68</v>
      </c>
      <c r="E89" s="35">
        <f>E82+B88</f>
        <v>13560.213200000002</v>
      </c>
      <c r="G89" s="14">
        <f>G82+B88</f>
        <v>18408.914700000001</v>
      </c>
    </row>
    <row r="91" spans="1:7">
      <c r="A91" t="s">
        <v>25</v>
      </c>
      <c r="B91">
        <v>1</v>
      </c>
      <c r="D91">
        <v>4</v>
      </c>
    </row>
    <row r="92" spans="1:7">
      <c r="A92" t="s">
        <v>168</v>
      </c>
      <c r="B92" s="10">
        <f>B59-B91*B11/2</f>
        <v>56796.22</v>
      </c>
      <c r="D92" s="10">
        <f>B59-D91*B11/2</f>
        <v>53533.72</v>
      </c>
    </row>
    <row r="93" spans="1:7">
      <c r="A93" t="s">
        <v>169</v>
      </c>
      <c r="B93" s="10">
        <f>B60-B91*B11/2</f>
        <v>52094.22</v>
      </c>
      <c r="D93" s="10">
        <f>B60-D91*B11/2</f>
        <v>48831.72</v>
      </c>
    </row>
    <row r="94" spans="1:7">
      <c r="A94" t="s">
        <v>162</v>
      </c>
      <c r="B94" s="10">
        <f>B37</f>
        <v>4817.2699999999995</v>
      </c>
      <c r="D94" s="10">
        <f>B37</f>
        <v>4817.2699999999995</v>
      </c>
    </row>
    <row r="95" spans="1:7">
      <c r="A95" t="s">
        <v>163</v>
      </c>
      <c r="B95" s="10">
        <f>B18*B92+B19*B93</f>
        <v>4708.52214</v>
      </c>
      <c r="D95" s="10">
        <f>B18*D92+B19*D93</f>
        <v>4424.6846400000004</v>
      </c>
    </row>
    <row r="96" spans="1:7">
      <c r="A96" t="s">
        <v>27</v>
      </c>
      <c r="B96" s="10">
        <f>B94-B95</f>
        <v>108.74785999999949</v>
      </c>
      <c r="D96" s="16">
        <f>D94-D95</f>
        <v>392.58535999999913</v>
      </c>
    </row>
    <row r="97" spans="1:4">
      <c r="A97" t="s">
        <v>170</v>
      </c>
      <c r="B97" s="10">
        <f>B20*B34</f>
        <v>400</v>
      </c>
      <c r="D97" s="10">
        <f>B20*B34</f>
        <v>400</v>
      </c>
    </row>
    <row r="98" spans="1:4">
      <c r="A98" t="s">
        <v>172</v>
      </c>
      <c r="B98" s="14">
        <f>B97+B96</f>
        <v>508.74785999999949</v>
      </c>
      <c r="D98" s="14">
        <f>D97+D96</f>
        <v>792.58535999999913</v>
      </c>
    </row>
    <row r="100" spans="1:4">
      <c r="A100" s="18" t="s">
        <v>31</v>
      </c>
    </row>
    <row r="101" spans="1:4">
      <c r="A101" s="18"/>
    </row>
    <row r="102" spans="1:4">
      <c r="A102" s="11" t="s">
        <v>38</v>
      </c>
    </row>
    <row r="103" spans="1:4">
      <c r="A103" t="s">
        <v>15</v>
      </c>
      <c r="B103" s="10">
        <f>C79/12</f>
        <v>1726.6261000000002</v>
      </c>
      <c r="D103" s="10">
        <f>E79/12</f>
        <v>968.19666666666672</v>
      </c>
    </row>
    <row r="104" spans="1:4">
      <c r="A104" t="s">
        <v>13</v>
      </c>
      <c r="B104" s="10">
        <f>B94/12</f>
        <v>401.43916666666661</v>
      </c>
      <c r="D104" s="10">
        <f>D94/12</f>
        <v>401.43916666666661</v>
      </c>
    </row>
    <row r="105" spans="1:4">
      <c r="A105" t="s">
        <v>10</v>
      </c>
      <c r="B105" s="10">
        <f>B62/12</f>
        <v>565.56110666666666</v>
      </c>
      <c r="D105" s="10"/>
    </row>
    <row r="106" spans="1:4">
      <c r="A106" t="s">
        <v>14</v>
      </c>
      <c r="B106" s="10">
        <f>B63/12</f>
        <v>132.26832333333334</v>
      </c>
    </row>
    <row r="107" spans="1:4">
      <c r="A107" t="s">
        <v>32</v>
      </c>
      <c r="B107" s="10">
        <f>B105+B106</f>
        <v>697.82943</v>
      </c>
    </row>
    <row r="109" spans="1:4">
      <c r="A109" s="11" t="s">
        <v>39</v>
      </c>
    </row>
    <row r="110" spans="1:4">
      <c r="A110" t="s">
        <v>15</v>
      </c>
      <c r="B110" s="10">
        <f>C81/12</f>
        <v>1822.3394333333335</v>
      </c>
      <c r="D110" s="10">
        <f>E81/12</f>
        <v>1053.655</v>
      </c>
    </row>
    <row r="111" spans="1:4">
      <c r="A111" t="s">
        <v>13</v>
      </c>
      <c r="B111" s="10">
        <f>B97/12</f>
        <v>33.333333333333336</v>
      </c>
      <c r="D111" s="10">
        <f>D97/12</f>
        <v>33.333333333333336</v>
      </c>
    </row>
    <row r="112" spans="1:4">
      <c r="A112" t="s">
        <v>10</v>
      </c>
      <c r="B112" s="10">
        <f>B66/12</f>
        <v>586.75477333333333</v>
      </c>
      <c r="D112" s="10"/>
    </row>
    <row r="113" spans="1:2">
      <c r="A113" t="s">
        <v>14</v>
      </c>
      <c r="B113" s="10">
        <f>B67/12</f>
        <v>137.22490666666667</v>
      </c>
    </row>
    <row r="114" spans="1:2">
      <c r="A114" t="s">
        <v>32</v>
      </c>
      <c r="B114" s="10">
        <f>B112+B113</f>
        <v>723.97968000000003</v>
      </c>
    </row>
  </sheetData>
  <mergeCells count="6">
    <mergeCell ref="F70:G70"/>
    <mergeCell ref="D4:E4"/>
    <mergeCell ref="B4:C4"/>
    <mergeCell ref="A3:E3"/>
    <mergeCell ref="B70:C70"/>
    <mergeCell ref="D70:E7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C17" sqref="C17"/>
    </sheetView>
  </sheetViews>
  <sheetFormatPr defaultColWidth="8.77734375" defaultRowHeight="14.4"/>
  <cols>
    <col min="1" max="1" width="37.109375" bestFit="1" customWidth="1"/>
    <col min="2" max="2" width="27.44140625" customWidth="1"/>
    <col min="3" max="3" width="53.44140625" bestFit="1" customWidth="1"/>
    <col min="4" max="4" width="19.77734375" bestFit="1" customWidth="1"/>
    <col min="5" max="5" width="26.109375" customWidth="1"/>
    <col min="6" max="6" width="18.44140625" customWidth="1"/>
    <col min="7" max="7" width="17.44140625" customWidth="1"/>
  </cols>
  <sheetData>
    <row r="1" spans="1:5">
      <c r="A1" t="s">
        <v>165</v>
      </c>
    </row>
    <row r="3" spans="1:5" ht="15" customHeight="1">
      <c r="A3" s="44" t="s">
        <v>0</v>
      </c>
      <c r="B3" s="45"/>
      <c r="C3" s="45"/>
      <c r="D3" s="46"/>
      <c r="E3" s="46"/>
    </row>
    <row r="4" spans="1:5">
      <c r="A4" s="2" t="s">
        <v>1</v>
      </c>
      <c r="B4" s="42" t="s">
        <v>2</v>
      </c>
      <c r="C4" s="43"/>
      <c r="D4" s="42" t="s">
        <v>3</v>
      </c>
      <c r="E4" s="43"/>
    </row>
    <row r="5" spans="1:5">
      <c r="A5" s="3">
        <v>0.1</v>
      </c>
      <c r="B5" s="7">
        <v>0</v>
      </c>
      <c r="C5" s="7">
        <v>9275</v>
      </c>
      <c r="D5" s="7">
        <v>0</v>
      </c>
      <c r="E5" s="8">
        <v>18550</v>
      </c>
    </row>
    <row r="6" spans="1:5">
      <c r="A6" s="3">
        <v>0.15</v>
      </c>
      <c r="B6" s="7">
        <v>9275</v>
      </c>
      <c r="C6" s="7">
        <v>37650</v>
      </c>
      <c r="D6" s="7">
        <v>18550</v>
      </c>
      <c r="E6" s="7">
        <v>75300</v>
      </c>
    </row>
    <row r="7" spans="1:5">
      <c r="A7" s="3">
        <v>0.25</v>
      </c>
      <c r="B7" s="7">
        <v>37650</v>
      </c>
      <c r="C7" s="7">
        <v>91150</v>
      </c>
      <c r="D7" s="7">
        <v>75300</v>
      </c>
      <c r="E7" s="7">
        <v>151900</v>
      </c>
    </row>
    <row r="8" spans="1:5">
      <c r="A8" s="3">
        <v>0.28000000000000003</v>
      </c>
      <c r="B8" s="7">
        <v>91150</v>
      </c>
      <c r="C8" s="7">
        <v>190150</v>
      </c>
      <c r="D8" s="7">
        <v>151900</v>
      </c>
      <c r="E8" s="7">
        <v>231450</v>
      </c>
    </row>
    <row r="10" spans="1:5">
      <c r="A10" t="s">
        <v>22</v>
      </c>
      <c r="B10" s="4">
        <v>4050</v>
      </c>
    </row>
    <row r="11" spans="1:5">
      <c r="A11" t="s">
        <v>21</v>
      </c>
      <c r="B11" s="4">
        <v>2175</v>
      </c>
    </row>
    <row r="12" spans="1:5">
      <c r="A12" t="s">
        <v>61</v>
      </c>
      <c r="B12" s="4">
        <v>1000</v>
      </c>
    </row>
    <row r="13" spans="1:5">
      <c r="A13" t="s">
        <v>62</v>
      </c>
      <c r="B13" s="4">
        <v>2000</v>
      </c>
    </row>
    <row r="14" spans="1:5">
      <c r="A14" t="s">
        <v>142</v>
      </c>
      <c r="B14" s="4">
        <v>0</v>
      </c>
    </row>
    <row r="15" spans="1:5">
      <c r="A15" t="s">
        <v>143</v>
      </c>
      <c r="B15" s="6">
        <v>0.2</v>
      </c>
    </row>
    <row r="16" spans="1:5">
      <c r="A16" t="s">
        <v>140</v>
      </c>
      <c r="B16" s="4">
        <f>B15*B14</f>
        <v>0</v>
      </c>
    </row>
    <row r="18" spans="1:3">
      <c r="A18" t="s">
        <v>153</v>
      </c>
      <c r="B18" s="6">
        <v>3.7499999999999999E-2</v>
      </c>
    </row>
    <row r="19" spans="1:3">
      <c r="A19" t="s">
        <v>154</v>
      </c>
      <c r="B19" s="6">
        <v>0.05</v>
      </c>
    </row>
    <row r="20" spans="1:3">
      <c r="A20" t="s">
        <v>12</v>
      </c>
      <c r="B20" s="6">
        <v>6.2E-2</v>
      </c>
    </row>
    <row r="21" spans="1:3">
      <c r="A21" t="s">
        <v>11</v>
      </c>
      <c r="B21" s="6">
        <v>1.4500000000000001E-2</v>
      </c>
    </row>
    <row r="23" spans="1:3">
      <c r="A23" t="s">
        <v>43</v>
      </c>
    </row>
    <row r="24" spans="1:3">
      <c r="A24" s="12" t="s">
        <v>44</v>
      </c>
      <c r="B24" s="12">
        <v>12</v>
      </c>
    </row>
    <row r="25" spans="1:3">
      <c r="A25" s="12" t="s">
        <v>46</v>
      </c>
      <c r="B25" s="12">
        <v>12</v>
      </c>
    </row>
    <row r="26" spans="1:3">
      <c r="A26" s="12" t="s">
        <v>48</v>
      </c>
      <c r="B26" s="12">
        <v>900</v>
      </c>
    </row>
    <row r="27" spans="1:3">
      <c r="A27" s="12" t="s">
        <v>69</v>
      </c>
      <c r="B27" s="12">
        <v>300</v>
      </c>
    </row>
    <row r="28" spans="1:3">
      <c r="A28" s="12" t="s">
        <v>49</v>
      </c>
      <c r="B28" s="13">
        <v>5</v>
      </c>
    </row>
    <row r="29" spans="1:3">
      <c r="A29" s="12" t="s">
        <v>55</v>
      </c>
      <c r="B29" s="13">
        <v>8000</v>
      </c>
      <c r="C29" s="10">
        <v>5274.38</v>
      </c>
    </row>
    <row r="30" spans="1:3" ht="15" customHeight="1">
      <c r="A30" s="12" t="s">
        <v>56</v>
      </c>
      <c r="B30" s="13">
        <v>12389.58</v>
      </c>
      <c r="C30" s="17" t="s">
        <v>71</v>
      </c>
    </row>
    <row r="31" spans="1:3">
      <c r="A31" s="12"/>
      <c r="B31" s="13"/>
      <c r="C31" s="17"/>
    </row>
    <row r="32" spans="1:3">
      <c r="A32" s="12" t="s">
        <v>156</v>
      </c>
      <c r="B32" s="13">
        <v>885</v>
      </c>
      <c r="C32" s="17"/>
    </row>
    <row r="33" spans="1:4">
      <c r="A33" s="12" t="s">
        <v>45</v>
      </c>
      <c r="B33" s="13">
        <v>7137</v>
      </c>
    </row>
    <row r="34" spans="1:4">
      <c r="A34" s="12" t="s">
        <v>47</v>
      </c>
      <c r="B34" s="13">
        <v>10518</v>
      </c>
    </row>
    <row r="35" spans="1:4">
      <c r="A35" s="12" t="s">
        <v>50</v>
      </c>
      <c r="B35" s="13">
        <v>0</v>
      </c>
    </row>
    <row r="36" spans="1:4">
      <c r="A36" s="12" t="s">
        <v>13</v>
      </c>
      <c r="B36" s="13">
        <v>4288</v>
      </c>
    </row>
    <row r="37" spans="1:4">
      <c r="A37" s="12" t="s">
        <v>155</v>
      </c>
      <c r="B37" s="13">
        <v>0</v>
      </c>
    </row>
    <row r="38" spans="1:4">
      <c r="A38" s="12" t="s">
        <v>53</v>
      </c>
      <c r="B38" s="13">
        <v>13800</v>
      </c>
    </row>
    <row r="39" spans="1:4">
      <c r="A39" s="12" t="s">
        <v>157</v>
      </c>
      <c r="B39" s="13">
        <f>SUM(B32:B38)</f>
        <v>36628</v>
      </c>
    </row>
    <row r="40" spans="1:4">
      <c r="A40" s="12"/>
      <c r="B40" s="13"/>
    </row>
    <row r="41" spans="1:4" ht="15" customHeight="1">
      <c r="A41" s="30" t="s">
        <v>145</v>
      </c>
      <c r="B41" s="13"/>
    </row>
    <row r="42" spans="1:4">
      <c r="A42" s="12" t="s">
        <v>141</v>
      </c>
      <c r="B42" s="13">
        <v>2500</v>
      </c>
    </row>
    <row r="43" spans="1:4" ht="43.2">
      <c r="A43" s="12" t="s">
        <v>148</v>
      </c>
      <c r="B43" s="13">
        <v>3000</v>
      </c>
      <c r="C43" s="17" t="s">
        <v>149</v>
      </c>
      <c r="D43" s="32" t="s">
        <v>158</v>
      </c>
    </row>
    <row r="44" spans="1:4" ht="43.2">
      <c r="A44" s="12" t="s">
        <v>146</v>
      </c>
      <c r="B44" s="13">
        <v>-625</v>
      </c>
      <c r="C44" t="s">
        <v>147</v>
      </c>
      <c r="D44" s="32" t="s">
        <v>158</v>
      </c>
    </row>
    <row r="45" spans="1:4" ht="43.2">
      <c r="A45" s="12" t="s">
        <v>159</v>
      </c>
      <c r="B45" s="13">
        <v>-283</v>
      </c>
      <c r="C45" t="s">
        <v>147</v>
      </c>
      <c r="D45" s="33" t="s">
        <v>158</v>
      </c>
    </row>
    <row r="46" spans="1:4">
      <c r="A46" s="12" t="s">
        <v>150</v>
      </c>
      <c r="B46" s="13">
        <v>2500</v>
      </c>
    </row>
    <row r="47" spans="1:4">
      <c r="A47" s="12" t="s">
        <v>151</v>
      </c>
      <c r="B47" s="13">
        <f>SUM(B42:B46)</f>
        <v>7092</v>
      </c>
      <c r="C47" t="s">
        <v>152</v>
      </c>
    </row>
    <row r="48" spans="1:4">
      <c r="A48" s="12"/>
      <c r="B48" s="13"/>
    </row>
    <row r="49" spans="1:3">
      <c r="A49" s="12" t="s">
        <v>16</v>
      </c>
      <c r="B49" s="13">
        <f>B39+B47</f>
        <v>43720</v>
      </c>
    </row>
    <row r="51" spans="1:3">
      <c r="A51" s="18" t="s">
        <v>6</v>
      </c>
    </row>
    <row r="52" spans="1:3">
      <c r="A52" t="s">
        <v>5</v>
      </c>
      <c r="B52" s="10">
        <v>107000</v>
      </c>
    </row>
    <row r="53" spans="1:3">
      <c r="A53" t="s">
        <v>19</v>
      </c>
      <c r="B53" s="10">
        <v>3631</v>
      </c>
    </row>
    <row r="54" spans="1:3">
      <c r="A54" t="s">
        <v>4</v>
      </c>
      <c r="B54" s="10">
        <f>100*12</f>
        <v>1200</v>
      </c>
    </row>
    <row r="55" spans="1:3">
      <c r="A55" t="s">
        <v>7</v>
      </c>
      <c r="B55" s="10">
        <f>61.38*12</f>
        <v>736.56000000000006</v>
      </c>
    </row>
    <row r="56" spans="1:3" ht="15" customHeight="1">
      <c r="A56" t="s">
        <v>8</v>
      </c>
      <c r="B56" s="10">
        <f>B52-B54-B55</f>
        <v>105063.44</v>
      </c>
    </row>
    <row r="57" spans="1:3">
      <c r="A57" t="s">
        <v>20</v>
      </c>
      <c r="B57" s="10">
        <f>B56+B53</f>
        <v>108694.44</v>
      </c>
    </row>
    <row r="58" spans="1:3" ht="115.2">
      <c r="A58" t="s">
        <v>81</v>
      </c>
      <c r="B58" s="10">
        <f>B57-B47</f>
        <v>101602.44</v>
      </c>
      <c r="C58" s="31" t="s">
        <v>161</v>
      </c>
    </row>
    <row r="60" spans="1:3">
      <c r="A60" t="s">
        <v>33</v>
      </c>
      <c r="B60" s="10">
        <f>B20*B56</f>
        <v>6513.9332800000002</v>
      </c>
    </row>
    <row r="61" spans="1:3">
      <c r="A61" t="s">
        <v>34</v>
      </c>
      <c r="B61" s="10">
        <f>B21*B56</f>
        <v>1523.4198800000001</v>
      </c>
    </row>
    <row r="62" spans="1:3">
      <c r="A62" t="s">
        <v>35</v>
      </c>
      <c r="B62" s="10">
        <f>B60+B61</f>
        <v>8037.3531600000006</v>
      </c>
    </row>
    <row r="63" spans="1:3">
      <c r="B63" s="10"/>
    </row>
    <row r="64" spans="1:3">
      <c r="A64" t="s">
        <v>40</v>
      </c>
      <c r="B64" s="10">
        <f>B20*B57</f>
        <v>6739.0552800000005</v>
      </c>
    </row>
    <row r="65" spans="1:7">
      <c r="A65" t="s">
        <v>41</v>
      </c>
      <c r="B65" s="10">
        <f>B21*B57</f>
        <v>1576.0693800000001</v>
      </c>
    </row>
    <row r="66" spans="1:7">
      <c r="A66" t="s">
        <v>42</v>
      </c>
      <c r="B66" s="10">
        <f>B64+B65</f>
        <v>8315.1246600000013</v>
      </c>
    </row>
    <row r="67" spans="1:7">
      <c r="B67" s="10"/>
    </row>
    <row r="68" spans="1:7">
      <c r="B68" s="41" t="s">
        <v>59</v>
      </c>
      <c r="C68" s="41"/>
      <c r="D68" s="41" t="s">
        <v>60</v>
      </c>
      <c r="E68" s="41"/>
      <c r="F68" s="41" t="s">
        <v>58</v>
      </c>
      <c r="G68" s="41"/>
    </row>
    <row r="69" spans="1:7">
      <c r="A69" t="s">
        <v>28</v>
      </c>
      <c r="B69">
        <v>1</v>
      </c>
      <c r="D69">
        <v>4</v>
      </c>
      <c r="F69">
        <v>4</v>
      </c>
    </row>
    <row r="70" spans="1:7">
      <c r="A70" t="s">
        <v>57</v>
      </c>
      <c r="B70" s="9">
        <v>6300</v>
      </c>
      <c r="D70" s="9">
        <v>12600</v>
      </c>
      <c r="F70" s="10">
        <f>B49</f>
        <v>43720</v>
      </c>
    </row>
    <row r="71" spans="1:7">
      <c r="B71" s="18" t="s">
        <v>17</v>
      </c>
      <c r="C71" s="18" t="s">
        <v>30</v>
      </c>
      <c r="D71" s="18" t="s">
        <v>17</v>
      </c>
      <c r="E71" s="18" t="s">
        <v>30</v>
      </c>
      <c r="F71" s="18" t="s">
        <v>17</v>
      </c>
      <c r="G71" s="18" t="s">
        <v>30</v>
      </c>
    </row>
    <row r="72" spans="1:7">
      <c r="A72" t="s">
        <v>18</v>
      </c>
      <c r="B72" s="10">
        <f>B56-B69*B10-B70</f>
        <v>94713.44</v>
      </c>
      <c r="D72" s="10">
        <f>B56-D69*B10-D70</f>
        <v>76263.44</v>
      </c>
      <c r="F72" s="10">
        <f>B56-F69*B10-F70</f>
        <v>45143.44</v>
      </c>
    </row>
    <row r="73" spans="1:7">
      <c r="A73" s="1">
        <f>A5</f>
        <v>0.1</v>
      </c>
      <c r="B73" s="10">
        <f>B72-B76-B75-B74</f>
        <v>9275</v>
      </c>
      <c r="C73" s="10">
        <f>A5*B73</f>
        <v>927.5</v>
      </c>
      <c r="D73" s="10">
        <f>D72-D75-D74</f>
        <v>18550</v>
      </c>
      <c r="E73" s="10">
        <f>A5*D73</f>
        <v>1855</v>
      </c>
      <c r="F73" s="10">
        <f>F72-F74</f>
        <v>18550</v>
      </c>
      <c r="G73" s="10">
        <f>A5*F73</f>
        <v>1855</v>
      </c>
    </row>
    <row r="74" spans="1:7">
      <c r="A74" s="1">
        <f>A6</f>
        <v>0.15</v>
      </c>
      <c r="B74" s="10">
        <f>B72-B76-B75-B6</f>
        <v>28375</v>
      </c>
      <c r="C74" s="10">
        <f>A6*B74</f>
        <v>4256.25</v>
      </c>
      <c r="D74" s="10">
        <f>D72-D75-D6</f>
        <v>56750</v>
      </c>
      <c r="E74" s="10">
        <f>A6*D74</f>
        <v>8512.5</v>
      </c>
      <c r="F74" s="10">
        <f>F72-D6</f>
        <v>26593.440000000002</v>
      </c>
      <c r="G74" s="10">
        <f>A6*F74</f>
        <v>3989.0160000000001</v>
      </c>
    </row>
    <row r="75" spans="1:7">
      <c r="A75" s="1">
        <f>A7</f>
        <v>0.25</v>
      </c>
      <c r="B75" s="10">
        <f>B72-B76-B7</f>
        <v>53500</v>
      </c>
      <c r="C75" s="10">
        <f>A7*B75</f>
        <v>13375</v>
      </c>
      <c r="D75" s="10">
        <f>D72-D7</f>
        <v>963.44000000000233</v>
      </c>
      <c r="E75" s="10">
        <f>A7*D75</f>
        <v>240.86000000000058</v>
      </c>
      <c r="F75" s="10">
        <v>0</v>
      </c>
      <c r="G75" s="10">
        <v>0</v>
      </c>
    </row>
    <row r="76" spans="1:7">
      <c r="A76" s="1">
        <f>A8</f>
        <v>0.28000000000000003</v>
      </c>
      <c r="B76" s="10">
        <f>B72-B8</f>
        <v>3563.4400000000023</v>
      </c>
      <c r="C76" s="10">
        <f>A8*B76</f>
        <v>997.76320000000078</v>
      </c>
      <c r="D76" s="10">
        <v>0</v>
      </c>
      <c r="E76" s="10">
        <v>0</v>
      </c>
      <c r="F76" s="10">
        <v>0</v>
      </c>
      <c r="G76" s="10">
        <v>0</v>
      </c>
    </row>
    <row r="77" spans="1:7">
      <c r="A77" t="s">
        <v>16</v>
      </c>
      <c r="B77" s="10">
        <f t="shared" ref="B77:G77" si="0">SUM(B73:B76)</f>
        <v>94713.44</v>
      </c>
      <c r="C77" s="10">
        <f t="shared" si="0"/>
        <v>19556.513200000001</v>
      </c>
      <c r="D77" s="10">
        <f t="shared" si="0"/>
        <v>76263.44</v>
      </c>
      <c r="E77" s="10">
        <f t="shared" si="0"/>
        <v>10608.36</v>
      </c>
      <c r="F77" s="10">
        <f t="shared" si="0"/>
        <v>45143.44</v>
      </c>
      <c r="G77" s="10">
        <f t="shared" si="0"/>
        <v>5844.0159999999996</v>
      </c>
    </row>
    <row r="78" spans="1:7">
      <c r="A78" t="s">
        <v>160</v>
      </c>
      <c r="B78" s="10">
        <f>B72+B53</f>
        <v>98344.44</v>
      </c>
      <c r="C78" s="10"/>
      <c r="D78" s="10">
        <f>D72+B53</f>
        <v>79894.44</v>
      </c>
      <c r="E78" s="10"/>
      <c r="F78" s="10">
        <f>F72+B53</f>
        <v>48774.44</v>
      </c>
      <c r="G78" s="10"/>
    </row>
    <row r="79" spans="1:7">
      <c r="A79" t="s">
        <v>29</v>
      </c>
      <c r="B79" s="1">
        <v>0.28000000000000003</v>
      </c>
      <c r="C79" s="10">
        <f>B79*B53</f>
        <v>1016.6800000000001</v>
      </c>
      <c r="D79" s="1">
        <v>0.25</v>
      </c>
      <c r="E79" s="10">
        <f>D79*B53</f>
        <v>907.75</v>
      </c>
      <c r="F79" s="1">
        <v>0.15</v>
      </c>
      <c r="G79" s="10">
        <f>F79*B53</f>
        <v>544.65</v>
      </c>
    </row>
    <row r="80" spans="1:7">
      <c r="A80" t="s">
        <v>24</v>
      </c>
      <c r="C80" s="10">
        <f>C77+C79</f>
        <v>20573.193200000002</v>
      </c>
      <c r="E80" s="10">
        <f>E77+E79</f>
        <v>11516.11</v>
      </c>
      <c r="G80" s="10">
        <f>G77+G79</f>
        <v>6388.6659999999993</v>
      </c>
    </row>
    <row r="81" spans="1:7">
      <c r="A81" t="s">
        <v>23</v>
      </c>
      <c r="E81" s="10">
        <f>C80-E80</f>
        <v>9057.0832000000009</v>
      </c>
      <c r="G81" s="10">
        <f>C80-G80</f>
        <v>14184.527200000002</v>
      </c>
    </row>
    <row r="82" spans="1:7">
      <c r="A82" t="s">
        <v>63</v>
      </c>
      <c r="B82">
        <v>2</v>
      </c>
    </row>
    <row r="83" spans="1:7">
      <c r="A83" t="s">
        <v>64</v>
      </c>
      <c r="B83">
        <v>1</v>
      </c>
    </row>
    <row r="84" spans="1:7">
      <c r="A84" t="s">
        <v>65</v>
      </c>
      <c r="B84">
        <f>B82*B12</f>
        <v>2000</v>
      </c>
    </row>
    <row r="85" spans="1:7">
      <c r="A85" t="s">
        <v>66</v>
      </c>
      <c r="B85">
        <f>B83*B13</f>
        <v>2000</v>
      </c>
    </row>
    <row r="86" spans="1:7">
      <c r="A86" t="s">
        <v>144</v>
      </c>
      <c r="B86" s="4">
        <f>B16</f>
        <v>0</v>
      </c>
    </row>
    <row r="87" spans="1:7">
      <c r="A87" t="s">
        <v>67</v>
      </c>
      <c r="B87" s="4">
        <f>B84+B85+B86</f>
        <v>4000</v>
      </c>
    </row>
    <row r="88" spans="1:7">
      <c r="A88" t="s">
        <v>68</v>
      </c>
      <c r="E88" s="15">
        <f>E81+B87</f>
        <v>13057.083200000001</v>
      </c>
      <c r="G88" s="16">
        <f>G81+B87</f>
        <v>18184.527200000004</v>
      </c>
    </row>
    <row r="89" spans="1:7">
      <c r="A89" t="s">
        <v>70</v>
      </c>
      <c r="B89">
        <v>0</v>
      </c>
      <c r="E89" s="14">
        <f>E88+B89</f>
        <v>13057.083200000001</v>
      </c>
      <c r="G89" s="14">
        <f>G88+B89</f>
        <v>18184.527200000004</v>
      </c>
    </row>
    <row r="91" spans="1:7">
      <c r="A91" t="s">
        <v>25</v>
      </c>
      <c r="B91">
        <v>1</v>
      </c>
      <c r="D91">
        <v>4</v>
      </c>
    </row>
    <row r="92" spans="1:7">
      <c r="A92" t="s">
        <v>36</v>
      </c>
      <c r="B92" s="10">
        <f>B56-B91*B11</f>
        <v>102888.44</v>
      </c>
      <c r="D92" s="10">
        <f>B56-D91*B11</f>
        <v>96363.44</v>
      </c>
    </row>
    <row r="93" spans="1:7">
      <c r="A93" t="s">
        <v>13</v>
      </c>
      <c r="B93" s="10">
        <f>B18*B92</f>
        <v>3858.3164999999999</v>
      </c>
      <c r="D93" s="10">
        <f>B18*D92</f>
        <v>3613.6289999999999</v>
      </c>
    </row>
    <row r="94" spans="1:7">
      <c r="A94" t="s">
        <v>26</v>
      </c>
      <c r="B94" s="10">
        <f>B57-B91*B11</f>
        <v>106519.44</v>
      </c>
      <c r="D94" s="10">
        <f>B57-D91*B11</f>
        <v>99994.44</v>
      </c>
    </row>
    <row r="95" spans="1:7">
      <c r="A95" t="s">
        <v>37</v>
      </c>
      <c r="B95" s="10">
        <f>B18*B94</f>
        <v>3994.4789999999998</v>
      </c>
      <c r="D95" s="10">
        <f>B18*D94</f>
        <v>3749.7914999999998</v>
      </c>
    </row>
    <row r="96" spans="1:7">
      <c r="A96" t="s">
        <v>27</v>
      </c>
      <c r="D96" s="14">
        <f>B95-D95</f>
        <v>244.6875</v>
      </c>
    </row>
    <row r="98" spans="1:4">
      <c r="A98" s="18" t="s">
        <v>31</v>
      </c>
    </row>
    <row r="99" spans="1:4">
      <c r="A99" s="18"/>
    </row>
    <row r="100" spans="1:4">
      <c r="A100" s="11" t="s">
        <v>38</v>
      </c>
    </row>
    <row r="101" spans="1:4">
      <c r="A101" t="s">
        <v>15</v>
      </c>
      <c r="B101" s="10">
        <f>C77/12</f>
        <v>1629.7094333333334</v>
      </c>
      <c r="D101" s="10">
        <f>E77/12</f>
        <v>884.03000000000009</v>
      </c>
    </row>
    <row r="102" spans="1:4">
      <c r="A102" t="s">
        <v>13</v>
      </c>
      <c r="B102" s="10">
        <f>B93/12</f>
        <v>321.52637499999997</v>
      </c>
      <c r="D102" s="10">
        <f>D93/12</f>
        <v>301.13574999999997</v>
      </c>
    </row>
    <row r="103" spans="1:4">
      <c r="A103" t="s">
        <v>10</v>
      </c>
      <c r="B103" s="10">
        <f>B60/12</f>
        <v>542.82777333333331</v>
      </c>
      <c r="D103" s="10"/>
    </row>
    <row r="104" spans="1:4">
      <c r="A104" t="s">
        <v>14</v>
      </c>
      <c r="B104" s="10">
        <f>B61/12</f>
        <v>126.95165666666668</v>
      </c>
    </row>
    <row r="105" spans="1:4">
      <c r="A105" t="s">
        <v>32</v>
      </c>
      <c r="B105" s="10">
        <f>B103+B104</f>
        <v>669.77943000000005</v>
      </c>
    </row>
    <row r="107" spans="1:4">
      <c r="A107" s="11" t="s">
        <v>39</v>
      </c>
    </row>
    <row r="108" spans="1:4">
      <c r="A108" t="s">
        <v>15</v>
      </c>
      <c r="B108" s="10">
        <f>C80/12</f>
        <v>1714.4327666666668</v>
      </c>
      <c r="D108" s="10">
        <f>E80/12</f>
        <v>959.67583333333334</v>
      </c>
    </row>
    <row r="109" spans="1:4">
      <c r="A109" t="s">
        <v>13</v>
      </c>
      <c r="B109" s="10">
        <f>B95/12</f>
        <v>332.87324999999998</v>
      </c>
      <c r="D109" s="10">
        <f>D95/12</f>
        <v>312.48262499999998</v>
      </c>
    </row>
    <row r="110" spans="1:4">
      <c r="A110" t="s">
        <v>10</v>
      </c>
      <c r="B110" s="10">
        <f>B64/12</f>
        <v>561.58794</v>
      </c>
      <c r="D110" s="10"/>
    </row>
    <row r="111" spans="1:4">
      <c r="A111" t="s">
        <v>14</v>
      </c>
      <c r="B111" s="10">
        <f>B65/12</f>
        <v>131.33911500000002</v>
      </c>
    </row>
    <row r="112" spans="1:4">
      <c r="A112" t="s">
        <v>32</v>
      </c>
      <c r="B112" s="10">
        <f>B110+B111</f>
        <v>692.927055</v>
      </c>
    </row>
  </sheetData>
  <mergeCells count="6">
    <mergeCell ref="B68:C68"/>
    <mergeCell ref="D68:E68"/>
    <mergeCell ref="F68:G68"/>
    <mergeCell ref="A3:E3"/>
    <mergeCell ref="B4:C4"/>
    <mergeCell ref="D4: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3"/>
  <sheetViews>
    <sheetView topLeftCell="A49" workbookViewId="0">
      <selection activeCell="B33" sqref="B33"/>
    </sheetView>
  </sheetViews>
  <sheetFormatPr defaultColWidth="8.77734375" defaultRowHeight="14.4"/>
  <cols>
    <col min="1" max="1" width="50.6640625" bestFit="1" customWidth="1"/>
    <col min="2" max="2" width="27.44140625" customWidth="1"/>
    <col min="3" max="3" width="53.44140625" bestFit="1" customWidth="1"/>
    <col min="4" max="4" width="19.77734375" bestFit="1" customWidth="1"/>
    <col min="5" max="5" width="26.109375" customWidth="1"/>
    <col min="6" max="6" width="18.44140625" customWidth="1"/>
    <col min="7" max="7" width="17.44140625" customWidth="1"/>
  </cols>
  <sheetData>
    <row r="1" spans="1:5">
      <c r="A1" t="s">
        <v>174</v>
      </c>
    </row>
    <row r="3" spans="1:5" ht="15" customHeight="1">
      <c r="A3" s="44" t="s">
        <v>175</v>
      </c>
      <c r="B3" s="45"/>
      <c r="C3" s="45"/>
      <c r="D3" s="46"/>
      <c r="E3" s="46"/>
    </row>
    <row r="4" spans="1:5">
      <c r="A4" s="2" t="s">
        <v>1</v>
      </c>
      <c r="B4" s="42" t="s">
        <v>2</v>
      </c>
      <c r="C4" s="43"/>
      <c r="D4" s="42" t="s">
        <v>3</v>
      </c>
      <c r="E4" s="43"/>
    </row>
    <row r="5" spans="1:5">
      <c r="A5" s="3">
        <v>0.1</v>
      </c>
      <c r="B5" s="7">
        <v>0</v>
      </c>
      <c r="C5" s="7">
        <v>9325</v>
      </c>
      <c r="D5" s="7">
        <v>0</v>
      </c>
      <c r="E5" s="8">
        <v>18650</v>
      </c>
    </row>
    <row r="6" spans="1:5">
      <c r="A6" s="3">
        <v>0.15</v>
      </c>
      <c r="B6" s="7">
        <v>9325</v>
      </c>
      <c r="C6" s="7">
        <v>37950</v>
      </c>
      <c r="D6" s="7">
        <v>18650</v>
      </c>
      <c r="E6" s="7">
        <v>75900</v>
      </c>
    </row>
    <row r="7" spans="1:5">
      <c r="A7" s="3">
        <v>0.25</v>
      </c>
      <c r="B7" s="7">
        <v>37950</v>
      </c>
      <c r="C7" s="7">
        <v>91900</v>
      </c>
      <c r="D7" s="7">
        <v>75900</v>
      </c>
      <c r="E7" s="7">
        <v>153100</v>
      </c>
    </row>
    <row r="8" spans="1:5">
      <c r="A8" s="3">
        <v>0.28000000000000003</v>
      </c>
      <c r="B8" s="7">
        <v>91900</v>
      </c>
      <c r="C8" s="7">
        <v>191650</v>
      </c>
      <c r="D8" s="7">
        <v>153100</v>
      </c>
      <c r="E8" s="7">
        <v>233350</v>
      </c>
    </row>
    <row r="10" spans="1:5">
      <c r="A10" t="s">
        <v>22</v>
      </c>
      <c r="B10" s="4">
        <v>4050</v>
      </c>
    </row>
    <row r="11" spans="1:5">
      <c r="A11" t="s">
        <v>21</v>
      </c>
      <c r="B11" s="4">
        <v>2175</v>
      </c>
    </row>
    <row r="12" spans="1:5">
      <c r="A12" t="s">
        <v>61</v>
      </c>
      <c r="B12" s="4">
        <v>1000</v>
      </c>
    </row>
    <row r="13" spans="1:5">
      <c r="A13" t="s">
        <v>62</v>
      </c>
      <c r="B13" s="4">
        <v>2000</v>
      </c>
    </row>
    <row r="14" spans="1:5">
      <c r="A14" t="s">
        <v>208</v>
      </c>
      <c r="B14" s="4">
        <v>1715</v>
      </c>
    </row>
    <row r="15" spans="1:5">
      <c r="A15" t="s">
        <v>143</v>
      </c>
      <c r="B15" s="6">
        <v>0.2</v>
      </c>
    </row>
    <row r="16" spans="1:5">
      <c r="A16" t="s">
        <v>140</v>
      </c>
      <c r="B16" s="4">
        <f>B15*B14</f>
        <v>343</v>
      </c>
    </row>
    <row r="18" spans="1:3">
      <c r="A18" t="s">
        <v>153</v>
      </c>
      <c r="B18" s="6">
        <v>3.7499999999999999E-2</v>
      </c>
    </row>
    <row r="19" spans="1:3">
      <c r="A19" t="s">
        <v>154</v>
      </c>
      <c r="B19" s="6">
        <v>4.9500000000000002E-2</v>
      </c>
    </row>
    <row r="20" spans="1:3">
      <c r="A20" t="s">
        <v>12</v>
      </c>
      <c r="B20" s="6">
        <v>6.2E-2</v>
      </c>
    </row>
    <row r="21" spans="1:3">
      <c r="A21" t="s">
        <v>11</v>
      </c>
      <c r="B21" s="6">
        <v>1.4500000000000001E-2</v>
      </c>
    </row>
    <row r="23" spans="1:3">
      <c r="A23" t="s">
        <v>43</v>
      </c>
    </row>
    <row r="24" spans="1:3">
      <c r="A24" s="12" t="s">
        <v>44</v>
      </c>
      <c r="B24" s="12">
        <v>12</v>
      </c>
    </row>
    <row r="25" spans="1:3">
      <c r="A25" s="12" t="s">
        <v>46</v>
      </c>
      <c r="B25" s="12">
        <v>12</v>
      </c>
    </row>
    <row r="26" spans="1:3">
      <c r="A26" s="12" t="s">
        <v>48</v>
      </c>
      <c r="B26" s="12">
        <v>900</v>
      </c>
    </row>
    <row r="27" spans="1:3">
      <c r="A27" s="12" t="s">
        <v>69</v>
      </c>
      <c r="B27" s="12">
        <v>300</v>
      </c>
    </row>
    <row r="28" spans="1:3">
      <c r="A28" s="12" t="s">
        <v>49</v>
      </c>
      <c r="B28" s="13">
        <v>5</v>
      </c>
    </row>
    <row r="29" spans="1:3" ht="57.6">
      <c r="A29" s="12" t="s">
        <v>55</v>
      </c>
      <c r="B29" s="13">
        <f>8412-865.97</f>
        <v>7546.03</v>
      </c>
      <c r="C29" s="36" t="s">
        <v>196</v>
      </c>
    </row>
    <row r="30" spans="1:3" ht="57.6">
      <c r="A30" s="12" t="s">
        <v>56</v>
      </c>
      <c r="B30" s="13">
        <f>7283.54+5148.98</f>
        <v>12432.52</v>
      </c>
      <c r="C30" s="36" t="s">
        <v>197</v>
      </c>
    </row>
    <row r="31" spans="1:3">
      <c r="A31" s="12"/>
      <c r="B31" s="13"/>
      <c r="C31" s="17"/>
    </row>
    <row r="32" spans="1:3" ht="86.4">
      <c r="A32" s="12" t="s">
        <v>156</v>
      </c>
      <c r="B32" s="13">
        <v>0</v>
      </c>
      <c r="C32" s="36" t="s">
        <v>206</v>
      </c>
    </row>
    <row r="33" spans="1:4">
      <c r="A33" s="12" t="s">
        <v>45</v>
      </c>
      <c r="B33" s="13">
        <f>B29</f>
        <v>7546.03</v>
      </c>
      <c r="C33" s="38"/>
    </row>
    <row r="34" spans="1:4">
      <c r="A34" s="12" t="s">
        <v>47</v>
      </c>
      <c r="B34" s="13">
        <f>B30/12*B25</f>
        <v>12432.52</v>
      </c>
    </row>
    <row r="35" spans="1:4" ht="28.8">
      <c r="A35" s="12" t="s">
        <v>178</v>
      </c>
      <c r="B35" s="13">
        <v>0</v>
      </c>
      <c r="C35" s="36" t="s">
        <v>207</v>
      </c>
    </row>
    <row r="36" spans="1:4" ht="28.8">
      <c r="A36" s="12" t="s">
        <v>179</v>
      </c>
      <c r="B36" s="13">
        <v>0</v>
      </c>
      <c r="C36" s="36" t="s">
        <v>211</v>
      </c>
    </row>
    <row r="37" spans="1:4">
      <c r="A37" s="12" t="s">
        <v>180</v>
      </c>
      <c r="B37" s="13">
        <v>1478.47</v>
      </c>
    </row>
    <row r="38" spans="1:4">
      <c r="A38" s="12" t="s">
        <v>50</v>
      </c>
      <c r="B38" s="13">
        <v>0</v>
      </c>
    </row>
    <row r="39" spans="1:4">
      <c r="A39" s="12" t="s">
        <v>13</v>
      </c>
      <c r="B39" s="13">
        <f>B70</f>
        <v>4783</v>
      </c>
      <c r="C39" s="39"/>
    </row>
    <row r="40" spans="1:4">
      <c r="A40" s="12" t="s">
        <v>155</v>
      </c>
      <c r="B40" s="13">
        <v>0</v>
      </c>
      <c r="C40" t="s">
        <v>198</v>
      </c>
    </row>
    <row r="41" spans="1:4" ht="43.2">
      <c r="A41" s="12" t="s">
        <v>53</v>
      </c>
      <c r="B41" s="13">
        <v>10400</v>
      </c>
      <c r="C41" s="36" t="s">
        <v>210</v>
      </c>
    </row>
    <row r="42" spans="1:4">
      <c r="A42" s="12" t="s">
        <v>182</v>
      </c>
      <c r="B42" s="13">
        <f>7262-B68</f>
        <v>5051.6926000000003</v>
      </c>
      <c r="C42" s="12" t="s">
        <v>209</v>
      </c>
    </row>
    <row r="43" spans="1:4">
      <c r="A43" s="12" t="s">
        <v>157</v>
      </c>
      <c r="B43" s="13">
        <f>SUM(B32:B42)</f>
        <v>41691.712600000006</v>
      </c>
    </row>
    <row r="44" spans="1:4">
      <c r="A44" s="12"/>
      <c r="B44" s="13"/>
    </row>
    <row r="45" spans="1:4" ht="15" customHeight="1">
      <c r="A45" s="30" t="s">
        <v>145</v>
      </c>
      <c r="B45" s="13"/>
    </row>
    <row r="46" spans="1:4">
      <c r="A46" s="12" t="s">
        <v>141</v>
      </c>
      <c r="B46" s="13">
        <v>2500</v>
      </c>
      <c r="C46" s="39" t="s">
        <v>177</v>
      </c>
    </row>
    <row r="47" spans="1:4">
      <c r="A47" s="12" t="s">
        <v>199</v>
      </c>
      <c r="B47" s="13">
        <v>868</v>
      </c>
      <c r="C47" s="37" t="s">
        <v>200</v>
      </c>
    </row>
    <row r="48" spans="1:4" ht="43.2">
      <c r="A48" s="12" t="s">
        <v>201</v>
      </c>
      <c r="B48" s="13">
        <v>0</v>
      </c>
      <c r="C48" s="36" t="s">
        <v>205</v>
      </c>
      <c r="D48" s="32" t="s">
        <v>158</v>
      </c>
    </row>
    <row r="49" spans="1:4" ht="43.2">
      <c r="A49" s="12" t="s">
        <v>203</v>
      </c>
      <c r="B49" s="13">
        <v>-625</v>
      </c>
      <c r="C49" s="17" t="s">
        <v>202</v>
      </c>
      <c r="D49" s="32" t="s">
        <v>158</v>
      </c>
    </row>
    <row r="50" spans="1:4" ht="43.2">
      <c r="A50" s="12" t="s">
        <v>159</v>
      </c>
      <c r="B50" s="13">
        <v>-259</v>
      </c>
      <c r="C50" s="17" t="s">
        <v>176</v>
      </c>
      <c r="D50" s="33" t="s">
        <v>158</v>
      </c>
    </row>
    <row r="51" spans="1:4">
      <c r="A51" s="12" t="s">
        <v>204</v>
      </c>
      <c r="B51" s="13">
        <v>-84.05</v>
      </c>
      <c r="C51" s="17"/>
      <c r="D51" s="33"/>
    </row>
    <row r="52" spans="1:4">
      <c r="A52" s="12" t="s">
        <v>150</v>
      </c>
      <c r="B52" s="13">
        <v>0</v>
      </c>
    </row>
    <row r="53" spans="1:4">
      <c r="A53" s="12" t="s">
        <v>151</v>
      </c>
      <c r="B53" s="13">
        <f>SUM(B46:B52)</f>
        <v>2399.9499999999998</v>
      </c>
      <c r="C53" t="s">
        <v>152</v>
      </c>
    </row>
    <row r="54" spans="1:4">
      <c r="A54" s="12"/>
      <c r="B54" s="13"/>
    </row>
    <row r="55" spans="1:4">
      <c r="A55" s="12" t="s">
        <v>16</v>
      </c>
      <c r="B55" s="13">
        <f>B43+B53</f>
        <v>44091.662600000003</v>
      </c>
    </row>
    <row r="56" spans="1:4">
      <c r="A56" s="12" t="s">
        <v>193</v>
      </c>
      <c r="B56" s="13">
        <f>B33+B36</f>
        <v>7546.03</v>
      </c>
    </row>
    <row r="58" spans="1:4">
      <c r="A58" s="29" t="s">
        <v>6</v>
      </c>
    </row>
    <row r="59" spans="1:4">
      <c r="A59" t="s">
        <v>5</v>
      </c>
      <c r="B59" s="10">
        <f>85768.64+28899.1</f>
        <v>114667.73999999999</v>
      </c>
      <c r="C59" s="37" t="s">
        <v>183</v>
      </c>
    </row>
    <row r="60" spans="1:4">
      <c r="A60" t="s">
        <v>19</v>
      </c>
      <c r="B60" s="10">
        <v>0</v>
      </c>
      <c r="C60" s="39"/>
    </row>
    <row r="61" spans="1:4">
      <c r="A61" t="s">
        <v>4</v>
      </c>
      <c r="B61" s="10">
        <v>0</v>
      </c>
      <c r="C61" s="39"/>
    </row>
    <row r="62" spans="1:4">
      <c r="A62" t="s">
        <v>7</v>
      </c>
      <c r="B62" s="10">
        <v>0</v>
      </c>
      <c r="C62" s="39"/>
    </row>
    <row r="63" spans="1:4">
      <c r="A63" t="s">
        <v>184</v>
      </c>
      <c r="B63" s="10">
        <v>1752.42</v>
      </c>
      <c r="C63" s="39"/>
    </row>
    <row r="64" spans="1:4">
      <c r="A64" t="s">
        <v>185</v>
      </c>
      <c r="B64" s="10">
        <v>0</v>
      </c>
      <c r="C64" s="39"/>
    </row>
    <row r="65" spans="1:7" ht="15" customHeight="1">
      <c r="A65" t="s">
        <v>8</v>
      </c>
      <c r="B65" s="10">
        <f>B59-SUM(B61:B64)</f>
        <v>112915.31999999999</v>
      </c>
    </row>
    <row r="66" spans="1:7">
      <c r="A66" t="s">
        <v>20</v>
      </c>
      <c r="B66" s="10">
        <f>B65+B60</f>
        <v>112915.31999999999</v>
      </c>
    </row>
    <row r="67" spans="1:7" ht="115.2">
      <c r="A67" t="s">
        <v>81</v>
      </c>
      <c r="B67" s="10">
        <f>B66-B53</f>
        <v>110515.37</v>
      </c>
      <c r="C67" s="31" t="s">
        <v>161</v>
      </c>
    </row>
    <row r="68" spans="1:7">
      <c r="A68" t="s">
        <v>181</v>
      </c>
      <c r="B68" s="10">
        <f>2*B67/100</f>
        <v>2210.3073999999997</v>
      </c>
      <c r="C68" s="34"/>
    </row>
    <row r="69" spans="1:7">
      <c r="A69" t="s">
        <v>186</v>
      </c>
      <c r="B69" s="10">
        <f>16130.56+5464.72</f>
        <v>21595.279999999999</v>
      </c>
      <c r="C69" s="34"/>
    </row>
    <row r="70" spans="1:7">
      <c r="A70" t="s">
        <v>187</v>
      </c>
      <c r="B70" s="10">
        <f>3381.5+1401.5</f>
        <v>4783</v>
      </c>
      <c r="C70" s="34"/>
    </row>
    <row r="72" spans="1:7">
      <c r="A72" t="s">
        <v>33</v>
      </c>
      <c r="B72" s="10">
        <f>B20*B65</f>
        <v>7000.7498399999995</v>
      </c>
    </row>
    <row r="73" spans="1:7">
      <c r="A73" t="s">
        <v>34</v>
      </c>
      <c r="B73" s="10">
        <f>B21*B65</f>
        <v>1637.27214</v>
      </c>
    </row>
    <row r="74" spans="1:7">
      <c r="A74" t="s">
        <v>35</v>
      </c>
      <c r="B74" s="10">
        <f>B72+B73</f>
        <v>8638.0219799999995</v>
      </c>
    </row>
    <row r="75" spans="1:7">
      <c r="B75" s="10"/>
    </row>
    <row r="76" spans="1:7">
      <c r="A76" t="s">
        <v>40</v>
      </c>
      <c r="B76" s="10">
        <f>B20*B66</f>
        <v>7000.7498399999995</v>
      </c>
    </row>
    <row r="77" spans="1:7">
      <c r="A77" t="s">
        <v>41</v>
      </c>
      <c r="B77" s="10">
        <f>B21*B66</f>
        <v>1637.27214</v>
      </c>
    </row>
    <row r="78" spans="1:7">
      <c r="A78" t="s">
        <v>42</v>
      </c>
      <c r="B78" s="10">
        <f>B76+B77</f>
        <v>8638.0219799999995</v>
      </c>
    </row>
    <row r="79" spans="1:7">
      <c r="B79" s="10"/>
    </row>
    <row r="80" spans="1:7">
      <c r="B80" s="41" t="s">
        <v>59</v>
      </c>
      <c r="C80" s="41"/>
      <c r="D80" s="41" t="s">
        <v>60</v>
      </c>
      <c r="E80" s="41"/>
      <c r="F80" s="41" t="s">
        <v>58</v>
      </c>
      <c r="G80" s="41"/>
    </row>
    <row r="81" spans="1:7">
      <c r="A81" t="s">
        <v>28</v>
      </c>
      <c r="B81">
        <v>1</v>
      </c>
      <c r="D81">
        <v>4</v>
      </c>
      <c r="F81">
        <v>4</v>
      </c>
    </row>
    <row r="82" spans="1:7">
      <c r="A82" t="s">
        <v>57</v>
      </c>
      <c r="B82" s="9">
        <v>6300</v>
      </c>
      <c r="D82" s="9">
        <v>12600</v>
      </c>
      <c r="F82" s="10">
        <f>B55</f>
        <v>44091.662600000003</v>
      </c>
    </row>
    <row r="83" spans="1:7">
      <c r="B83" s="29" t="s">
        <v>17</v>
      </c>
      <c r="C83" s="29" t="s">
        <v>30</v>
      </c>
      <c r="D83" s="29" t="s">
        <v>17</v>
      </c>
      <c r="E83" s="29" t="s">
        <v>30</v>
      </c>
      <c r="F83" s="29" t="s">
        <v>17</v>
      </c>
      <c r="G83" s="29" t="s">
        <v>30</v>
      </c>
    </row>
    <row r="84" spans="1:7">
      <c r="A84" t="s">
        <v>18</v>
      </c>
      <c r="B84" s="10">
        <f>B65-B81*B10-B82</f>
        <v>102565.31999999999</v>
      </c>
      <c r="D84" s="10">
        <f>B65-D81*B10-D82</f>
        <v>84115.319999999992</v>
      </c>
      <c r="F84" s="10">
        <f>B65-F81*B10-F82</f>
        <v>52623.657399999989</v>
      </c>
    </row>
    <row r="85" spans="1:7">
      <c r="A85" s="1">
        <f>A5</f>
        <v>0.1</v>
      </c>
      <c r="B85" s="10">
        <f>B84-B88-B87-B86</f>
        <v>9325</v>
      </c>
      <c r="C85" s="10">
        <f>A5*B85</f>
        <v>932.5</v>
      </c>
      <c r="D85" s="10">
        <f>D84-D87-D86</f>
        <v>18650</v>
      </c>
      <c r="E85" s="10">
        <f>A5*D85</f>
        <v>1865</v>
      </c>
      <c r="F85" s="10">
        <f>F84-F86</f>
        <v>18650</v>
      </c>
      <c r="G85" s="10">
        <f>A5*F85</f>
        <v>1865</v>
      </c>
    </row>
    <row r="86" spans="1:7">
      <c r="A86" s="1">
        <f>A6</f>
        <v>0.15</v>
      </c>
      <c r="B86" s="10">
        <f>B84-B88-B87-B6</f>
        <v>28625</v>
      </c>
      <c r="C86" s="10">
        <f>A6*B86</f>
        <v>4293.75</v>
      </c>
      <c r="D86" s="10">
        <f>D84-D87-D6</f>
        <v>57250</v>
      </c>
      <c r="E86" s="10">
        <f>A6*D86</f>
        <v>8587.5</v>
      </c>
      <c r="F86" s="10">
        <f>F84-D6</f>
        <v>33973.657399999989</v>
      </c>
      <c r="G86" s="10">
        <f>A6*F86</f>
        <v>5096.048609999998</v>
      </c>
    </row>
    <row r="87" spans="1:7">
      <c r="A87" s="1">
        <f>A7</f>
        <v>0.25</v>
      </c>
      <c r="B87" s="10">
        <f>B84-B88-B7</f>
        <v>53950</v>
      </c>
      <c r="C87" s="10">
        <f>A7*B87</f>
        <v>13487.5</v>
      </c>
      <c r="D87" s="10">
        <f>D84-D7</f>
        <v>8215.3199999999924</v>
      </c>
      <c r="E87" s="10">
        <f>A7*D87</f>
        <v>2053.8299999999981</v>
      </c>
      <c r="F87" s="10">
        <v>0</v>
      </c>
      <c r="G87" s="10">
        <v>0</v>
      </c>
    </row>
    <row r="88" spans="1:7">
      <c r="A88" s="1">
        <f>A8</f>
        <v>0.28000000000000003</v>
      </c>
      <c r="B88" s="10">
        <f>B84-B8</f>
        <v>10665.319999999992</v>
      </c>
      <c r="C88" s="10">
        <f>A8*B88</f>
        <v>2986.2895999999982</v>
      </c>
      <c r="D88" s="10">
        <v>0</v>
      </c>
      <c r="E88" s="10">
        <v>0</v>
      </c>
      <c r="F88" s="10">
        <v>0</v>
      </c>
      <c r="G88" s="10">
        <v>0</v>
      </c>
    </row>
    <row r="89" spans="1:7">
      <c r="A89" t="s">
        <v>16</v>
      </c>
      <c r="B89" s="10">
        <f t="shared" ref="B89:G89" si="0">SUM(B85:B88)</f>
        <v>102565.31999999999</v>
      </c>
      <c r="C89" s="10">
        <f t="shared" si="0"/>
        <v>21700.039599999996</v>
      </c>
      <c r="D89" s="10">
        <f t="shared" si="0"/>
        <v>84115.319999999992</v>
      </c>
      <c r="E89" s="10">
        <f t="shared" si="0"/>
        <v>12506.329999999998</v>
      </c>
      <c r="F89" s="10">
        <f t="shared" si="0"/>
        <v>52623.657399999989</v>
      </c>
      <c r="G89" s="10">
        <f t="shared" si="0"/>
        <v>6961.048609999998</v>
      </c>
    </row>
    <row r="90" spans="1:7">
      <c r="A90" t="s">
        <v>160</v>
      </c>
      <c r="B90" s="10">
        <f>B84+B60</f>
        <v>102565.31999999999</v>
      </c>
      <c r="C90" s="10"/>
      <c r="D90" s="10">
        <f>D84+B60</f>
        <v>84115.319999999992</v>
      </c>
      <c r="E90" s="10"/>
      <c r="F90" s="10">
        <f>F84+B60</f>
        <v>52623.657399999989</v>
      </c>
      <c r="G90" s="10"/>
    </row>
    <row r="91" spans="1:7">
      <c r="A91" t="s">
        <v>29</v>
      </c>
      <c r="B91" s="1">
        <v>0.28000000000000003</v>
      </c>
      <c r="C91" s="10">
        <f>B91*B60</f>
        <v>0</v>
      </c>
      <c r="D91" s="1">
        <v>0.25</v>
      </c>
      <c r="E91" s="10">
        <f>D91*B60</f>
        <v>0</v>
      </c>
      <c r="F91" s="1">
        <v>0.15</v>
      </c>
      <c r="G91" s="10">
        <f>F91*B60</f>
        <v>0</v>
      </c>
    </row>
    <row r="92" spans="1:7">
      <c r="A92" t="s">
        <v>24</v>
      </c>
      <c r="C92" s="10">
        <f>C89+C91</f>
        <v>21700.039599999996</v>
      </c>
      <c r="E92" s="10">
        <f>E89+E91</f>
        <v>12506.329999999998</v>
      </c>
      <c r="G92" s="10">
        <f>G89+G91</f>
        <v>6961.048609999998</v>
      </c>
    </row>
    <row r="93" spans="1:7">
      <c r="A93" t="s">
        <v>23</v>
      </c>
      <c r="E93" s="10">
        <f>C92-E92</f>
        <v>9193.7095999999983</v>
      </c>
      <c r="G93" s="10">
        <f>C92-G92</f>
        <v>14738.990989999998</v>
      </c>
    </row>
    <row r="94" spans="1:7">
      <c r="A94" t="s">
        <v>63</v>
      </c>
      <c r="B94">
        <v>2</v>
      </c>
    </row>
    <row r="95" spans="1:7">
      <c r="A95" t="s">
        <v>64</v>
      </c>
      <c r="B95">
        <v>1</v>
      </c>
    </row>
    <row r="96" spans="1:7">
      <c r="A96" t="s">
        <v>65</v>
      </c>
      <c r="B96">
        <f>B94*B12</f>
        <v>2000</v>
      </c>
    </row>
    <row r="97" spans="1:7">
      <c r="A97" t="s">
        <v>66</v>
      </c>
      <c r="B97">
        <f>B95*B13</f>
        <v>2000</v>
      </c>
    </row>
    <row r="98" spans="1:7">
      <c r="A98" t="s">
        <v>144</v>
      </c>
      <c r="B98" s="4">
        <f>B16</f>
        <v>343</v>
      </c>
    </row>
    <row r="99" spans="1:7">
      <c r="A99" t="s">
        <v>67</v>
      </c>
      <c r="B99" s="4">
        <f>B96+B97+B98</f>
        <v>4343</v>
      </c>
    </row>
    <row r="100" spans="1:7">
      <c r="A100" t="s">
        <v>68</v>
      </c>
      <c r="E100" s="15">
        <f>E93+B99</f>
        <v>13536.709599999998</v>
      </c>
      <c r="G100" s="16">
        <f>G93+B99</f>
        <v>19081.990989999998</v>
      </c>
    </row>
    <row r="101" spans="1:7">
      <c r="A101" t="s">
        <v>70</v>
      </c>
      <c r="B101">
        <v>0</v>
      </c>
      <c r="E101" s="40">
        <f>E100+B101</f>
        <v>13536.709599999998</v>
      </c>
      <c r="G101" s="14">
        <f>G100+B101</f>
        <v>19081.990989999998</v>
      </c>
    </row>
    <row r="103" spans="1:7">
      <c r="A103" t="s">
        <v>25</v>
      </c>
      <c r="B103">
        <v>1</v>
      </c>
      <c r="D103">
        <v>4</v>
      </c>
    </row>
    <row r="104" spans="1:7">
      <c r="A104" t="s">
        <v>36</v>
      </c>
      <c r="B104" s="10">
        <f>B65-B103*B11</f>
        <v>110740.31999999999</v>
      </c>
      <c r="D104" s="10">
        <f>B65-D103*B11</f>
        <v>104215.31999999999</v>
      </c>
    </row>
    <row r="105" spans="1:7">
      <c r="A105" t="s">
        <v>13</v>
      </c>
      <c r="B105" s="10">
        <f>$B$18*B104</f>
        <v>4152.7619999999997</v>
      </c>
      <c r="D105" s="10">
        <f>B18*D104</f>
        <v>3908.0744999999997</v>
      </c>
    </row>
    <row r="106" spans="1:7">
      <c r="A106" t="s">
        <v>26</v>
      </c>
      <c r="B106" s="10">
        <f>B66-B103*B11</f>
        <v>110740.31999999999</v>
      </c>
      <c r="D106" s="10">
        <f>B66-D103*B11</f>
        <v>104215.31999999999</v>
      </c>
    </row>
    <row r="107" spans="1:7">
      <c r="A107" t="s">
        <v>37</v>
      </c>
      <c r="B107" s="10">
        <f>B18*B106</f>
        <v>4152.7619999999997</v>
      </c>
      <c r="D107" s="10">
        <f>B18*D106</f>
        <v>3908.0744999999997</v>
      </c>
    </row>
    <row r="108" spans="1:7">
      <c r="B108" s="10"/>
      <c r="D108" s="40">
        <f>B107-D107</f>
        <v>244.6875</v>
      </c>
    </row>
    <row r="109" spans="1:7" ht="43.2">
      <c r="A109" s="17" t="s">
        <v>190</v>
      </c>
      <c r="B109" s="10">
        <f>59133.7-(B103*B11/2)</f>
        <v>58046.2</v>
      </c>
      <c r="D109" s="10">
        <f>59133.7-(D103*B11/2)</f>
        <v>54783.7</v>
      </c>
    </row>
    <row r="110" spans="1:7">
      <c r="A110" t="s">
        <v>188</v>
      </c>
      <c r="B110" s="10">
        <f>$B$18*B109</f>
        <v>2176.7324999999996</v>
      </c>
      <c r="D110" s="10">
        <f>$B$18*D109</f>
        <v>2054.3887499999996</v>
      </c>
    </row>
    <row r="111" spans="1:7" ht="43.2">
      <c r="A111" s="17" t="s">
        <v>192</v>
      </c>
      <c r="B111" s="10">
        <f>B66-59133.7-(B103*B11/2)</f>
        <v>52694.119999999995</v>
      </c>
      <c r="D111" s="10">
        <f>B66-59133.7-(D103*B11/2)</f>
        <v>49431.619999999995</v>
      </c>
    </row>
    <row r="112" spans="1:7">
      <c r="A112" t="s">
        <v>191</v>
      </c>
      <c r="B112" s="10">
        <f>$B$19*B111</f>
        <v>2608.3589400000001</v>
      </c>
      <c r="D112" s="10">
        <f>$B$19*D111</f>
        <v>2446.86519</v>
      </c>
    </row>
    <row r="113" spans="1:4">
      <c r="A113" t="s">
        <v>189</v>
      </c>
      <c r="B113" s="10">
        <f>B110+B112</f>
        <v>4785.0914400000001</v>
      </c>
      <c r="D113" s="10">
        <f>D110+D112</f>
        <v>4501.2539399999996</v>
      </c>
    </row>
    <row r="114" spans="1:4">
      <c r="A114" t="s">
        <v>27</v>
      </c>
      <c r="D114" s="40">
        <f>B113-D113</f>
        <v>283.83750000000055</v>
      </c>
    </row>
    <row r="115" spans="1:4" ht="28.8">
      <c r="A115" s="17" t="s">
        <v>194</v>
      </c>
      <c r="B115" s="10">
        <f>5*B56/100</f>
        <v>377.30150000000003</v>
      </c>
    </row>
    <row r="116" spans="1:4">
      <c r="A116" s="12" t="s">
        <v>195</v>
      </c>
      <c r="B116">
        <v>0</v>
      </c>
    </row>
    <row r="117" spans="1:4">
      <c r="D117" s="35">
        <f>D114+B115+B116</f>
        <v>661.13900000000058</v>
      </c>
    </row>
    <row r="119" spans="1:4">
      <c r="A119" s="29" t="s">
        <v>31</v>
      </c>
    </row>
    <row r="120" spans="1:4">
      <c r="A120" s="29"/>
    </row>
    <row r="121" spans="1:4">
      <c r="A121" s="11" t="s">
        <v>38</v>
      </c>
    </row>
    <row r="122" spans="1:4">
      <c r="A122" t="s">
        <v>15</v>
      </c>
      <c r="B122" s="10">
        <f>C89/12</f>
        <v>1808.3366333333331</v>
      </c>
      <c r="D122" s="10">
        <f>E89/12</f>
        <v>1042.1941666666664</v>
      </c>
    </row>
    <row r="123" spans="1:4">
      <c r="A123" t="s">
        <v>13</v>
      </c>
      <c r="B123" s="10">
        <f>B105/12</f>
        <v>346.06349999999998</v>
      </c>
      <c r="D123" s="10">
        <f>D105/12</f>
        <v>325.67287499999998</v>
      </c>
    </row>
    <row r="124" spans="1:4">
      <c r="A124" t="s">
        <v>10</v>
      </c>
      <c r="B124" s="10">
        <f>B72/12</f>
        <v>583.39581999999996</v>
      </c>
      <c r="D124" s="10"/>
    </row>
    <row r="125" spans="1:4">
      <c r="A125" t="s">
        <v>14</v>
      </c>
      <c r="B125" s="10">
        <f>B73/12</f>
        <v>136.439345</v>
      </c>
    </row>
    <row r="126" spans="1:4">
      <c r="A126" t="s">
        <v>32</v>
      </c>
      <c r="B126" s="10">
        <f>B124+B125</f>
        <v>719.83516499999996</v>
      </c>
    </row>
    <row r="128" spans="1:4">
      <c r="A128" s="11" t="s">
        <v>39</v>
      </c>
    </row>
    <row r="129" spans="1:4">
      <c r="A129" t="s">
        <v>15</v>
      </c>
      <c r="B129" s="10">
        <f>C92/12</f>
        <v>1808.3366333333331</v>
      </c>
      <c r="D129" s="10">
        <f>E92/12</f>
        <v>1042.1941666666664</v>
      </c>
    </row>
    <row r="130" spans="1:4">
      <c r="A130" t="s">
        <v>13</v>
      </c>
      <c r="B130" s="10">
        <f>B107/12</f>
        <v>346.06349999999998</v>
      </c>
      <c r="D130" s="10">
        <f>D107/12</f>
        <v>325.67287499999998</v>
      </c>
    </row>
    <row r="131" spans="1:4">
      <c r="A131" t="s">
        <v>10</v>
      </c>
      <c r="B131" s="10">
        <f>B76/12</f>
        <v>583.39581999999996</v>
      </c>
      <c r="D131" s="10"/>
    </row>
    <row r="132" spans="1:4">
      <c r="A132" t="s">
        <v>14</v>
      </c>
      <c r="B132" s="10">
        <f>B77/12</f>
        <v>136.439345</v>
      </c>
    </row>
    <row r="133" spans="1:4">
      <c r="A133" t="s">
        <v>32</v>
      </c>
      <c r="B133" s="10">
        <f>B131+B132</f>
        <v>719.83516499999996</v>
      </c>
    </row>
  </sheetData>
  <mergeCells count="6">
    <mergeCell ref="F80:G80"/>
    <mergeCell ref="A3:E3"/>
    <mergeCell ref="B4:C4"/>
    <mergeCell ref="D4:E4"/>
    <mergeCell ref="B80:C80"/>
    <mergeCell ref="D80:E8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abSelected="1" topLeftCell="A76" workbookViewId="0">
      <selection activeCell="F97" sqref="F97"/>
    </sheetView>
  </sheetViews>
  <sheetFormatPr defaultRowHeight="14.4"/>
  <cols>
    <col min="1" max="1" width="52.5546875" bestFit="1" customWidth="1"/>
    <col min="2" max="2" width="17.77734375" bestFit="1" customWidth="1"/>
    <col min="3" max="3" width="49.33203125" bestFit="1" customWidth="1"/>
    <col min="4" max="4" width="9.109375" customWidth="1"/>
    <col min="5" max="5" width="18.77734375" bestFit="1" customWidth="1"/>
    <col min="6" max="6" width="79.5546875" bestFit="1" customWidth="1"/>
  </cols>
  <sheetData>
    <row r="1" spans="1:6">
      <c r="A1" s="52" t="s">
        <v>156</v>
      </c>
      <c r="B1" s="53">
        <v>0</v>
      </c>
    </row>
    <row r="2" spans="1:6">
      <c r="A2" s="52" t="s">
        <v>45</v>
      </c>
      <c r="B2" s="53">
        <v>7800</v>
      </c>
    </row>
    <row r="3" spans="1:6">
      <c r="A3" s="52" t="s">
        <v>47</v>
      </c>
      <c r="B3" s="53">
        <v>12432.52</v>
      </c>
    </row>
    <row r="4" spans="1:6">
      <c r="A4" s="52" t="s">
        <v>178</v>
      </c>
      <c r="B4" s="53">
        <v>0</v>
      </c>
    </row>
    <row r="5" spans="1:6">
      <c r="A5" s="52" t="s">
        <v>179</v>
      </c>
      <c r="B5" s="53">
        <v>0</v>
      </c>
    </row>
    <row r="6" spans="1:6">
      <c r="A6" s="52" t="s">
        <v>180</v>
      </c>
      <c r="B6" s="53">
        <v>0</v>
      </c>
    </row>
    <row r="7" spans="1:6">
      <c r="A7" s="52" t="s">
        <v>50</v>
      </c>
      <c r="B7" s="53">
        <v>0</v>
      </c>
    </row>
    <row r="8" spans="1:6">
      <c r="A8" s="52" t="s">
        <v>13</v>
      </c>
      <c r="B8" s="53">
        <f>10000-B2</f>
        <v>2200</v>
      </c>
    </row>
    <row r="9" spans="1:6">
      <c r="A9" s="52" t="s">
        <v>155</v>
      </c>
      <c r="B9" s="53">
        <v>0</v>
      </c>
    </row>
    <row r="10" spans="1:6">
      <c r="A10" s="52" t="s">
        <v>53</v>
      </c>
      <c r="B10" s="53">
        <v>10400</v>
      </c>
    </row>
    <row r="11" spans="1:6">
      <c r="A11" s="52" t="s">
        <v>182</v>
      </c>
      <c r="B11" s="53">
        <v>0</v>
      </c>
    </row>
    <row r="12" spans="1:6" s="47" customFormat="1">
      <c r="A12" s="52" t="s">
        <v>214</v>
      </c>
      <c r="B12" s="53">
        <v>10000</v>
      </c>
    </row>
    <row r="13" spans="1:6">
      <c r="A13" s="52" t="s">
        <v>157</v>
      </c>
      <c r="B13" s="53">
        <f>SUM(B1:B12)</f>
        <v>42832.520000000004</v>
      </c>
    </row>
    <row r="14" spans="1:6">
      <c r="E14">
        <v>2019</v>
      </c>
    </row>
    <row r="15" spans="1:6">
      <c r="A15" s="52" t="s">
        <v>212</v>
      </c>
      <c r="B15" s="53">
        <v>129000</v>
      </c>
      <c r="E15" s="50">
        <v>145933</v>
      </c>
    </row>
    <row r="16" spans="1:6">
      <c r="A16" s="52" t="s">
        <v>213</v>
      </c>
      <c r="B16" s="53">
        <v>40000</v>
      </c>
      <c r="E16">
        <f>(145600-7800)</f>
        <v>137800</v>
      </c>
      <c r="F16" t="s">
        <v>222</v>
      </c>
    </row>
    <row r="17" spans="1:5">
      <c r="A17" s="52" t="s">
        <v>73</v>
      </c>
      <c r="B17" s="53">
        <v>169000</v>
      </c>
      <c r="E17">
        <f>E15+E16</f>
        <v>283733</v>
      </c>
    </row>
    <row r="19" spans="1:5">
      <c r="A19" s="52" t="s">
        <v>217</v>
      </c>
      <c r="B19" s="53">
        <v>431.21</v>
      </c>
    </row>
    <row r="20" spans="1:5">
      <c r="A20" s="52" t="s">
        <v>218</v>
      </c>
      <c r="B20" s="53">
        <f>26*B19</f>
        <v>11211.46</v>
      </c>
    </row>
    <row r="21" spans="1:5" s="47" customFormat="1">
      <c r="A21" s="52" t="s">
        <v>215</v>
      </c>
      <c r="B21" s="53">
        <v>190.77</v>
      </c>
    </row>
    <row r="22" spans="1:5">
      <c r="A22" s="52" t="s">
        <v>216</v>
      </c>
      <c r="B22" s="51">
        <f>3*B21</f>
        <v>572.31000000000006</v>
      </c>
    </row>
    <row r="23" spans="1:5">
      <c r="A23" s="52" t="s">
        <v>219</v>
      </c>
      <c r="B23" s="51">
        <f>B20+B22</f>
        <v>11783.769999999999</v>
      </c>
    </row>
    <row r="25" spans="1:5">
      <c r="A25" s="52" t="s">
        <v>220</v>
      </c>
      <c r="B25" s="51">
        <f>B17-B23</f>
        <v>157216.23000000001</v>
      </c>
      <c r="E25" s="51">
        <f>E17-B23</f>
        <v>271949.23</v>
      </c>
    </row>
    <row r="26" spans="1:5" s="47" customFormat="1">
      <c r="A26" s="52" t="s">
        <v>233</v>
      </c>
      <c r="B26" s="51">
        <f>B15-B23</f>
        <v>117216.23</v>
      </c>
      <c r="E26" s="51">
        <f>E15-B23</f>
        <v>134149.23000000001</v>
      </c>
    </row>
    <row r="27" spans="1:5" s="47" customFormat="1">
      <c r="A27" s="52" t="s">
        <v>234</v>
      </c>
      <c r="B27" s="51">
        <f>B16</f>
        <v>40000</v>
      </c>
      <c r="E27" s="51">
        <f>E16</f>
        <v>137800</v>
      </c>
    </row>
    <row r="29" spans="1:5">
      <c r="A29" s="52" t="s">
        <v>141</v>
      </c>
      <c r="B29" s="53">
        <v>2500</v>
      </c>
    </row>
    <row r="31" spans="1:5">
      <c r="A31" t="s">
        <v>81</v>
      </c>
      <c r="B31" s="51">
        <f>B25-B29</f>
        <v>154716.23000000001</v>
      </c>
      <c r="E31" s="51">
        <f>E25-B29</f>
        <v>269449.23</v>
      </c>
    </row>
    <row r="33" spans="1:7">
      <c r="A33" t="s">
        <v>221</v>
      </c>
      <c r="B33" s="51">
        <f>B31-B13</f>
        <v>111883.71</v>
      </c>
      <c r="E33" s="51">
        <f>E31-B13</f>
        <v>226616.70999999996</v>
      </c>
    </row>
    <row r="34" spans="1:7" s="47" customFormat="1">
      <c r="A34" s="47" t="s">
        <v>237</v>
      </c>
      <c r="B34" s="51">
        <f>B33+24000</f>
        <v>135883.71000000002</v>
      </c>
      <c r="C34" s="47" t="s">
        <v>238</v>
      </c>
      <c r="E34" s="51">
        <f>E33+24000</f>
        <v>250616.70999999996</v>
      </c>
    </row>
    <row r="36" spans="1:7" s="47" customFormat="1">
      <c r="A36" s="47" t="s">
        <v>30</v>
      </c>
      <c r="B36" s="47">
        <v>11213</v>
      </c>
      <c r="E36">
        <v>37207</v>
      </c>
      <c r="F36" s="47" t="s">
        <v>226</v>
      </c>
    </row>
    <row r="37" spans="1:7" s="47" customFormat="1">
      <c r="A37" s="47" t="s">
        <v>223</v>
      </c>
      <c r="B37" s="49">
        <v>0.1002</v>
      </c>
      <c r="E37" s="49">
        <v>0.16420000000000001</v>
      </c>
    </row>
    <row r="38" spans="1:7">
      <c r="A38" s="47" t="s">
        <v>224</v>
      </c>
      <c r="B38" s="48">
        <v>0.22</v>
      </c>
      <c r="C38" s="47" t="s">
        <v>229</v>
      </c>
      <c r="D38" s="47"/>
      <c r="E38" s="48">
        <v>0.24</v>
      </c>
      <c r="F38" s="47" t="s">
        <v>230</v>
      </c>
      <c r="G38" s="47"/>
    </row>
    <row r="39" spans="1:7">
      <c r="A39" s="47" t="s">
        <v>225</v>
      </c>
      <c r="B39" s="47" t="s">
        <v>227</v>
      </c>
      <c r="C39" s="47"/>
      <c r="D39" s="47"/>
      <c r="E39" s="47" t="s">
        <v>228</v>
      </c>
      <c r="F39" s="47"/>
      <c r="G39" s="47"/>
    </row>
    <row r="40" spans="1:7" s="47" customFormat="1"/>
    <row r="41" spans="1:7" s="47" customFormat="1">
      <c r="A41" s="47" t="s">
        <v>239</v>
      </c>
      <c r="B41" s="47">
        <v>16493</v>
      </c>
      <c r="C41" s="47" t="s">
        <v>240</v>
      </c>
      <c r="E41" s="47">
        <v>42967</v>
      </c>
    </row>
    <row r="42" spans="1:7" s="47" customFormat="1">
      <c r="A42" s="47" t="s">
        <v>223</v>
      </c>
      <c r="B42" s="49">
        <v>0.12139999999999999</v>
      </c>
      <c r="E42" s="47">
        <v>17.14</v>
      </c>
    </row>
    <row r="43" spans="1:7" s="47" customFormat="1">
      <c r="A43" s="47" t="s">
        <v>224</v>
      </c>
      <c r="B43" s="48">
        <v>0.22</v>
      </c>
      <c r="E43" s="48">
        <v>0.24</v>
      </c>
    </row>
    <row r="44" spans="1:7">
      <c r="A44" s="47" t="s">
        <v>225</v>
      </c>
      <c r="B44" s="47" t="s">
        <v>227</v>
      </c>
      <c r="C44" s="47"/>
      <c r="D44" s="47"/>
      <c r="E44" s="47" t="s">
        <v>228</v>
      </c>
      <c r="F44" s="47"/>
      <c r="G44" s="47"/>
    </row>
    <row r="45" spans="1:7">
      <c r="A45" s="47"/>
      <c r="B45" s="47"/>
      <c r="C45" s="47"/>
      <c r="D45" s="47"/>
      <c r="E45" s="47"/>
      <c r="F45" s="47"/>
      <c r="G45" s="47"/>
    </row>
    <row r="46" spans="1:7">
      <c r="A46" t="s">
        <v>235</v>
      </c>
      <c r="B46">
        <v>19541</v>
      </c>
      <c r="F46" t="s">
        <v>226</v>
      </c>
    </row>
    <row r="47" spans="1:7">
      <c r="A47" t="s">
        <v>223</v>
      </c>
      <c r="B47" s="49">
        <v>0.16669999999999999</v>
      </c>
    </row>
    <row r="48" spans="1:7">
      <c r="A48" t="s">
        <v>224</v>
      </c>
      <c r="B48" s="48">
        <v>0.24</v>
      </c>
    </row>
    <row r="49" spans="1:2">
      <c r="A49" t="s">
        <v>225</v>
      </c>
      <c r="B49" t="s">
        <v>231</v>
      </c>
    </row>
    <row r="51" spans="1:2">
      <c r="A51" t="s">
        <v>232</v>
      </c>
      <c r="B51">
        <v>3170</v>
      </c>
    </row>
    <row r="52" spans="1:2">
      <c r="A52" s="47" t="s">
        <v>223</v>
      </c>
      <c r="B52" s="49">
        <v>7.9200000000000007E-2</v>
      </c>
    </row>
    <row r="53" spans="1:2">
      <c r="A53" s="47" t="s">
        <v>224</v>
      </c>
      <c r="B53" s="48">
        <v>0.12</v>
      </c>
    </row>
    <row r="54" spans="1:2" ht="28.8">
      <c r="A54" s="47" t="s">
        <v>225</v>
      </c>
      <c r="B54" s="54" t="s">
        <v>236</v>
      </c>
    </row>
    <row r="56" spans="1:2">
      <c r="A56" t="s">
        <v>241</v>
      </c>
      <c r="B56">
        <v>5600</v>
      </c>
    </row>
    <row r="58" spans="1:2">
      <c r="A58" t="s">
        <v>242</v>
      </c>
      <c r="B58">
        <f>B51+B46-B41</f>
        <v>6218</v>
      </c>
    </row>
    <row r="59" spans="1:2">
      <c r="A59" t="s">
        <v>243</v>
      </c>
      <c r="B59">
        <v>6000</v>
      </c>
    </row>
    <row r="60" spans="1:2">
      <c r="A60" t="s">
        <v>244</v>
      </c>
      <c r="B60">
        <v>1000</v>
      </c>
    </row>
    <row r="61" spans="1:2">
      <c r="A61" t="s">
        <v>245</v>
      </c>
      <c r="B61">
        <v>400</v>
      </c>
    </row>
    <row r="62" spans="1:2">
      <c r="A62" t="s">
        <v>246</v>
      </c>
      <c r="B62">
        <v>2000</v>
      </c>
    </row>
    <row r="63" spans="1:2">
      <c r="A63" t="s">
        <v>247</v>
      </c>
      <c r="B63">
        <f>SUM(B58:B62)</f>
        <v>15618</v>
      </c>
    </row>
    <row r="65" spans="1:2">
      <c r="A65" t="s">
        <v>248</v>
      </c>
      <c r="B65">
        <f>B63+B56</f>
        <v>21218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
  <sheetViews>
    <sheetView topLeftCell="A85" workbookViewId="0">
      <selection activeCell="E101" sqref="E101"/>
    </sheetView>
  </sheetViews>
  <sheetFormatPr defaultColWidth="11.5546875" defaultRowHeight="14.4"/>
  <cols>
    <col min="1" max="1" width="29.109375" bestFit="1" customWidth="1"/>
    <col min="2" max="2" width="39.6640625" bestFit="1" customWidth="1"/>
    <col min="3" max="3" width="31" bestFit="1" customWidth="1"/>
    <col min="4" max="4" width="29.77734375" customWidth="1"/>
    <col min="5" max="5" width="30.33203125" bestFit="1" customWidth="1"/>
    <col min="6" max="6" width="24.6640625" customWidth="1"/>
    <col min="7" max="7" width="46.109375" bestFit="1" customWidth="1"/>
  </cols>
  <sheetData>
    <row r="1" spans="1:7">
      <c r="A1" t="s">
        <v>102</v>
      </c>
    </row>
    <row r="3" spans="1:7" s="23" customFormat="1">
      <c r="A3" s="22" t="s">
        <v>72</v>
      </c>
    </row>
    <row r="5" spans="1:7">
      <c r="A5" t="s">
        <v>98</v>
      </c>
      <c r="B5">
        <v>3543.08</v>
      </c>
    </row>
    <row r="7" spans="1:7">
      <c r="B7" s="21" t="s">
        <v>94</v>
      </c>
      <c r="C7" s="21"/>
      <c r="D7" s="21" t="s">
        <v>105</v>
      </c>
      <c r="E7" s="21"/>
      <c r="F7" s="21" t="s">
        <v>96</v>
      </c>
    </row>
    <row r="9" spans="1:7">
      <c r="A9" t="s">
        <v>73</v>
      </c>
      <c r="B9">
        <v>108694.38</v>
      </c>
      <c r="D9">
        <v>96474.76</v>
      </c>
      <c r="F9">
        <v>96474.76</v>
      </c>
    </row>
    <row r="10" spans="1:7">
      <c r="A10" t="s">
        <v>74</v>
      </c>
      <c r="B10">
        <v>625</v>
      </c>
      <c r="D10">
        <v>625</v>
      </c>
      <c r="F10">
        <v>625</v>
      </c>
    </row>
    <row r="11" spans="1:7">
      <c r="A11" t="s">
        <v>75</v>
      </c>
      <c r="B11">
        <v>283</v>
      </c>
      <c r="D11">
        <v>283</v>
      </c>
      <c r="F11">
        <v>283</v>
      </c>
    </row>
    <row r="12" spans="1:7">
      <c r="A12" t="s">
        <v>76</v>
      </c>
      <c r="B12">
        <v>-3000</v>
      </c>
      <c r="C12" t="s">
        <v>77</v>
      </c>
      <c r="D12">
        <v>-3000</v>
      </c>
      <c r="E12" t="s">
        <v>77</v>
      </c>
      <c r="F12">
        <v>-3000</v>
      </c>
      <c r="G12" t="s">
        <v>77</v>
      </c>
    </row>
    <row r="14" spans="1:7">
      <c r="A14" t="s">
        <v>78</v>
      </c>
      <c r="B14">
        <f>B9+B10+B11+B12</f>
        <v>106602.38</v>
      </c>
      <c r="D14">
        <f>D9+D10+D11+D12</f>
        <v>94382.76</v>
      </c>
      <c r="F14">
        <f>F9+F10+F11+F12</f>
        <v>94382.76</v>
      </c>
    </row>
    <row r="16" spans="1:7">
      <c r="A16" t="s">
        <v>79</v>
      </c>
      <c r="B16">
        <v>3600</v>
      </c>
      <c r="D16">
        <v>3600</v>
      </c>
      <c r="F16">
        <v>3600</v>
      </c>
    </row>
    <row r="17" spans="1:7">
      <c r="A17" t="s">
        <v>80</v>
      </c>
      <c r="B17">
        <v>2500</v>
      </c>
      <c r="C17" t="s">
        <v>77</v>
      </c>
      <c r="D17">
        <v>2500</v>
      </c>
      <c r="E17" t="s">
        <v>77</v>
      </c>
      <c r="F17">
        <v>2500</v>
      </c>
      <c r="G17" t="s">
        <v>77</v>
      </c>
    </row>
    <row r="19" spans="1:7">
      <c r="A19" t="s">
        <v>81</v>
      </c>
      <c r="B19">
        <f>B14-B16-B17</f>
        <v>100502.38</v>
      </c>
      <c r="D19">
        <f>D14-D16-D17</f>
        <v>88282.76</v>
      </c>
      <c r="F19">
        <f>F14-F16-F17</f>
        <v>88282.76</v>
      </c>
    </row>
    <row r="21" spans="1:7">
      <c r="A21" t="s">
        <v>99</v>
      </c>
      <c r="B21" s="6">
        <v>3.7499999999999999E-2</v>
      </c>
      <c r="D21" s="6">
        <v>3.7499999999999999E-2</v>
      </c>
      <c r="F21" s="6">
        <v>3.7499999999999999E-2</v>
      </c>
    </row>
    <row r="23" spans="1:7">
      <c r="A23" t="s">
        <v>85</v>
      </c>
      <c r="B23" s="19">
        <f>B21*B19</f>
        <v>3768.83925</v>
      </c>
      <c r="D23" s="19">
        <f>D21*D19</f>
        <v>3310.6034999999997</v>
      </c>
      <c r="F23" s="19">
        <f>F21*F19</f>
        <v>3310.6034999999997</v>
      </c>
    </row>
    <row r="26" spans="1:7">
      <c r="A26" t="s">
        <v>82</v>
      </c>
      <c r="B26">
        <v>2175</v>
      </c>
      <c r="D26">
        <v>2175</v>
      </c>
      <c r="F26">
        <v>2175</v>
      </c>
    </row>
    <row r="27" spans="1:7">
      <c r="A27" t="s">
        <v>83</v>
      </c>
      <c r="B27">
        <v>4</v>
      </c>
      <c r="C27" t="s">
        <v>84</v>
      </c>
      <c r="D27">
        <v>4</v>
      </c>
      <c r="E27" t="s">
        <v>84</v>
      </c>
      <c r="F27">
        <v>4</v>
      </c>
      <c r="G27" t="s">
        <v>84</v>
      </c>
    </row>
    <row r="29" spans="1:7">
      <c r="A29" t="s">
        <v>86</v>
      </c>
      <c r="B29">
        <f>B19 - B27*B26</f>
        <v>91802.38</v>
      </c>
      <c r="D29">
        <f>D19 - D27*D26</f>
        <v>79582.759999999995</v>
      </c>
      <c r="F29">
        <f>F19 - F27*F26</f>
        <v>79582.759999999995</v>
      </c>
    </row>
    <row r="31" spans="1:7">
      <c r="A31" t="s">
        <v>93</v>
      </c>
      <c r="B31">
        <f>B21*B29</f>
        <v>3442.58925</v>
      </c>
      <c r="D31">
        <f>D21*D29</f>
        <v>2984.3534999999997</v>
      </c>
      <c r="F31">
        <f>F21*F29</f>
        <v>2984.3534999999997</v>
      </c>
    </row>
    <row r="33" spans="1:7">
      <c r="A33" t="s">
        <v>87</v>
      </c>
      <c r="B33">
        <f>73.18*3</f>
        <v>219.54000000000002</v>
      </c>
      <c r="D33">
        <f>73.18*3</f>
        <v>219.54000000000002</v>
      </c>
      <c r="F33">
        <v>0</v>
      </c>
    </row>
    <row r="34" spans="1:7">
      <c r="A34" t="s">
        <v>88</v>
      </c>
      <c r="B34">
        <v>7137</v>
      </c>
      <c r="D34">
        <v>7137</v>
      </c>
      <c r="F34">
        <v>5274.38</v>
      </c>
    </row>
    <row r="36" spans="1:7">
      <c r="A36" t="s">
        <v>92</v>
      </c>
      <c r="B36" s="1">
        <v>0.05</v>
      </c>
      <c r="D36" s="1">
        <v>0.05</v>
      </c>
      <c r="F36" s="1">
        <v>0.05</v>
      </c>
    </row>
    <row r="38" spans="1:7">
      <c r="A38" t="s">
        <v>89</v>
      </c>
      <c r="B38">
        <v>0</v>
      </c>
      <c r="C38" t="s">
        <v>90</v>
      </c>
      <c r="D38">
        <v>0</v>
      </c>
      <c r="E38" t="s">
        <v>90</v>
      </c>
      <c r="F38">
        <v>0</v>
      </c>
      <c r="G38" t="s">
        <v>90</v>
      </c>
    </row>
    <row r="39" spans="1:7">
      <c r="A39" t="s">
        <v>91</v>
      </c>
      <c r="B39">
        <f>B36*B34</f>
        <v>356.85</v>
      </c>
      <c r="D39">
        <f>D36*D34</f>
        <v>356.85</v>
      </c>
      <c r="F39">
        <f>F36*F34</f>
        <v>263.71899999999999</v>
      </c>
    </row>
    <row r="41" spans="1:7">
      <c r="A41" t="s">
        <v>30</v>
      </c>
      <c r="B41">
        <f>B31-B39-B38</f>
        <v>3085.7392500000001</v>
      </c>
      <c r="D41">
        <f>D31-D39-D38</f>
        <v>2627.5034999999998</v>
      </c>
      <c r="F41">
        <f>F31-F39-F38</f>
        <v>2720.6344999999997</v>
      </c>
    </row>
    <row r="42" spans="1:7">
      <c r="A42" t="s">
        <v>95</v>
      </c>
      <c r="B42">
        <f>B5-B41</f>
        <v>457.34074999999984</v>
      </c>
      <c r="D42">
        <f>B5-D41</f>
        <v>915.57650000000012</v>
      </c>
      <c r="F42">
        <f>B5-F41</f>
        <v>822.44550000000027</v>
      </c>
      <c r="G42" t="s">
        <v>106</v>
      </c>
    </row>
    <row r="44" spans="1:7" s="23" customFormat="1">
      <c r="A44" s="22" t="s">
        <v>97</v>
      </c>
    </row>
    <row r="46" spans="1:7">
      <c r="A46" t="s">
        <v>98</v>
      </c>
      <c r="B46">
        <v>500.61</v>
      </c>
    </row>
    <row r="47" spans="1:7">
      <c r="A47" t="s">
        <v>100</v>
      </c>
      <c r="B47">
        <v>244.39</v>
      </c>
      <c r="C47" t="s">
        <v>101</v>
      </c>
    </row>
    <row r="50" spans="1:7">
      <c r="A50" t="s">
        <v>73</v>
      </c>
      <c r="B50">
        <v>0</v>
      </c>
      <c r="D50">
        <v>12219.62</v>
      </c>
      <c r="F50">
        <v>12219.62</v>
      </c>
    </row>
    <row r="51" spans="1:7">
      <c r="A51" t="s">
        <v>74</v>
      </c>
      <c r="B51">
        <v>0</v>
      </c>
      <c r="D51">
        <v>0</v>
      </c>
      <c r="E51" t="s">
        <v>107</v>
      </c>
      <c r="F51">
        <v>0</v>
      </c>
      <c r="G51" t="s">
        <v>107</v>
      </c>
    </row>
    <row r="52" spans="1:7">
      <c r="A52" t="s">
        <v>75</v>
      </c>
      <c r="B52">
        <v>0</v>
      </c>
      <c r="D52">
        <v>0</v>
      </c>
      <c r="E52" t="s">
        <v>107</v>
      </c>
      <c r="F52">
        <v>0</v>
      </c>
      <c r="G52" t="s">
        <v>107</v>
      </c>
    </row>
    <row r="53" spans="1:7">
      <c r="A53" t="s">
        <v>76</v>
      </c>
      <c r="B53">
        <v>0</v>
      </c>
      <c r="D53">
        <v>0</v>
      </c>
      <c r="E53" t="s">
        <v>107</v>
      </c>
      <c r="F53">
        <v>0</v>
      </c>
      <c r="G53" t="s">
        <v>107</v>
      </c>
    </row>
    <row r="56" spans="1:7">
      <c r="A56" t="s">
        <v>78</v>
      </c>
      <c r="B56">
        <f>B50+B51+B52+B53</f>
        <v>0</v>
      </c>
      <c r="D56">
        <f>D50+D51+D52+D53</f>
        <v>12219.62</v>
      </c>
      <c r="F56">
        <f>F50+F51+F52+F53</f>
        <v>12219.62</v>
      </c>
    </row>
    <row r="58" spans="1:7">
      <c r="A58" t="s">
        <v>79</v>
      </c>
      <c r="B58">
        <v>0</v>
      </c>
      <c r="D58">
        <v>0</v>
      </c>
      <c r="E58" t="s">
        <v>107</v>
      </c>
      <c r="F58">
        <v>0</v>
      </c>
      <c r="G58" t="s">
        <v>107</v>
      </c>
    </row>
    <row r="59" spans="1:7">
      <c r="A59" t="s">
        <v>80</v>
      </c>
      <c r="B59">
        <v>0</v>
      </c>
      <c r="D59">
        <v>0</v>
      </c>
      <c r="E59" t="s">
        <v>107</v>
      </c>
      <c r="F59">
        <v>0</v>
      </c>
      <c r="G59" t="s">
        <v>107</v>
      </c>
    </row>
    <row r="61" spans="1:7">
      <c r="A61" t="s">
        <v>81</v>
      </c>
      <c r="B61">
        <f>B56-B58-B59</f>
        <v>0</v>
      </c>
      <c r="D61">
        <f>D56-D58-D59</f>
        <v>12219.62</v>
      </c>
      <c r="F61">
        <f>F56-F58-F59</f>
        <v>12219.62</v>
      </c>
    </row>
    <row r="63" spans="1:7">
      <c r="A63" t="s">
        <v>99</v>
      </c>
      <c r="B63" s="6">
        <v>0</v>
      </c>
      <c r="D63" s="6">
        <v>1.9800000000000002E-2</v>
      </c>
      <c r="E63" t="s">
        <v>114</v>
      </c>
      <c r="F63" s="6">
        <v>1.9800000000000002E-2</v>
      </c>
      <c r="G63" t="s">
        <v>114</v>
      </c>
    </row>
    <row r="65" spans="1:7">
      <c r="A65" t="s">
        <v>85</v>
      </c>
      <c r="B65" s="19">
        <f>B63*B61</f>
        <v>0</v>
      </c>
      <c r="D65" s="19">
        <f>77.97+D63*(D50-10500)</f>
        <v>112.01847600000002</v>
      </c>
      <c r="F65" s="19">
        <f>77.97+F63*(F50-10500)</f>
        <v>112.01847600000002</v>
      </c>
    </row>
    <row r="68" spans="1:7">
      <c r="A68" t="s">
        <v>82</v>
      </c>
      <c r="B68">
        <v>0</v>
      </c>
      <c r="C68" t="s">
        <v>127</v>
      </c>
      <c r="D68">
        <v>0</v>
      </c>
      <c r="E68" t="s">
        <v>127</v>
      </c>
      <c r="F68">
        <v>0</v>
      </c>
      <c r="G68" t="s">
        <v>127</v>
      </c>
    </row>
    <row r="69" spans="1:7">
      <c r="A69" t="s">
        <v>83</v>
      </c>
      <c r="B69">
        <v>4</v>
      </c>
      <c r="C69" t="s">
        <v>84</v>
      </c>
      <c r="D69">
        <v>4</v>
      </c>
      <c r="E69" t="s">
        <v>84</v>
      </c>
      <c r="F69">
        <v>4</v>
      </c>
      <c r="G69" t="s">
        <v>84</v>
      </c>
    </row>
    <row r="71" spans="1:7">
      <c r="A71" t="s">
        <v>86</v>
      </c>
      <c r="B71">
        <v>0</v>
      </c>
      <c r="D71">
        <f>D61 - D69*D68</f>
        <v>12219.62</v>
      </c>
      <c r="F71">
        <f>F61 - F69*F68</f>
        <v>12219.62</v>
      </c>
    </row>
    <row r="73" spans="1:7">
      <c r="A73" t="s">
        <v>93</v>
      </c>
      <c r="B73">
        <f>B63*B71</f>
        <v>0</v>
      </c>
      <c r="D73" s="19">
        <f>77.97+D63*(D71-10500)</f>
        <v>112.01847600000002</v>
      </c>
      <c r="F73" s="19">
        <f>77.97+F63*(F71-10500)</f>
        <v>112.01847600000002</v>
      </c>
    </row>
    <row r="75" spans="1:7">
      <c r="A75" t="s">
        <v>104</v>
      </c>
      <c r="B75">
        <v>0</v>
      </c>
      <c r="D75">
        <v>0</v>
      </c>
      <c r="F75">
        <v>0</v>
      </c>
    </row>
    <row r="76" spans="1:7">
      <c r="A76" t="s">
        <v>103</v>
      </c>
      <c r="B76">
        <v>0</v>
      </c>
      <c r="D76">
        <v>0</v>
      </c>
      <c r="F76">
        <v>0</v>
      </c>
    </row>
    <row r="78" spans="1:7">
      <c r="A78" t="s">
        <v>92</v>
      </c>
      <c r="B78" s="1">
        <v>0</v>
      </c>
      <c r="D78" s="1">
        <v>0</v>
      </c>
      <c r="F78" s="1">
        <v>0</v>
      </c>
    </row>
    <row r="80" spans="1:7">
      <c r="A80" t="s">
        <v>89</v>
      </c>
      <c r="B80">
        <v>0</v>
      </c>
      <c r="D80">
        <v>0</v>
      </c>
      <c r="E80" t="s">
        <v>90</v>
      </c>
      <c r="F80">
        <v>0</v>
      </c>
      <c r="G80" t="s">
        <v>90</v>
      </c>
    </row>
    <row r="81" spans="1:7">
      <c r="A81" t="s">
        <v>91</v>
      </c>
      <c r="B81">
        <f>B78*B76</f>
        <v>0</v>
      </c>
      <c r="D81">
        <f>D78*D76</f>
        <v>0</v>
      </c>
      <c r="F81">
        <f>F78*F76</f>
        <v>0</v>
      </c>
    </row>
    <row r="83" spans="1:7">
      <c r="A83" t="s">
        <v>30</v>
      </c>
      <c r="B83">
        <f>B73-B81-B80</f>
        <v>0</v>
      </c>
      <c r="D83" s="19">
        <f>D73-D81-D80</f>
        <v>112.01847600000002</v>
      </c>
      <c r="F83" s="19">
        <f>F73-F81-F80</f>
        <v>112.01847600000002</v>
      </c>
    </row>
    <row r="84" spans="1:7">
      <c r="A84" t="s">
        <v>95</v>
      </c>
      <c r="B84">
        <f>B46+B47-B83</f>
        <v>745</v>
      </c>
      <c r="D84" s="19">
        <f>B46-D83</f>
        <v>388.59152399999999</v>
      </c>
      <c r="E84" t="s">
        <v>128</v>
      </c>
      <c r="F84" s="19">
        <f>B46-F83</f>
        <v>388.59152399999999</v>
      </c>
      <c r="G84" t="s">
        <v>129</v>
      </c>
    </row>
    <row r="86" spans="1:7" s="23" customFormat="1">
      <c r="A86" s="23" t="s">
        <v>139</v>
      </c>
      <c r="B86" s="28">
        <f>B42+B84</f>
        <v>1202.3407499999998</v>
      </c>
      <c r="D86" s="28">
        <f>D42+D84</f>
        <v>1304.1680240000001</v>
      </c>
      <c r="F86" s="28">
        <f>F42+F84</f>
        <v>1211.0370240000002</v>
      </c>
    </row>
    <row r="88" spans="1:7">
      <c r="A88" s="20" t="s">
        <v>130</v>
      </c>
    </row>
    <row r="89" spans="1:7">
      <c r="A89" t="s">
        <v>131</v>
      </c>
      <c r="B89" s="27">
        <v>146635.44</v>
      </c>
      <c r="C89" t="s">
        <v>137</v>
      </c>
    </row>
    <row r="90" spans="1:7">
      <c r="A90" t="s">
        <v>132</v>
      </c>
      <c r="B90" s="27" t="s">
        <v>124</v>
      </c>
    </row>
    <row r="91" spans="1:7">
      <c r="A91" t="s">
        <v>133</v>
      </c>
      <c r="B91">
        <f>3231.96 + 4.597%*(B89-105300)</f>
        <v>5132.1501767999998</v>
      </c>
    </row>
    <row r="92" spans="1:7">
      <c r="A92" t="s">
        <v>134</v>
      </c>
      <c r="B92">
        <v>12219.62</v>
      </c>
    </row>
    <row r="93" spans="1:7">
      <c r="A93" t="s">
        <v>135</v>
      </c>
      <c r="B93" s="19">
        <f>B92/B89*100</f>
        <v>8.3333333333333339</v>
      </c>
    </row>
    <row r="94" spans="1:7">
      <c r="A94" t="s">
        <v>136</v>
      </c>
      <c r="B94">
        <f>(B93*B91)/100</f>
        <v>427.6791814</v>
      </c>
      <c r="C94" t="s">
        <v>138</v>
      </c>
    </row>
    <row r="96" spans="1:7" ht="16.8">
      <c r="A96" s="24" t="s">
        <v>108</v>
      </c>
      <c r="B96" s="24" t="s">
        <v>109</v>
      </c>
    </row>
    <row r="97" spans="1:2" ht="16.8">
      <c r="A97" s="25" t="s">
        <v>110</v>
      </c>
      <c r="B97" s="26">
        <v>4.9500000000000004E-3</v>
      </c>
    </row>
    <row r="98" spans="1:2" ht="16.8">
      <c r="A98" s="25" t="s">
        <v>111</v>
      </c>
      <c r="B98" s="25" t="s">
        <v>112</v>
      </c>
    </row>
    <row r="99" spans="1:2" ht="16.8">
      <c r="A99" s="25" t="s">
        <v>113</v>
      </c>
      <c r="B99" s="25" t="s">
        <v>114</v>
      </c>
    </row>
    <row r="100" spans="1:2" ht="16.8">
      <c r="A100" s="25" t="s">
        <v>115</v>
      </c>
      <c r="B100" s="25" t="s">
        <v>116</v>
      </c>
    </row>
    <row r="101" spans="1:2" ht="16.8">
      <c r="A101" s="25" t="s">
        <v>117</v>
      </c>
      <c r="B101" s="25" t="s">
        <v>118</v>
      </c>
    </row>
    <row r="102" spans="1:2" ht="16.8">
      <c r="A102" s="25" t="s">
        <v>119</v>
      </c>
      <c r="B102" s="25" t="s">
        <v>120</v>
      </c>
    </row>
    <row r="103" spans="1:2" ht="16.8">
      <c r="A103" s="25" t="s">
        <v>121</v>
      </c>
      <c r="B103" s="25" t="s">
        <v>122</v>
      </c>
    </row>
    <row r="104" spans="1:2" ht="16.8">
      <c r="A104" s="25" t="s">
        <v>123</v>
      </c>
      <c r="B104" s="25" t="s">
        <v>124</v>
      </c>
    </row>
    <row r="105" spans="1:2" ht="16.8">
      <c r="A105" s="25" t="s">
        <v>125</v>
      </c>
      <c r="B105" s="25"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Federal</vt:lpstr>
      <vt:lpstr>Estimate for 17 Return</vt:lpstr>
      <vt:lpstr>16 Closing</vt:lpstr>
      <vt:lpstr>17 Closing</vt:lpstr>
      <vt:lpstr>18 Closing</vt:lpstr>
      <vt:lpstr>State</vt:lpstr>
    </vt:vector>
  </TitlesOfParts>
  <Company>PNC Bank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Sultan</dc:creator>
  <cp:lastModifiedBy>Sultan, Awais</cp:lastModifiedBy>
  <dcterms:created xsi:type="dcterms:W3CDTF">2016-11-16T07:08:58Z</dcterms:created>
  <dcterms:modified xsi:type="dcterms:W3CDTF">2018-11-16T02:52:04Z</dcterms:modified>
</cp:coreProperties>
</file>