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8 Tax Return Docs\"/>
    </mc:Choice>
  </mc:AlternateContent>
  <bookViews>
    <workbookView xWindow="0" yWindow="0" windowWidth="23040" windowHeight="106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D31" i="1"/>
  <c r="C31" i="1"/>
  <c r="H46" i="1" l="1"/>
  <c r="I43" i="1"/>
  <c r="I42" i="1"/>
  <c r="I41" i="1"/>
  <c r="I40" i="1"/>
  <c r="I39" i="1"/>
  <c r="I38" i="1"/>
  <c r="I37" i="1"/>
  <c r="I36" i="1"/>
  <c r="I35" i="1"/>
  <c r="I34" i="1"/>
  <c r="I33" i="1"/>
  <c r="I31" i="1"/>
  <c r="I46" i="1" s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41" i="1"/>
  <c r="G46" i="1" l="1"/>
  <c r="F46" i="1"/>
  <c r="E46" i="1"/>
  <c r="C46" i="1"/>
  <c r="B46" i="1"/>
  <c r="G5" i="1" l="1"/>
  <c r="F28" i="1"/>
  <c r="E5" i="1"/>
  <c r="E28" i="1"/>
  <c r="C5" i="1"/>
  <c r="G35" i="1"/>
  <c r="G6" i="1"/>
  <c r="G28" i="1"/>
  <c r="F6" i="1"/>
  <c r="F24" i="1"/>
  <c r="F23" i="1"/>
  <c r="F25" i="1"/>
  <c r="E6" i="1"/>
  <c r="E25" i="1"/>
  <c r="E35" i="1"/>
  <c r="E24" i="1"/>
  <c r="E27" i="1"/>
  <c r="E3" i="1"/>
  <c r="E2" i="1"/>
  <c r="E4" i="1"/>
  <c r="E33" i="1"/>
  <c r="D2" i="1"/>
  <c r="D6" i="1"/>
  <c r="D35" i="1"/>
  <c r="D28" i="1"/>
  <c r="D27" i="1"/>
  <c r="D4" i="1"/>
  <c r="D3" i="1"/>
  <c r="C2" i="1"/>
  <c r="C28" i="1"/>
  <c r="C4" i="1"/>
  <c r="C6" i="1"/>
  <c r="C35" i="1"/>
  <c r="C27" i="1"/>
  <c r="B15" i="1"/>
  <c r="B4" i="1"/>
  <c r="B18" i="1"/>
  <c r="B2" i="1"/>
  <c r="B6" i="1"/>
  <c r="G4" i="1" l="1"/>
  <c r="G3" i="1"/>
  <c r="F4" i="1"/>
  <c r="F3" i="1"/>
  <c r="F26" i="1"/>
  <c r="D38" i="1"/>
  <c r="C3" i="1"/>
  <c r="C38" i="1"/>
  <c r="B3" i="1"/>
  <c r="G37" i="1"/>
  <c r="F34" i="1"/>
  <c r="F33" i="1"/>
  <c r="G2" i="1"/>
  <c r="G19" i="1"/>
  <c r="G29" i="1"/>
  <c r="G23" i="1"/>
  <c r="G24" i="1"/>
  <c r="F22" i="1"/>
  <c r="F2" i="1"/>
  <c r="E21" i="1"/>
  <c r="I44" i="1"/>
  <c r="D46" i="1"/>
  <c r="B47" i="1" s="1"/>
</calcChain>
</file>

<file path=xl/sharedStrings.xml><?xml version="1.0" encoding="utf-8"?>
<sst xmlns="http://schemas.openxmlformats.org/spreadsheetml/2006/main" count="55" uniqueCount="55">
  <si>
    <t>Food together.</t>
  </si>
  <si>
    <t>Bill Electric</t>
  </si>
  <si>
    <t>Bill Gas</t>
  </si>
  <si>
    <t>Bill Cable</t>
  </si>
  <si>
    <t>Gas</t>
  </si>
  <si>
    <t>Kids dayCare</t>
  </si>
  <si>
    <t>July 23rd</t>
  </si>
  <si>
    <t>Aug</t>
  </si>
  <si>
    <t>Sep</t>
  </si>
  <si>
    <t>Oct</t>
  </si>
  <si>
    <t>Nov</t>
  </si>
  <si>
    <t>Dec</t>
  </si>
  <si>
    <t>Grocery?</t>
  </si>
  <si>
    <t>Hairs/Makeup (Self Grooming)</t>
  </si>
  <si>
    <t>Holiday Presents for Office staff</t>
  </si>
  <si>
    <t>Ticket to Work</t>
  </si>
  <si>
    <t>Uber to Work</t>
  </si>
  <si>
    <t>Awais Food a Work</t>
  </si>
  <si>
    <t>Awais Travelling To Chicago Office</t>
  </si>
  <si>
    <t>Awais Travelling to Minnisota Office</t>
  </si>
  <si>
    <t>Car Maintenance</t>
  </si>
  <si>
    <t>Babysitter</t>
  </si>
  <si>
    <t>Donation</t>
  </si>
  <si>
    <t>Awais Ticket</t>
  </si>
  <si>
    <t>Dry Cleaner</t>
  </si>
  <si>
    <t>Parking together</t>
  </si>
  <si>
    <t>Parking Work</t>
  </si>
  <si>
    <t>Loan Payment (Mohela)</t>
  </si>
  <si>
    <t>ID protection</t>
  </si>
  <si>
    <t>Bill HomSecurity</t>
  </si>
  <si>
    <t>Bill Car Insurance</t>
  </si>
  <si>
    <t>Bill Home Insurance</t>
  </si>
  <si>
    <t>Medical?</t>
  </si>
  <si>
    <t>Gas together</t>
  </si>
  <si>
    <t xml:space="preserve">Cell Phone </t>
  </si>
  <si>
    <t>Cell Phone Family</t>
  </si>
  <si>
    <t>Skype phone</t>
  </si>
  <si>
    <t>Tolls together</t>
  </si>
  <si>
    <t>DEA Registeration</t>
  </si>
  <si>
    <t>Licensing</t>
  </si>
  <si>
    <t>Home Warranty</t>
  </si>
  <si>
    <t>Babysitter lookup website.</t>
  </si>
  <si>
    <t>Car Registeration/Stickers</t>
  </si>
  <si>
    <t>Qatar Airways For Mom to help out with kids</t>
  </si>
  <si>
    <t>Uber Family</t>
  </si>
  <si>
    <t>Bill Water</t>
  </si>
  <si>
    <t>Clothes office</t>
  </si>
  <si>
    <t>Food at work.</t>
  </si>
  <si>
    <t>Total=</t>
  </si>
  <si>
    <t xml:space="preserve">Total All = </t>
  </si>
  <si>
    <t>Before Job Start Expenses</t>
  </si>
  <si>
    <t>Extra Education, Test\ Exams for degree expenses?</t>
  </si>
  <si>
    <t>Category Total</t>
  </si>
  <si>
    <t>200 Donation?</t>
  </si>
  <si>
    <t>This will go to child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</si>
</sst>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activeCell="Q31" sqref="Q31"/>
    </sheetView>
  </sheetViews>
  <sheetFormatPr defaultRowHeight="14.4" x14ac:dyDescent="0.3"/>
  <cols>
    <col min="1" max="1" width="30.77734375" bestFit="1" customWidth="1"/>
    <col min="8" max="8" width="22.33203125" bestFit="1" customWidth="1"/>
    <col min="9" max="9" width="13.109375" bestFit="1" customWidth="1"/>
    <col min="16" max="16" width="12.88671875" bestFit="1" customWidth="1"/>
  </cols>
  <sheetData>
    <row r="1" spans="1:9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50</v>
      </c>
      <c r="I1" t="s">
        <v>52</v>
      </c>
    </row>
    <row r="2" spans="1:9" x14ac:dyDescent="0.3">
      <c r="A2" t="s">
        <v>47</v>
      </c>
      <c r="B2">
        <f>SUM(6.63,9.38,9.27)</f>
        <v>25.28</v>
      </c>
      <c r="C2">
        <f>SUM(16.13,6.06,1.11,5.8,9.23,13.87,9.64,5.8,5.5,5.8,5.8,5.8)</f>
        <v>90.539999999999992</v>
      </c>
      <c r="D2">
        <f>SUM(4.73,21.76,7.39,5.8,7.39,5.8,10.24,12.38,7.39,14.65)</f>
        <v>97.53</v>
      </c>
      <c r="E2">
        <f>SUM(20.5,7.39,7.39,9.83,18.92,7.07)</f>
        <v>71.099999999999994</v>
      </c>
      <c r="F2">
        <f>SUM(8.39,14.3,4.29)</f>
        <v>26.98</v>
      </c>
      <c r="G2">
        <f>SUM(20.46,6.9,2)</f>
        <v>29.36</v>
      </c>
      <c r="I2">
        <f t="shared" ref="I2:I31" si="0">SUM(B2:H2)</f>
        <v>340.79</v>
      </c>
    </row>
    <row r="3" spans="1:9" x14ac:dyDescent="0.3">
      <c r="A3" t="s">
        <v>4</v>
      </c>
      <c r="B3">
        <f>SUM(36.47)</f>
        <v>36.47</v>
      </c>
      <c r="C3">
        <f>SUM(44.1,45.65)</f>
        <v>89.75</v>
      </c>
      <c r="D3">
        <f>SUM(41.95,43.58)</f>
        <v>85.53</v>
      </c>
      <c r="E3">
        <f>SUM(43.62,40.38,44)</f>
        <v>128</v>
      </c>
      <c r="F3">
        <f>SUM(37.93,34.8)</f>
        <v>72.72999999999999</v>
      </c>
      <c r="G3">
        <f>SUM(34.93)</f>
        <v>34.93</v>
      </c>
      <c r="I3">
        <f t="shared" si="0"/>
        <v>447.41</v>
      </c>
    </row>
    <row r="4" spans="1:9" x14ac:dyDescent="0.3">
      <c r="A4" t="s">
        <v>33</v>
      </c>
      <c r="B4">
        <f>SUM(16.57,34.29)</f>
        <v>50.86</v>
      </c>
      <c r="C4">
        <f>SUM(13.14,8,34.26,5.61,9.75,2,4.22,11.83)</f>
        <v>88.809999999999988</v>
      </c>
      <c r="D4">
        <f>SUM(32.37,16.73)</f>
        <v>49.099999999999994</v>
      </c>
      <c r="E4">
        <f>SUM(48.81,7.7,10.68,51.16,38.95,11.19)</f>
        <v>168.49</v>
      </c>
      <c r="F4">
        <f>SUM(30.23,11.26,21.57,12.74,31.57,24.12,13.96)</f>
        <v>145.45000000000002</v>
      </c>
      <c r="G4">
        <f>SUM(36.58)</f>
        <v>36.58</v>
      </c>
      <c r="I4">
        <f t="shared" si="0"/>
        <v>539.29000000000008</v>
      </c>
    </row>
    <row r="5" spans="1:9" x14ac:dyDescent="0.3">
      <c r="A5" t="s">
        <v>46</v>
      </c>
      <c r="C5" s="2">
        <f>SUM(150)</f>
        <v>150</v>
      </c>
      <c r="D5" s="2">
        <v>100</v>
      </c>
      <c r="E5" s="2">
        <f>SUM(90.33,100)</f>
        <v>190.32999999999998</v>
      </c>
      <c r="F5" s="2"/>
      <c r="G5" s="2">
        <f>SUM(200,100,100)</f>
        <v>400</v>
      </c>
      <c r="I5">
        <f t="shared" si="0"/>
        <v>840.32999999999993</v>
      </c>
    </row>
    <row r="6" spans="1:9" x14ac:dyDescent="0.3">
      <c r="A6" t="s">
        <v>0</v>
      </c>
      <c r="B6">
        <f>SUM(25.92)</f>
        <v>25.92</v>
      </c>
      <c r="C6">
        <f>SUM(19.53,70.47,9.95,22.29,14.31,2,9.92,14.04,7.48,14.21,29.27,8.87,4.6,8.59,8.59,1.69)</f>
        <v>245.81</v>
      </c>
      <c r="D6">
        <f>SUM(33.38,57.33,10,8.59,8.87,8.87,2.14,14.95,4.22,30.28,34.65,5.58,8.79,10.83,8.81,27.02)</f>
        <v>274.31</v>
      </c>
      <c r="E6">
        <f>SUM(2.29,48.61,4.22,24.82,55.04,20.52,8.59,4.88,9.62,4.95,22.42,76.57,4.59,17.77,62.86,2.1,1.1,1.1,1.1,1.1)</f>
        <v>374.25000000000006</v>
      </c>
      <c r="F6">
        <f>SUM(34.31,3.55,37.59,5,11.55,1.78,13.92,5.98,9.35)</f>
        <v>123.03</v>
      </c>
      <c r="G6">
        <f>SUM(30.59,40.57,7.39,7.24,35.07,2,2.22,13.8,2,1.25,1.25,2,19.36,7.56,11.73,48.9,12,32.06)</f>
        <v>276.99</v>
      </c>
      <c r="I6">
        <f t="shared" si="0"/>
        <v>1320.31</v>
      </c>
    </row>
    <row r="7" spans="1:9" x14ac:dyDescent="0.3">
      <c r="A7" t="s">
        <v>1</v>
      </c>
      <c r="B7">
        <v>70.650000000000006</v>
      </c>
      <c r="C7">
        <v>141.26</v>
      </c>
      <c r="D7">
        <v>180.38</v>
      </c>
      <c r="E7">
        <v>179.64</v>
      </c>
      <c r="F7">
        <v>118.64</v>
      </c>
      <c r="G7">
        <v>114.35</v>
      </c>
      <c r="I7">
        <f t="shared" si="0"/>
        <v>804.92</v>
      </c>
    </row>
    <row r="8" spans="1:9" x14ac:dyDescent="0.3">
      <c r="A8" t="s">
        <v>2</v>
      </c>
      <c r="B8">
        <v>67.209999999999994</v>
      </c>
      <c r="C8">
        <v>49.84</v>
      </c>
      <c r="D8">
        <v>61.81</v>
      </c>
      <c r="E8">
        <v>64.52</v>
      </c>
      <c r="F8">
        <v>67.3</v>
      </c>
      <c r="G8">
        <v>119.38</v>
      </c>
      <c r="I8">
        <f t="shared" si="0"/>
        <v>430.06</v>
      </c>
    </row>
    <row r="9" spans="1:9" x14ac:dyDescent="0.3">
      <c r="A9" t="s">
        <v>45</v>
      </c>
      <c r="B9">
        <v>118.98</v>
      </c>
      <c r="D9">
        <v>101.48</v>
      </c>
      <c r="F9">
        <v>147.34</v>
      </c>
      <c r="I9">
        <f t="shared" si="0"/>
        <v>367.8</v>
      </c>
    </row>
    <row r="10" spans="1:9" x14ac:dyDescent="0.3">
      <c r="A10" t="s">
        <v>3</v>
      </c>
      <c r="B10">
        <v>158.66</v>
      </c>
      <c r="C10">
        <v>158.66</v>
      </c>
      <c r="D10">
        <v>158.66</v>
      </c>
      <c r="E10">
        <v>158.66</v>
      </c>
      <c r="F10">
        <v>165.41</v>
      </c>
      <c r="G10">
        <v>168.62</v>
      </c>
      <c r="I10">
        <f t="shared" si="0"/>
        <v>968.67</v>
      </c>
    </row>
    <row r="11" spans="1:9" x14ac:dyDescent="0.3">
      <c r="A11" t="s">
        <v>29</v>
      </c>
      <c r="I11">
        <f t="shared" si="0"/>
        <v>0</v>
      </c>
    </row>
    <row r="12" spans="1:9" x14ac:dyDescent="0.3">
      <c r="A12" t="s">
        <v>30</v>
      </c>
      <c r="E12">
        <v>574</v>
      </c>
      <c r="I12">
        <f t="shared" si="0"/>
        <v>574</v>
      </c>
    </row>
    <row r="13" spans="1:9" x14ac:dyDescent="0.3">
      <c r="A13" t="s">
        <v>31</v>
      </c>
      <c r="I13">
        <f t="shared" si="0"/>
        <v>0</v>
      </c>
    </row>
    <row r="14" spans="1:9" x14ac:dyDescent="0.3">
      <c r="A14" t="s">
        <v>40</v>
      </c>
      <c r="B14">
        <v>50.99</v>
      </c>
      <c r="C14">
        <v>50.99</v>
      </c>
      <c r="D14">
        <v>50.99</v>
      </c>
      <c r="E14">
        <v>50.99</v>
      </c>
      <c r="F14">
        <v>50.99</v>
      </c>
      <c r="G14">
        <v>50.99</v>
      </c>
      <c r="I14">
        <f t="shared" si="0"/>
        <v>305.94</v>
      </c>
    </row>
    <row r="15" spans="1:9" x14ac:dyDescent="0.3">
      <c r="A15" t="s">
        <v>37</v>
      </c>
      <c r="B15">
        <f>SUM(7.9)</f>
        <v>7.9</v>
      </c>
      <c r="I15">
        <f t="shared" si="0"/>
        <v>7.9</v>
      </c>
    </row>
    <row r="16" spans="1:9" x14ac:dyDescent="0.3">
      <c r="A16" t="s">
        <v>34</v>
      </c>
      <c r="B16">
        <v>78.03</v>
      </c>
      <c r="C16">
        <v>90.1</v>
      </c>
      <c r="D16">
        <v>78.02</v>
      </c>
      <c r="E16">
        <v>78.02</v>
      </c>
      <c r="F16">
        <v>80.11</v>
      </c>
      <c r="G16">
        <v>80.11</v>
      </c>
      <c r="I16">
        <f t="shared" si="0"/>
        <v>484.39</v>
      </c>
    </row>
    <row r="17" spans="1:17" x14ac:dyDescent="0.3">
      <c r="A17" t="s">
        <v>35</v>
      </c>
      <c r="B17">
        <v>60</v>
      </c>
      <c r="C17">
        <v>55</v>
      </c>
      <c r="D17">
        <v>55</v>
      </c>
      <c r="E17">
        <v>55</v>
      </c>
      <c r="F17">
        <v>55</v>
      </c>
      <c r="G17">
        <v>55</v>
      </c>
      <c r="I17">
        <f t="shared" si="0"/>
        <v>335</v>
      </c>
    </row>
    <row r="18" spans="1:17" x14ac:dyDescent="0.3">
      <c r="A18" t="s">
        <v>36</v>
      </c>
      <c r="B18">
        <f>SUM(5)</f>
        <v>5</v>
      </c>
      <c r="I18">
        <f t="shared" si="0"/>
        <v>5</v>
      </c>
    </row>
    <row r="19" spans="1:17" x14ac:dyDescent="0.3">
      <c r="A19" t="s">
        <v>5</v>
      </c>
      <c r="G19">
        <f>SUM(137,137)</f>
        <v>274</v>
      </c>
      <c r="I19">
        <f t="shared" si="0"/>
        <v>274</v>
      </c>
    </row>
    <row r="20" spans="1:17" x14ac:dyDescent="0.3">
      <c r="A20" s="4" t="s">
        <v>12</v>
      </c>
      <c r="I20">
        <f t="shared" si="0"/>
        <v>0</v>
      </c>
    </row>
    <row r="21" spans="1:17" x14ac:dyDescent="0.3">
      <c r="A21" t="s">
        <v>13</v>
      </c>
      <c r="E21">
        <f>SUM(231)</f>
        <v>231</v>
      </c>
      <c r="H21">
        <v>235</v>
      </c>
      <c r="I21">
        <f t="shared" si="0"/>
        <v>466</v>
      </c>
    </row>
    <row r="22" spans="1:17" x14ac:dyDescent="0.3">
      <c r="A22" t="s">
        <v>14</v>
      </c>
      <c r="F22">
        <f>SUM(59.54,21.5)</f>
        <v>81.039999999999992</v>
      </c>
      <c r="I22">
        <f t="shared" si="0"/>
        <v>81.039999999999992</v>
      </c>
    </row>
    <row r="23" spans="1:17" x14ac:dyDescent="0.3">
      <c r="A23" t="s">
        <v>15</v>
      </c>
      <c r="F23">
        <f>SUM(100,36)</f>
        <v>136</v>
      </c>
      <c r="G23">
        <f>SUM(35)</f>
        <v>35</v>
      </c>
      <c r="I23">
        <f t="shared" si="0"/>
        <v>171</v>
      </c>
    </row>
    <row r="24" spans="1:17" x14ac:dyDescent="0.3">
      <c r="A24" t="s">
        <v>16</v>
      </c>
      <c r="E24">
        <f>SUM(6.63,4.99,2.5)</f>
        <v>14.120000000000001</v>
      </c>
      <c r="F24">
        <f>SUM(5.76,6.4,3.82,6.09,4.84,3.33,6.59,6.95)</f>
        <v>43.78</v>
      </c>
      <c r="G24">
        <f>SUM(6.46,6.12)</f>
        <v>12.58</v>
      </c>
      <c r="I24">
        <f t="shared" si="0"/>
        <v>70.48</v>
      </c>
    </row>
    <row r="25" spans="1:17" x14ac:dyDescent="0.3">
      <c r="A25" t="s">
        <v>44</v>
      </c>
      <c r="E25">
        <f>SUM(30.14)</f>
        <v>30.14</v>
      </c>
      <c r="F25">
        <f>SUM(31.58,30.87)</f>
        <v>62.45</v>
      </c>
      <c r="I25">
        <f t="shared" si="0"/>
        <v>92.59</v>
      </c>
    </row>
    <row r="26" spans="1:17" x14ac:dyDescent="0.3">
      <c r="A26" t="s">
        <v>17</v>
      </c>
      <c r="F26">
        <f>SUM(8.87,8.87,9.62)</f>
        <v>27.36</v>
      </c>
      <c r="I26">
        <f t="shared" si="0"/>
        <v>27.36</v>
      </c>
    </row>
    <row r="27" spans="1:17" x14ac:dyDescent="0.3">
      <c r="A27" t="s">
        <v>18</v>
      </c>
      <c r="C27">
        <f>SUM(20,20)</f>
        <v>40</v>
      </c>
      <c r="D27">
        <f>SUM(3,3,20,20)</f>
        <v>46</v>
      </c>
      <c r="E27">
        <f>SUM(20,25)</f>
        <v>45</v>
      </c>
      <c r="I27">
        <f t="shared" si="0"/>
        <v>131</v>
      </c>
    </row>
    <row r="28" spans="1:17" x14ac:dyDescent="0.3">
      <c r="A28" t="s">
        <v>19</v>
      </c>
      <c r="C28">
        <f>SUM(235.72,27.65,83.48,38.5,3.49)</f>
        <v>388.84000000000003</v>
      </c>
      <c r="D28">
        <f>SUM(111.98,8.5,37.49,3.35,17.05,10)</f>
        <v>188.37</v>
      </c>
      <c r="E28">
        <f>SUM(195.44,-60.74,110.83,3.56,47.49,37.49,3.53,22.91,16.9,100.25)</f>
        <v>477.65999999999997</v>
      </c>
      <c r="F28">
        <f>SUM(150,91.71,-11,115.9,22.54,21.48,47.49,16.49,15,26.5)</f>
        <v>496.11000000000007</v>
      </c>
      <c r="G28">
        <f>SUM(17.51,11.73)</f>
        <v>29.240000000000002</v>
      </c>
      <c r="I28">
        <f t="shared" si="0"/>
        <v>1580.22</v>
      </c>
    </row>
    <row r="29" spans="1:17" x14ac:dyDescent="0.3">
      <c r="A29" t="s">
        <v>20</v>
      </c>
      <c r="E29">
        <v>74.22</v>
      </c>
      <c r="G29">
        <f>SUM(170.53)</f>
        <v>170.53</v>
      </c>
      <c r="I29">
        <f t="shared" si="0"/>
        <v>244.75</v>
      </c>
    </row>
    <row r="30" spans="1:17" x14ac:dyDescent="0.3">
      <c r="A30" t="s">
        <v>42</v>
      </c>
      <c r="D30">
        <v>87.82</v>
      </c>
      <c r="I30">
        <f t="shared" si="0"/>
        <v>87.82</v>
      </c>
    </row>
    <row r="31" spans="1:17" x14ac:dyDescent="0.3">
      <c r="A31" t="s">
        <v>21</v>
      </c>
      <c r="B31">
        <v>312</v>
      </c>
      <c r="C31">
        <f>SUM(520,550,340,370,390)</f>
        <v>2170</v>
      </c>
      <c r="D31">
        <f>SUM(100,295,200,200)</f>
        <v>795</v>
      </c>
      <c r="E31">
        <f>SUM(300)</f>
        <v>300</v>
      </c>
      <c r="I31">
        <f t="shared" si="0"/>
        <v>3577</v>
      </c>
      <c r="K31">
        <v>425</v>
      </c>
      <c r="L31">
        <v>2320</v>
      </c>
      <c r="M31">
        <v>835</v>
      </c>
      <c r="N31">
        <v>810</v>
      </c>
      <c r="P31" s="4" t="s">
        <v>53</v>
      </c>
      <c r="Q31" s="5" t="s">
        <v>54</v>
      </c>
    </row>
    <row r="32" spans="1:17" x14ac:dyDescent="0.3">
      <c r="A32" t="s">
        <v>22</v>
      </c>
    </row>
    <row r="33" spans="1:9" x14ac:dyDescent="0.3">
      <c r="A33" t="s">
        <v>23</v>
      </c>
      <c r="E33">
        <f>SUM(100)</f>
        <v>100</v>
      </c>
      <c r="F33">
        <f>SUM(200.5,5.51)</f>
        <v>206.01</v>
      </c>
      <c r="I33">
        <f t="shared" ref="I33:I44" si="1">SUM(B33:H33)</f>
        <v>306.01</v>
      </c>
    </row>
    <row r="34" spans="1:9" x14ac:dyDescent="0.3">
      <c r="A34" t="s">
        <v>24</v>
      </c>
      <c r="B34">
        <v>38.5</v>
      </c>
      <c r="C34">
        <v>15</v>
      </c>
      <c r="F34">
        <f>SUM(46)</f>
        <v>46</v>
      </c>
      <c r="I34">
        <f t="shared" si="1"/>
        <v>99.5</v>
      </c>
    </row>
    <row r="35" spans="1:9" x14ac:dyDescent="0.3">
      <c r="A35" t="s">
        <v>25</v>
      </c>
      <c r="C35">
        <f>SUM(12,1.2,26,1,11,1,2)</f>
        <v>54.2</v>
      </c>
      <c r="D35">
        <f>SUM(3,3)</f>
        <v>6</v>
      </c>
      <c r="E35">
        <f>SUM(8,5,12,3,0.6,14,10)</f>
        <v>52.6</v>
      </c>
      <c r="G35">
        <f>SUM(12,11,24,11,24,24,3,1.16)</f>
        <v>110.16</v>
      </c>
      <c r="I35">
        <f t="shared" si="1"/>
        <v>222.96</v>
      </c>
    </row>
    <row r="36" spans="1:9" x14ac:dyDescent="0.3">
      <c r="A36" t="s">
        <v>26</v>
      </c>
      <c r="I36">
        <f t="shared" si="1"/>
        <v>0</v>
      </c>
    </row>
    <row r="37" spans="1:9" x14ac:dyDescent="0.3">
      <c r="A37" t="s">
        <v>27</v>
      </c>
      <c r="G37">
        <f>SUM(2500)</f>
        <v>2500</v>
      </c>
      <c r="I37">
        <f t="shared" si="1"/>
        <v>2500</v>
      </c>
    </row>
    <row r="38" spans="1:9" x14ac:dyDescent="0.3">
      <c r="A38" t="s">
        <v>28</v>
      </c>
      <c r="C38">
        <f>SUM(8.99)</f>
        <v>8.99</v>
      </c>
      <c r="D38">
        <f>SUM(8.99)</f>
        <v>8.99</v>
      </c>
      <c r="E38">
        <v>8.99</v>
      </c>
      <c r="F38">
        <v>8.99</v>
      </c>
      <c r="G38">
        <v>8.99</v>
      </c>
      <c r="I38">
        <f t="shared" si="1"/>
        <v>44.95</v>
      </c>
    </row>
    <row r="39" spans="1:9" x14ac:dyDescent="0.3">
      <c r="A39" s="4" t="s">
        <v>32</v>
      </c>
      <c r="I39">
        <f t="shared" si="1"/>
        <v>0</v>
      </c>
    </row>
    <row r="40" spans="1:9" x14ac:dyDescent="0.3">
      <c r="A40" t="s">
        <v>38</v>
      </c>
      <c r="C40">
        <v>731</v>
      </c>
      <c r="I40">
        <f t="shared" si="1"/>
        <v>731</v>
      </c>
    </row>
    <row r="41" spans="1:9" x14ac:dyDescent="0.3">
      <c r="A41" t="s">
        <v>39</v>
      </c>
      <c r="H41">
        <f>SUM(5,1,250,5.88)</f>
        <v>261.88</v>
      </c>
      <c r="I41">
        <f t="shared" si="1"/>
        <v>261.88</v>
      </c>
    </row>
    <row r="42" spans="1:9" x14ac:dyDescent="0.3">
      <c r="A42" t="s">
        <v>41</v>
      </c>
      <c r="D42">
        <v>78</v>
      </c>
      <c r="E42">
        <v>-78</v>
      </c>
      <c r="H42">
        <v>62.4</v>
      </c>
      <c r="I42">
        <f t="shared" si="1"/>
        <v>62.4</v>
      </c>
    </row>
    <row r="43" spans="1:9" ht="28.8" x14ac:dyDescent="0.3">
      <c r="A43" s="3" t="s">
        <v>51</v>
      </c>
      <c r="I43">
        <f t="shared" si="1"/>
        <v>0</v>
      </c>
    </row>
    <row r="44" spans="1:9" ht="28.8" x14ac:dyDescent="0.3">
      <c r="A44" s="1" t="s">
        <v>43</v>
      </c>
      <c r="D44">
        <v>1191.1099999999999</v>
      </c>
      <c r="I44">
        <f t="shared" si="1"/>
        <v>1191.1099999999999</v>
      </c>
    </row>
    <row r="46" spans="1:9" x14ac:dyDescent="0.3">
      <c r="A46" t="s">
        <v>48</v>
      </c>
      <c r="B46">
        <f t="shared" ref="B46:I46" si="2">SUM(B2:B44)</f>
        <v>1106.4499999999998</v>
      </c>
      <c r="C46">
        <f t="shared" si="2"/>
        <v>4618.7899999999991</v>
      </c>
      <c r="D46">
        <f t="shared" si="2"/>
        <v>3694.0999999999995</v>
      </c>
      <c r="E46">
        <f t="shared" si="2"/>
        <v>3348.7299999999991</v>
      </c>
      <c r="F46">
        <f t="shared" si="2"/>
        <v>2160.7199999999998</v>
      </c>
      <c r="G46">
        <f t="shared" si="2"/>
        <v>4506.8099999999995</v>
      </c>
      <c r="H46">
        <f t="shared" si="2"/>
        <v>559.28</v>
      </c>
      <c r="I46">
        <f t="shared" si="2"/>
        <v>19994.880000000005</v>
      </c>
    </row>
    <row r="47" spans="1:9" x14ac:dyDescent="0.3">
      <c r="A47" t="s">
        <v>49</v>
      </c>
      <c r="B47">
        <f>SUM(B46:H46)</f>
        <v>19994.879999999997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2019-02-03T03:54:12Z</dcterms:created>
  <dcterms:modified xsi:type="dcterms:W3CDTF">2019-02-09T03:10:50Z</dcterms:modified>
</cp:coreProperties>
</file>