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AXSULT1\Documents\AXSULT1-Workspace\Personal-Documents\CarryForward\Budget\"/>
    </mc:Choice>
  </mc:AlternateContent>
  <xr:revisionPtr revIDLastSave="0" documentId="13_ncr:1_{DB2EC401-6A09-4371-9CA4-E9C333BD59C6}" xr6:coauthVersionLast="36" xr6:coauthVersionMax="36" xr10:uidLastSave="{00000000-0000-0000-0000-000000000000}"/>
  <bookViews>
    <workbookView xWindow="0" yWindow="460" windowWidth="19200" windowHeight="6470" firstSheet="18" activeTab="20" xr2:uid="{00000000-000D-0000-FFFF-FFFF00000000}"/>
  </bookViews>
  <sheets>
    <sheet name="January-13" sheetId="1" r:id="rId1"/>
    <sheet name="Februray-13" sheetId="2" r:id="rId2"/>
    <sheet name="March - 13" sheetId="3" r:id="rId3"/>
    <sheet name="Apr - 13" sheetId="4" r:id="rId4"/>
    <sheet name="Aug - 13" sheetId="5" r:id="rId5"/>
    <sheet name="Sep - 13" sheetId="6" r:id="rId6"/>
    <sheet name="Nov - 13" sheetId="7" r:id="rId7"/>
    <sheet name="Dec - 13" sheetId="8" r:id="rId8"/>
    <sheet name="Jul - 14" sheetId="9" r:id="rId9"/>
    <sheet name="Nov - 14" sheetId="10" r:id="rId10"/>
    <sheet name="May - 15" sheetId="11" r:id="rId11"/>
    <sheet name="July - 15" sheetId="12" r:id="rId12"/>
    <sheet name="Nov-16" sheetId="13" r:id="rId13"/>
    <sheet name="Aug-17" sheetId="14" r:id="rId14"/>
    <sheet name="Sep-17" sheetId="15" r:id="rId15"/>
    <sheet name="Feb-18" sheetId="17" r:id="rId16"/>
    <sheet name="Jan-19" sheetId="18" r:id="rId17"/>
    <sheet name="May-19" sheetId="19" r:id="rId18"/>
    <sheet name="Monthly Budget b4 19" sheetId="16" r:id="rId19"/>
    <sheet name="Monthly Budget 19" sheetId="20" r:id="rId20"/>
    <sheet name="Monthly Budget 19 mid" sheetId="21" r:id="rId21"/>
    <sheet name="Monthly Budget Jan 20" sheetId="22" r:id="rId22"/>
  </sheets>
  <definedNames>
    <definedName name="_xlnm._FilterDatabase" localSheetId="17" hidden="1">'May-19'!$A$3:$C$5</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92" i="22" l="1"/>
  <c r="B78" i="22"/>
  <c r="B76" i="22"/>
  <c r="B75" i="22"/>
  <c r="B84" i="22"/>
  <c r="B59" i="22"/>
  <c r="B62" i="22"/>
  <c r="B66" i="22"/>
  <c r="B67" i="22"/>
  <c r="B68" i="22"/>
  <c r="B69" i="22"/>
  <c r="F19" i="22"/>
  <c r="B102" i="22"/>
  <c r="B94" i="22"/>
  <c r="B74" i="22"/>
  <c r="B87" i="22"/>
  <c r="B96" i="22"/>
  <c r="B104" i="22"/>
  <c r="B107" i="22"/>
  <c r="B77" i="22"/>
  <c r="D49" i="22"/>
  <c r="D9" i="22"/>
  <c r="D11" i="22"/>
  <c r="D22" i="22"/>
  <c r="D43" i="22"/>
  <c r="D46" i="22"/>
  <c r="D51" i="22"/>
  <c r="F46" i="22"/>
  <c r="F48" i="22"/>
  <c r="F51" i="22"/>
  <c r="G46" i="22"/>
  <c r="G48" i="22"/>
  <c r="G51" i="22"/>
  <c r="B49" i="22"/>
  <c r="B46" i="22"/>
  <c r="B51" i="22"/>
  <c r="C43" i="22"/>
  <c r="C22" i="22"/>
  <c r="C11" i="22"/>
  <c r="C9" i="22"/>
  <c r="B99" i="21"/>
  <c r="B96" i="21"/>
  <c r="B88" i="21"/>
  <c r="B86" i="21"/>
  <c r="B94" i="21"/>
  <c r="B92" i="21"/>
  <c r="B91" i="21"/>
  <c r="B79" i="21"/>
  <c r="B72" i="21"/>
  <c r="B77" i="21"/>
  <c r="B74" i="21"/>
  <c r="B75" i="21"/>
  <c r="B76" i="21"/>
  <c r="G45" i="21"/>
  <c r="G47" i="21"/>
  <c r="D42" i="21"/>
  <c r="D21" i="21"/>
  <c r="D8" i="21"/>
  <c r="D10" i="21"/>
  <c r="D45" i="21"/>
  <c r="D48" i="21"/>
  <c r="D50" i="21"/>
  <c r="F45" i="21"/>
  <c r="F47" i="21" s="1"/>
  <c r="F50" i="21" s="1"/>
  <c r="G50" i="21" s="1"/>
  <c r="B61" i="21"/>
  <c r="B65" i="21"/>
  <c r="B48" i="21"/>
  <c r="B45" i="21"/>
  <c r="B50" i="21"/>
  <c r="C42" i="21"/>
  <c r="C21" i="21"/>
  <c r="C10" i="21"/>
  <c r="C8" i="21"/>
  <c r="B15" i="19"/>
  <c r="B29" i="19"/>
  <c r="B31" i="19"/>
  <c r="B35" i="19"/>
  <c r="B41" i="19"/>
  <c r="B42" i="19"/>
  <c r="B23" i="19"/>
  <c r="B24" i="19"/>
  <c r="B25" i="19"/>
  <c r="B27" i="19"/>
  <c r="B57" i="20"/>
  <c r="B61" i="20"/>
  <c r="B44" i="20"/>
  <c r="B41" i="20"/>
  <c r="B46" i="20"/>
  <c r="C10" i="20"/>
  <c r="C39" i="20"/>
  <c r="C19" i="20"/>
  <c r="C8" i="20"/>
  <c r="B374" i="18"/>
  <c r="B381" i="18"/>
  <c r="B387" i="18"/>
  <c r="B400" i="18"/>
  <c r="C410" i="18"/>
  <c r="B412" i="18"/>
  <c r="B358" i="18"/>
  <c r="B322" i="18"/>
  <c r="B328" i="18"/>
  <c r="B336" i="18"/>
  <c r="B338" i="18"/>
  <c r="B295" i="18"/>
  <c r="B300" i="18"/>
  <c r="B306" i="18"/>
  <c r="B314" i="18"/>
  <c r="B316" i="18"/>
  <c r="B377" i="18"/>
  <c r="B380" i="18"/>
  <c r="B386" i="18"/>
  <c r="B397" i="18"/>
  <c r="B356" i="18"/>
  <c r="B376" i="18"/>
  <c r="B379" i="18"/>
  <c r="B385" i="18"/>
  <c r="B393" i="18"/>
  <c r="B392" i="18"/>
  <c r="B388" i="18"/>
  <c r="B402" i="18"/>
  <c r="B399" i="18"/>
  <c r="B398" i="18"/>
  <c r="B394" i="18"/>
  <c r="B396" i="18"/>
  <c r="B395" i="18"/>
  <c r="B389" i="18"/>
  <c r="B391" i="18"/>
  <c r="B390" i="18"/>
  <c r="B347" i="18"/>
  <c r="B348" i="18"/>
  <c r="B361" i="18"/>
  <c r="B360" i="18"/>
  <c r="B359" i="18"/>
  <c r="B255" i="18"/>
  <c r="B242" i="18"/>
  <c r="B221" i="18"/>
  <c r="B226" i="18"/>
  <c r="B233" i="18"/>
  <c r="B235" i="18"/>
  <c r="B184" i="18"/>
  <c r="B192" i="18"/>
  <c r="B204" i="18"/>
  <c r="B212" i="18"/>
  <c r="B214" i="18"/>
  <c r="B257" i="18"/>
  <c r="B259" i="18"/>
  <c r="B270" i="18"/>
  <c r="B244" i="18"/>
  <c r="B258" i="18"/>
  <c r="B260" i="18"/>
  <c r="B265" i="18"/>
  <c r="B269" i="18"/>
  <c r="B264" i="18"/>
  <c r="B268" i="18"/>
  <c r="B267" i="18"/>
  <c r="B266" i="18"/>
  <c r="B185" i="18"/>
  <c r="B372" i="17"/>
  <c r="B357" i="17"/>
  <c r="B321" i="17"/>
  <c r="B327" i="17"/>
  <c r="B335" i="17"/>
  <c r="B337" i="17"/>
  <c r="B294" i="17"/>
  <c r="B299" i="17"/>
  <c r="B305" i="17"/>
  <c r="B313" i="17"/>
  <c r="B315" i="17"/>
  <c r="B375" i="17"/>
  <c r="B377" i="17"/>
  <c r="B382" i="17"/>
  <c r="B392" i="17"/>
  <c r="B355" i="17"/>
  <c r="B374" i="17"/>
  <c r="B376" i="17"/>
  <c r="B381" i="17"/>
  <c r="B388" i="17"/>
  <c r="B387" i="17"/>
  <c r="B383" i="17"/>
  <c r="B346" i="17"/>
  <c r="B347" i="17"/>
  <c r="B360" i="17"/>
  <c r="B358" i="17"/>
  <c r="B254" i="17"/>
  <c r="B243" i="17"/>
  <c r="B241" i="17"/>
  <c r="B232" i="17"/>
  <c r="B225" i="17"/>
  <c r="B220" i="17"/>
  <c r="B211" i="17"/>
  <c r="B203" i="17"/>
  <c r="B191" i="17"/>
  <c r="B184" i="17"/>
  <c r="B183" i="17"/>
  <c r="B363" i="15"/>
  <c r="B289" i="15"/>
  <c r="B348" i="15"/>
  <c r="B37" i="16"/>
  <c r="B44" i="16"/>
  <c r="C47" i="16"/>
  <c r="B49" i="16"/>
  <c r="C57" i="16"/>
  <c r="C67" i="16"/>
  <c r="B73" i="16"/>
  <c r="C35" i="16"/>
  <c r="C26" i="16"/>
  <c r="B41" i="16"/>
  <c r="C19" i="16"/>
  <c r="C8" i="16"/>
  <c r="C10" i="16"/>
  <c r="B325" i="15"/>
  <c r="B328" i="15"/>
  <c r="B315" i="15"/>
  <c r="B320" i="15"/>
  <c r="B330" i="15"/>
  <c r="B294" i="15"/>
  <c r="B300" i="15"/>
  <c r="B307" i="15"/>
  <c r="B309" i="15"/>
  <c r="B350" i="15"/>
  <c r="B340" i="15"/>
  <c r="B352" i="15"/>
  <c r="B339" i="15"/>
  <c r="B351" i="15"/>
  <c r="B250" i="15"/>
  <c r="B237" i="15"/>
  <c r="B216" i="15"/>
  <c r="B221" i="15"/>
  <c r="B228" i="15"/>
  <c r="B230" i="15"/>
  <c r="B180" i="15"/>
  <c r="B188" i="15"/>
  <c r="B200" i="15"/>
  <c r="B208" i="15"/>
  <c r="B210" i="15"/>
  <c r="B239" i="15"/>
  <c r="B253" i="15"/>
  <c r="B255" i="15"/>
  <c r="B181" i="15"/>
  <c r="B302" i="14"/>
  <c r="B284" i="14"/>
  <c r="B289" i="14"/>
  <c r="B295" i="14"/>
  <c r="B304" i="14"/>
  <c r="B345" i="14"/>
  <c r="B310" i="14"/>
  <c r="B315" i="14"/>
  <c r="B323" i="14"/>
  <c r="B325" i="14"/>
  <c r="B358" i="14"/>
  <c r="B343" i="14"/>
  <c r="B335" i="14"/>
  <c r="B347" i="14"/>
  <c r="B334" i="14"/>
  <c r="B346" i="14"/>
  <c r="B248" i="14"/>
  <c r="B235" i="14"/>
  <c r="B214" i="14"/>
  <c r="B219" i="14"/>
  <c r="B226" i="14"/>
  <c r="B228" i="14"/>
  <c r="B178" i="14"/>
  <c r="B186" i="14"/>
  <c r="B198" i="14"/>
  <c r="B206" i="14"/>
  <c r="B208" i="14"/>
  <c r="B237" i="14"/>
  <c r="B179" i="14"/>
  <c r="B335" i="13"/>
  <c r="B324" i="13"/>
  <c r="B300" i="13"/>
  <c r="B305" i="13"/>
  <c r="B313" i="13"/>
  <c r="B315" i="13"/>
  <c r="B275" i="13"/>
  <c r="B280" i="13"/>
  <c r="B286" i="13"/>
  <c r="B292" i="13"/>
  <c r="B294" i="13"/>
  <c r="B322" i="13"/>
  <c r="B239" i="13"/>
  <c r="B228" i="13"/>
  <c r="B205" i="13"/>
  <c r="B210" i="13"/>
  <c r="B217" i="13"/>
  <c r="B219" i="13"/>
  <c r="B169" i="13"/>
  <c r="B177" i="13"/>
  <c r="B189" i="13"/>
  <c r="B197" i="13"/>
  <c r="B199" i="13"/>
  <c r="B226" i="13"/>
  <c r="B170" i="13"/>
  <c r="B277" i="12"/>
  <c r="B254" i="12"/>
  <c r="B259" i="12"/>
  <c r="B265" i="12"/>
  <c r="B267" i="12"/>
  <c r="B228" i="12"/>
  <c r="B233" i="12"/>
  <c r="B238" i="12"/>
  <c r="B246" i="12"/>
  <c r="B248" i="12"/>
  <c r="B279" i="12"/>
  <c r="B280" i="12"/>
  <c r="B282" i="12"/>
  <c r="B204" i="12"/>
  <c r="B192" i="12"/>
  <c r="B182" i="12"/>
  <c r="B187" i="12"/>
  <c r="B194" i="12"/>
  <c r="B174" i="12"/>
  <c r="B149" i="12"/>
  <c r="B156" i="12"/>
  <c r="B167" i="12"/>
  <c r="B176" i="12"/>
  <c r="B204" i="11"/>
  <c r="B277" i="11"/>
  <c r="B265" i="11"/>
  <c r="B259" i="11"/>
  <c r="B254" i="11"/>
  <c r="B267" i="11"/>
  <c r="B228" i="11"/>
  <c r="B233" i="11"/>
  <c r="B238" i="11"/>
  <c r="B246" i="11"/>
  <c r="B248" i="11"/>
  <c r="B279" i="11"/>
  <c r="B280" i="11"/>
  <c r="B282" i="11"/>
  <c r="B192" i="11"/>
  <c r="B182" i="11"/>
  <c r="B187" i="11"/>
  <c r="B194" i="11"/>
  <c r="B174" i="11"/>
  <c r="B149" i="11"/>
  <c r="B156" i="11"/>
  <c r="B167" i="11"/>
  <c r="B176" i="11"/>
  <c r="B270" i="10"/>
  <c r="B248" i="10"/>
  <c r="B253" i="10"/>
  <c r="B259" i="10"/>
  <c r="B261" i="10"/>
  <c r="B222" i="10"/>
  <c r="B227" i="10"/>
  <c r="B232" i="10"/>
  <c r="B240" i="10"/>
  <c r="B242" i="10"/>
  <c r="B269" i="9"/>
  <c r="B247" i="9"/>
  <c r="B252" i="9"/>
  <c r="B258" i="9"/>
  <c r="B260" i="9"/>
  <c r="B221" i="9"/>
  <c r="B226" i="9"/>
  <c r="B231" i="9"/>
  <c r="B234" i="9"/>
  <c r="B239" i="9"/>
  <c r="B241" i="9"/>
  <c r="B199" i="10"/>
  <c r="B188" i="10"/>
  <c r="B178" i="10"/>
  <c r="B183" i="10"/>
  <c r="B190" i="10"/>
  <c r="B170" i="10"/>
  <c r="B163" i="10"/>
  <c r="B153" i="10"/>
  <c r="B146" i="10"/>
  <c r="B172" i="10"/>
  <c r="B198" i="9"/>
  <c r="B187" i="9"/>
  <c r="B182" i="9"/>
  <c r="B177" i="9"/>
  <c r="B189" i="9"/>
  <c r="B169" i="9"/>
  <c r="B162" i="9"/>
  <c r="B152" i="9"/>
  <c r="B145" i="9"/>
  <c r="B171" i="9"/>
  <c r="B267" i="8"/>
  <c r="B245" i="8"/>
  <c r="B250" i="8"/>
  <c r="B256" i="8"/>
  <c r="B258" i="8"/>
  <c r="B219" i="8"/>
  <c r="B224" i="8"/>
  <c r="B229" i="8"/>
  <c r="B237" i="8"/>
  <c r="B239" i="8"/>
  <c r="B196" i="8"/>
  <c r="B175" i="8"/>
  <c r="B180" i="8"/>
  <c r="B185" i="8"/>
  <c r="B187" i="8"/>
  <c r="B144" i="8"/>
  <c r="B151" i="8"/>
  <c r="B160" i="8"/>
  <c r="B167" i="8"/>
  <c r="B169" i="8"/>
  <c r="B198" i="8"/>
  <c r="B199" i="8"/>
  <c r="B266" i="7"/>
  <c r="B244" i="7"/>
  <c r="B249" i="7"/>
  <c r="B255" i="7"/>
  <c r="B257" i="7"/>
  <c r="B218" i="7"/>
  <c r="B223" i="7"/>
  <c r="B228" i="7"/>
  <c r="B236" i="7"/>
  <c r="B238" i="7"/>
  <c r="B195" i="7"/>
  <c r="B174" i="7"/>
  <c r="B179" i="7"/>
  <c r="B184" i="7"/>
  <c r="B186" i="7"/>
  <c r="B143" i="7"/>
  <c r="B150" i="7"/>
  <c r="B159" i="7"/>
  <c r="B166" i="7"/>
  <c r="B168" i="7"/>
  <c r="B197" i="7"/>
  <c r="B198" i="7"/>
  <c r="B260" i="6"/>
  <c r="B238" i="6"/>
  <c r="B243" i="6"/>
  <c r="B249" i="6"/>
  <c r="B251" i="6"/>
  <c r="B212" i="6"/>
  <c r="B217" i="6"/>
  <c r="B222" i="6"/>
  <c r="B230" i="6"/>
  <c r="B232" i="6"/>
  <c r="B189" i="6"/>
  <c r="B168" i="6"/>
  <c r="B173" i="6"/>
  <c r="B178" i="6"/>
  <c r="B180" i="6"/>
  <c r="B139" i="6"/>
  <c r="B144" i="6"/>
  <c r="B153" i="6"/>
  <c r="B160" i="6"/>
  <c r="B162" i="6"/>
  <c r="B248" i="5"/>
  <c r="B227" i="5"/>
  <c r="B232" i="5"/>
  <c r="B237" i="5"/>
  <c r="B239" i="5"/>
  <c r="B201" i="5"/>
  <c r="B206" i="5"/>
  <c r="B211" i="5"/>
  <c r="B219" i="5"/>
  <c r="B221" i="5"/>
  <c r="B250" i="5"/>
  <c r="B179" i="5"/>
  <c r="B158" i="5"/>
  <c r="B163" i="5"/>
  <c r="B168" i="5"/>
  <c r="B170" i="5"/>
  <c r="B134" i="5"/>
  <c r="B139" i="5"/>
  <c r="B144" i="5"/>
  <c r="B150" i="5"/>
  <c r="B152" i="5"/>
  <c r="B181" i="5"/>
  <c r="B182" i="5"/>
  <c r="B172" i="4"/>
  <c r="B143" i="4"/>
  <c r="B127" i="4"/>
  <c r="B132" i="4"/>
  <c r="B137" i="4"/>
  <c r="B145" i="4"/>
  <c r="B151" i="4"/>
  <c r="B156" i="4"/>
  <c r="B161" i="4"/>
  <c r="B163" i="4"/>
  <c r="B174" i="4"/>
  <c r="B241" i="4"/>
  <c r="B220" i="4"/>
  <c r="B225" i="4"/>
  <c r="B230" i="4"/>
  <c r="B232" i="4"/>
  <c r="B194" i="4"/>
  <c r="B199" i="4"/>
  <c r="B204" i="4"/>
  <c r="B212" i="4"/>
  <c r="B214" i="4"/>
  <c r="B243" i="4"/>
  <c r="B244" i="4"/>
  <c r="B246" i="4"/>
  <c r="B156" i="3"/>
  <c r="B146" i="3"/>
  <c r="B151" i="3"/>
  <c r="B158" i="3"/>
  <c r="B123" i="3"/>
  <c r="B128" i="3"/>
  <c r="B133" i="3"/>
  <c r="B138" i="3"/>
  <c r="B140" i="3"/>
  <c r="B167" i="3"/>
  <c r="B214" i="3"/>
  <c r="B219" i="3"/>
  <c r="B224" i="3"/>
  <c r="B226" i="3"/>
  <c r="B189" i="3"/>
  <c r="B194" i="3"/>
  <c r="B199" i="3"/>
  <c r="B206" i="3"/>
  <c r="B208" i="3"/>
  <c r="B235" i="3"/>
  <c r="B175" i="1"/>
  <c r="B158" i="1"/>
  <c r="B163" i="1"/>
  <c r="B168" i="1"/>
  <c r="B177" i="1"/>
  <c r="B193" i="1"/>
  <c r="B183" i="1"/>
  <c r="B188" i="1"/>
  <c r="B195" i="1"/>
  <c r="B205" i="1"/>
  <c r="B203" i="1"/>
  <c r="B206" i="1"/>
  <c r="B208" i="1"/>
  <c r="B117" i="1"/>
  <c r="B125" i="1"/>
  <c r="B130" i="1"/>
  <c r="B135" i="1"/>
  <c r="B137" i="1"/>
  <c r="B102" i="1"/>
  <c r="B107" i="1"/>
  <c r="B112" i="1"/>
  <c r="B119" i="1"/>
  <c r="B143" i="1"/>
  <c r="B213" i="17"/>
  <c r="B234" i="17"/>
  <c r="B257" i="17"/>
  <c r="B259" i="17"/>
  <c r="B59" i="16"/>
  <c r="B51" i="16"/>
  <c r="B237" i="3"/>
  <c r="B238" i="3"/>
  <c r="B240" i="3"/>
  <c r="B251" i="5"/>
  <c r="B253" i="5"/>
  <c r="B269" i="8"/>
  <c r="B201" i="10"/>
  <c r="B202" i="10"/>
  <c r="B272" i="10"/>
  <c r="B273" i="10"/>
  <c r="B203" i="10"/>
  <c r="B241" i="13"/>
  <c r="B243" i="13"/>
  <c r="B338" i="13"/>
  <c r="B337" i="13"/>
  <c r="B339" i="13"/>
  <c r="B260" i="15"/>
  <c r="B264" i="15"/>
  <c r="B262" i="15"/>
  <c r="B365" i="15"/>
  <c r="B367" i="15"/>
  <c r="B175" i="4"/>
  <c r="B176" i="4"/>
  <c r="B275" i="10"/>
  <c r="B250" i="14"/>
  <c r="B252" i="14"/>
  <c r="B251" i="14"/>
  <c r="B253" i="14"/>
  <c r="B145" i="1"/>
  <c r="B146" i="1"/>
  <c r="B191" i="6"/>
  <c r="B192" i="6"/>
  <c r="B262" i="6"/>
  <c r="B263" i="6"/>
  <c r="B193" i="6"/>
  <c r="B265" i="6"/>
  <c r="B270" i="8"/>
  <c r="B272" i="8"/>
  <c r="B242" i="13"/>
  <c r="B244" i="13"/>
  <c r="B252" i="15"/>
  <c r="B254" i="15"/>
  <c r="B200" i="9"/>
  <c r="B201" i="9"/>
  <c r="B271" i="9"/>
  <c r="B272" i="9"/>
  <c r="B202" i="9"/>
  <c r="B169" i="3"/>
  <c r="B170" i="3"/>
  <c r="B171" i="3"/>
  <c r="B268" i="7"/>
  <c r="B269" i="7"/>
  <c r="B271" i="7"/>
  <c r="B274" i="9"/>
  <c r="B206" i="11"/>
  <c r="B207" i="11"/>
  <c r="B208" i="11"/>
  <c r="B206" i="12"/>
  <c r="B207" i="12"/>
  <c r="B208" i="12"/>
  <c r="B360" i="14"/>
  <c r="B362" i="14"/>
  <c r="B361" i="14"/>
  <c r="B363" i="14"/>
  <c r="B366" i="15"/>
  <c r="B368" i="15"/>
  <c r="B340" i="13"/>
  <c r="B256" i="17"/>
  <c r="B258" i="17"/>
  <c r="B263" i="17"/>
  <c r="B267" i="17"/>
  <c r="B264" i="17"/>
  <c r="B268" i="17"/>
  <c r="B266" i="17"/>
  <c r="B263" i="14"/>
  <c r="B259" i="14"/>
  <c r="B257" i="14"/>
  <c r="B261" i="14"/>
  <c r="B346" i="13"/>
  <c r="B344" i="13"/>
  <c r="B348" i="13"/>
  <c r="B351" i="13"/>
  <c r="B374" i="15"/>
  <c r="B381" i="15"/>
  <c r="B372" i="15"/>
  <c r="B345" i="13"/>
  <c r="B349" i="13"/>
  <c r="B347" i="13"/>
  <c r="B183" i="5"/>
  <c r="B200" i="8"/>
  <c r="B367" i="14"/>
  <c r="B376" i="14"/>
  <c r="B369" i="14"/>
  <c r="B251" i="13"/>
  <c r="B249" i="13"/>
  <c r="B253" i="13"/>
  <c r="B375" i="15"/>
  <c r="B373" i="15"/>
  <c r="B370" i="14"/>
  <c r="B368" i="14"/>
  <c r="B261" i="15"/>
  <c r="B259" i="15"/>
  <c r="B263" i="15"/>
  <c r="B265" i="15"/>
  <c r="B258" i="14"/>
  <c r="B262" i="14"/>
  <c r="B260" i="14"/>
  <c r="B250" i="13"/>
  <c r="B248" i="13"/>
  <c r="B252" i="13"/>
  <c r="B254" i="13"/>
  <c r="B199" i="7"/>
  <c r="B69" i="16"/>
  <c r="B71" i="16"/>
  <c r="B75" i="16"/>
  <c r="B76" i="16"/>
  <c r="B61" i="16"/>
  <c r="B265" i="17"/>
  <c r="B374" i="14"/>
  <c r="B372" i="14"/>
  <c r="B371" i="14"/>
  <c r="B373" i="14"/>
  <c r="B379" i="15"/>
  <c r="B377" i="15"/>
  <c r="B378" i="15"/>
  <c r="B376" i="15"/>
  <c r="B359" i="17"/>
  <c r="B396" i="17"/>
  <c r="B384" i="17"/>
  <c r="B269" i="17"/>
  <c r="B394" i="17"/>
  <c r="B385" i="17"/>
  <c r="B386" i="17"/>
  <c r="B393" i="17"/>
  <c r="B389" i="17"/>
  <c r="B391" i="17"/>
  <c r="B390" i="17"/>
</calcChain>
</file>

<file path=xl/sharedStrings.xml><?xml version="1.0" encoding="utf-8"?>
<sst xmlns="http://schemas.openxmlformats.org/spreadsheetml/2006/main" count="5447" uniqueCount="543">
  <si>
    <t>Mandatory Expenses</t>
  </si>
  <si>
    <t>Chanda</t>
  </si>
  <si>
    <t>Chase Slate CC</t>
  </si>
  <si>
    <t>Chase Freedom CC</t>
  </si>
  <si>
    <t>American Express CC</t>
  </si>
  <si>
    <t>Charter One CC</t>
  </si>
  <si>
    <t>State Farm Rental Ins</t>
  </si>
  <si>
    <t>21st Century Car Ins</t>
  </si>
  <si>
    <t>Car-Camry Installment</t>
  </si>
  <si>
    <t>Debt</t>
  </si>
  <si>
    <t>Electric Bill</t>
  </si>
  <si>
    <t>Internet Bill</t>
  </si>
  <si>
    <t>International Calls Bill</t>
  </si>
  <si>
    <t>Phones Bill</t>
  </si>
  <si>
    <t>Apartment Rent</t>
  </si>
  <si>
    <t>Saliha Haq Mehr</t>
  </si>
  <si>
    <t>Chase Identity Protection</t>
  </si>
  <si>
    <t>Cable/Dish Bill</t>
  </si>
  <si>
    <t>Banana Republic CC</t>
  </si>
  <si>
    <t>Macys CC</t>
  </si>
  <si>
    <t>Dillards CC</t>
  </si>
  <si>
    <t>Saks Fifth Avenue CC</t>
  </si>
  <si>
    <t>Laundary</t>
  </si>
  <si>
    <t>21st Century Car Ins Extra Payment</t>
  </si>
  <si>
    <t>Value City Furniture CC Extra Payment</t>
  </si>
  <si>
    <t>Value City Furniture CC</t>
  </si>
  <si>
    <t>HR Concepts</t>
  </si>
  <si>
    <t>Medical Payments</t>
  </si>
  <si>
    <t>Kids Clothes/Toys</t>
  </si>
  <si>
    <t>Saliha Haq Mehr Future Payments</t>
  </si>
  <si>
    <t>Kids Clothes/Toys Future Payments</t>
  </si>
  <si>
    <t>Optional Regular Expenses</t>
  </si>
  <si>
    <t>Costco</t>
  </si>
  <si>
    <t>Walmart</t>
  </si>
  <si>
    <t>HolyLand</t>
  </si>
  <si>
    <t>Indian Grocery</t>
  </si>
  <si>
    <t>Dentist Payments</t>
  </si>
  <si>
    <t>Normal Amount</t>
  </si>
  <si>
    <t>Max Limit</t>
  </si>
  <si>
    <t>Weekly Grocery Expenses</t>
  </si>
  <si>
    <t>Home Shoe Rack</t>
  </si>
  <si>
    <t>Water Filter</t>
  </si>
  <si>
    <t>Entertainment</t>
  </si>
  <si>
    <t>Guest Visiting</t>
  </si>
  <si>
    <t>Travelling out of city</t>
  </si>
  <si>
    <t>Birth day gifts</t>
  </si>
  <si>
    <t>Newborn gifts</t>
  </si>
  <si>
    <t>Hair Cut</t>
  </si>
  <si>
    <t>Car Wash</t>
  </si>
  <si>
    <t>Gas</t>
  </si>
  <si>
    <t>Jamat Trips</t>
  </si>
  <si>
    <t>Jamat Expenses</t>
  </si>
  <si>
    <t>Mail</t>
  </si>
  <si>
    <t>Driving License Fees</t>
  </si>
  <si>
    <t>Car Registeration Fees</t>
  </si>
  <si>
    <t>Car Oil Change Expenses</t>
  </si>
  <si>
    <t>Car Tyres' Expenses</t>
  </si>
  <si>
    <t>Car Mechanical Work</t>
  </si>
  <si>
    <t>Passport</t>
  </si>
  <si>
    <t>National ID Card</t>
  </si>
  <si>
    <t>Guest/Host Kids' Gifts</t>
  </si>
  <si>
    <t>Visa Fees</t>
  </si>
  <si>
    <t>Festival (Eid) Gifts</t>
  </si>
  <si>
    <t>Unexpected outing</t>
  </si>
  <si>
    <t>Not planned Dinner/Lunch</t>
  </si>
  <si>
    <t>Monthly Budget Planning</t>
  </si>
  <si>
    <t>Amount</t>
  </si>
  <si>
    <t>Comments</t>
  </si>
  <si>
    <t>Applied In Planning</t>
  </si>
  <si>
    <t>Applied in Actual</t>
  </si>
  <si>
    <t>Total</t>
  </si>
  <si>
    <t>(Add new row in the middle to add more expenses)</t>
  </si>
  <si>
    <t>Jamat Payments</t>
  </si>
  <si>
    <t>Credits</t>
  </si>
  <si>
    <t>Monthly Pay</t>
  </si>
  <si>
    <t>Mandatory Credits</t>
  </si>
  <si>
    <t>Non-Mandatory Credits</t>
  </si>
  <si>
    <t>Bonus</t>
  </si>
  <si>
    <t>Pay Increase Difference</t>
  </si>
  <si>
    <t>Tax Return Refund</t>
  </si>
  <si>
    <t>Investment Gain</t>
  </si>
  <si>
    <t>Investment Loss</t>
  </si>
  <si>
    <t>Optional Non-Regular Expenses/Debits</t>
  </si>
  <si>
    <t>Interest/Dividend</t>
  </si>
  <si>
    <t>Expenses/Debits</t>
  </si>
  <si>
    <t>Non-Applicable Debits</t>
  </si>
  <si>
    <t>Non-Applicable Credits</t>
  </si>
  <si>
    <t>Total Expenses/Debits</t>
  </si>
  <si>
    <t>Total Credits</t>
  </si>
  <si>
    <t>Savings</t>
  </si>
  <si>
    <t>Chase</t>
  </si>
  <si>
    <t>Charter One</t>
  </si>
  <si>
    <t>Chase Investments</t>
  </si>
  <si>
    <t>Charter One Investments</t>
  </si>
  <si>
    <t>Type</t>
  </si>
  <si>
    <t>Date</t>
  </si>
  <si>
    <t>Planned Savings</t>
  </si>
  <si>
    <t>Planned Income</t>
  </si>
  <si>
    <t>Monthly Budget Closing</t>
  </si>
  <si>
    <t>Actual Income</t>
  </si>
  <si>
    <t>Actual Savings</t>
  </si>
  <si>
    <t>Actual/Estimated</t>
  </si>
  <si>
    <t>Time</t>
  </si>
  <si>
    <t>Not paid yet</t>
  </si>
  <si>
    <t>Jamat Extra Payment</t>
  </si>
  <si>
    <t>Borrowed to MKA Account to make it 2000.</t>
  </si>
  <si>
    <t>Paid -&gt;79.76 (07/26). Not Paid -&gt; 183.04 (09/13) + 67.80 (10/11) + 315.08 (11/29)</t>
  </si>
  <si>
    <t>(Add new row in the middle to add more expenses/debits/credits)</t>
  </si>
  <si>
    <t xml:space="preserve">Previous Month Savings </t>
  </si>
  <si>
    <t>Extra expenses are Value City Previous Month payment of 210 and 21st Century car insurance fees of around 170. 32 were spent on a tyre. Around 70 will be spent on TT rackets (30), Diwali (10) and additional dinners.</t>
  </si>
  <si>
    <t>This Month Savings (Ideal savings target is 1400)</t>
  </si>
  <si>
    <t>Closing Pre Work</t>
  </si>
  <si>
    <t>1719.72 + 19857.19 + 750</t>
  </si>
  <si>
    <t>Income</t>
  </si>
  <si>
    <t>12+ 1361.04 + 86.37 + 120</t>
  </si>
  <si>
    <t>Addition Credits</t>
  </si>
  <si>
    <t>Chanda -</t>
  </si>
  <si>
    <t>CC -</t>
  </si>
  <si>
    <t>478 + 300</t>
  </si>
  <si>
    <t>Send pictures to Lahore</t>
  </si>
  <si>
    <t>Borrowed to MKA Account to make it 2000 + 50 on sleepover</t>
  </si>
  <si>
    <t>03/05/13 (1501.88)</t>
  </si>
  <si>
    <t>Cash</t>
  </si>
  <si>
    <t>Money Order (130) + Money Order (110) + Cash(135)</t>
  </si>
  <si>
    <t>1134.43 were savings but 550 dollars were not taken out so savings will be 584.43 + 245 (375 Cash/Money Order not added -130 money order being carried from previous months) = 829.43</t>
  </si>
  <si>
    <r>
      <t xml:space="preserve">927.75 was bonus. Whereas Cash of 375 dollars was being carried forward from last month but was not added in the last month budget. So actual savings are </t>
    </r>
    <r>
      <rPr>
        <b/>
        <sz val="10"/>
        <rFont val="Arial"/>
        <family val="2"/>
      </rPr>
      <t>62.03</t>
    </r>
    <r>
      <rPr>
        <sz val="10"/>
        <rFont val="Arial"/>
      </rPr>
      <t>. The reason is that 550 dollars were taken out extra as Debt which should have taken out from previous month. Also 150 dollars extra expense for cleveland clinic + 50 dollars extra for Olive Garden + 50 dollars extra for Walmart when family came back to US + 50 dollars extra for dry cleaning as family came back to Us. So without these expenses savings could have been 912.03</t>
    </r>
  </si>
  <si>
    <t>$50 per week</t>
  </si>
  <si>
    <t>Utensil Expenses/Grocery to invite two families for dinner</t>
  </si>
  <si>
    <t>45 dollars for Saliha's Chanda</t>
  </si>
  <si>
    <t>Total planned Savings</t>
  </si>
  <si>
    <r>
      <t xml:space="preserve">3050 is coming from closing given below. So total is </t>
    </r>
    <r>
      <rPr>
        <b/>
        <sz val="10"/>
        <rFont val="Arial"/>
        <family val="2"/>
      </rPr>
      <t>3500</t>
    </r>
  </si>
  <si>
    <t>50+100extra for Dania car seat. Kids remaining will be 200.</t>
  </si>
  <si>
    <t>150+45extra. Saliha haq mehr remaining will be 223</t>
  </si>
  <si>
    <t xml:space="preserve">Planned Income </t>
  </si>
  <si>
    <t>This month planned Savings (Ideal target is 1100)</t>
  </si>
  <si>
    <t>03/05/13 (1501.88), 03/21 (40.37), 03/26 (800.50), 04/04 (202.48), 04/18 (90.48)</t>
  </si>
  <si>
    <t>Money Order (130) + Money Order (110) + Cash(42)</t>
  </si>
  <si>
    <t>Sprint Future Payments</t>
  </si>
  <si>
    <r>
      <t xml:space="preserve">1500 is coming from closing given below. So total is </t>
    </r>
    <r>
      <rPr>
        <b/>
        <sz val="10"/>
        <rFont val="Arial"/>
        <family val="2"/>
      </rPr>
      <t>1950</t>
    </r>
  </si>
  <si>
    <t>40 Saliha Trousers + 52 earnings birthday gift</t>
  </si>
  <si>
    <t>Saliha Wasiyyat payment 150 + 150 for new month = 0 + 20.75 Saliha Subway Expense + 40 for Saliha Trousers expense, so adding 60.75 to whats being carried forward from previous month</t>
  </si>
  <si>
    <t>Already added to Chase Balance.</t>
  </si>
  <si>
    <t>Tax Return was 9324. So actual savings are 170.5</t>
  </si>
  <si>
    <t>Saliha Wasiyyat payment 150</t>
  </si>
  <si>
    <t>Last credit from HR concepts was - 04/18 (90.48), that is already paid</t>
  </si>
  <si>
    <t>Last month closing is of Apr</t>
  </si>
  <si>
    <t>$50 per week normally</t>
  </si>
  <si>
    <t>Money Order (116) + Money Order (110)</t>
  </si>
  <si>
    <t>As last month closing is of April, so these savings are of 4 months, 761.04 is on avg</t>
  </si>
  <si>
    <t>Mekael School Fees</t>
  </si>
  <si>
    <t>Amount Taken from Jamat Funds</t>
  </si>
  <si>
    <t>Awais Shopping</t>
  </si>
  <si>
    <t>Slippers.</t>
  </si>
  <si>
    <t>Awais Vitamins/Minerals/Proteins</t>
  </si>
  <si>
    <t>Awais underwear</t>
  </si>
  <si>
    <t>Next month expenses</t>
  </si>
  <si>
    <t>Last credit from HR concepts was - 09/25 (117.93)</t>
  </si>
  <si>
    <t>Next Month Pay</t>
  </si>
  <si>
    <t>50 Kids Clothes for Eid ul Bakra + 10 School T-Shirt</t>
  </si>
  <si>
    <t>plus 20 for School Trip</t>
  </si>
  <si>
    <t>Pictures sent to Lahore</t>
  </si>
  <si>
    <t>Soccer League</t>
  </si>
  <si>
    <t>Returned Items Refund Expected</t>
  </si>
  <si>
    <t>78 for Ring + 32 for Mekael Dysfunctional Car</t>
  </si>
  <si>
    <t>Actual Planned Savings is 753.80, as 110 dollars which should have been spent previous month on ID cards are planned to be spent this month.</t>
  </si>
  <si>
    <t>This month savings is actualy 735.10 as $110 were not used for ID cards as against what was planned.
This is $300 below target (1038). Following reasons account for $222.73. Further investigation needed for $77 (may be look at walmart expenses, or shopping or some may need to be forwarded to next month):
1. $78 for Ring.
2. $40 noodlecat. 
3. $31 Jaipur Junction.
4. $15 Subway (2 times)
5. $20 Jets Pizza 
6. -$20 less electricity charges
7. $27.50 McDonalds
8. $3.00 Family Video
9. -$40 Entertainment already counted.
10. $31 Extra Gas.
11. $37.23 Oil change.</t>
  </si>
  <si>
    <t>Monthly Budget Closing (Nov)</t>
  </si>
  <si>
    <t>HR concepts credits are - 09/25 (117.93), 10/21 (713.40)</t>
  </si>
  <si>
    <t>Money Order (116) + Money Order (110) + Cash (20)</t>
  </si>
  <si>
    <t>Last month closing is of Aug</t>
  </si>
  <si>
    <t xml:space="preserve">Last month closing is of Sep. </t>
  </si>
  <si>
    <t>This is two months savings. Oct and Nov</t>
  </si>
  <si>
    <t>Monthly Budget Planning (December)</t>
  </si>
  <si>
    <t>Guests - Social Interactions/Travelling/Gifts</t>
  </si>
  <si>
    <t>$30 gift to Saliha</t>
  </si>
  <si>
    <t>Mekael School - Activities/Food/Specials</t>
  </si>
  <si>
    <t>Food for two days.</t>
  </si>
  <si>
    <t>Black Friday</t>
  </si>
  <si>
    <t>500 for Flat screen Tv + 200 for TV table + 300 for laptop + 500 for clothes for family and extended family</t>
  </si>
  <si>
    <t xml:space="preserve">Standard Expenses for a month are -&gt; 3738.38 = 3740
Before Mekael School fees, they were -&gt; 3548.38 = 3550
Before Debt Adjustment of 150, they were -&gt; 3398.38 = 3400 </t>
  </si>
  <si>
    <r>
      <t xml:space="preserve">If no expenses are made on Black Friday (-1500), savings will be -&gt; 591.79
If car insurance is not taken (-220), savings will be -&gt; 811.79
If Debt is not adjusted to 700 (-150), savings will be -&gt; 961.79
Considering car insurance on average to be 75 dollars per month and new debt adjustment to be something taken on regular basis then on average savings will be -&gt; 736.79 = 750
</t>
    </r>
    <r>
      <rPr>
        <b/>
        <sz val="10"/>
        <rFont val="Arial"/>
        <family val="2"/>
      </rPr>
      <t>Ideal Assesment: (This and standard expenses given in a column above didn't counted 150 for Saliha and 50 for Kids)</t>
    </r>
    <r>
      <rPr>
        <sz val="10"/>
        <rFont val="Arial"/>
      </rPr>
      <t xml:space="preserve">
Standard Savings (without considering average unaccounted expenses) are -&gt; 1086.79 = 1100
Before Mekael school fees they were -&gt; 1276.79 = 1280
Before Debt adjustment of 150, they were -&gt; 1426.79 = 1430.
</t>
    </r>
    <r>
      <rPr>
        <b/>
        <sz val="10"/>
        <rFont val="Arial"/>
        <family val="2"/>
      </rPr>
      <t>At this rate. Year closing should be 95K.</t>
    </r>
    <r>
      <rPr>
        <sz val="10"/>
        <rFont val="Arial"/>
      </rPr>
      <t xml:space="preserve">
81800 should be the bank balance
9500 should be the tax return
2500 should be the investment profit
1500 should be the bonus.
Total = 95300</t>
    </r>
  </si>
  <si>
    <t>Monthly Budget Closing (Dec)</t>
  </si>
  <si>
    <t xml:space="preserve">HR concepts credits are - 09/25 (117.93), 10/21 (713.40), 11/13 (79.76), 11/20 (42.08), 11/25 (264.12), 12/09 (159.52) </t>
  </si>
  <si>
    <t>Money Order (116) + Money Order (110) + Cash (9)</t>
  </si>
  <si>
    <t>For Moving Ping Pong Table.</t>
  </si>
  <si>
    <t>With 1500 not being spent on Black Friday and no 220 car insurance was deducted, savings should have been -&gt; 82711.72</t>
  </si>
  <si>
    <t>103.29 for Dish network. 60 for awais medicine, 30 for laundry</t>
  </si>
  <si>
    <t>As expected savings as seen from column C269 should have been 82711.72, which means this months savings should have been 811.79.
TV table was bought for 180.
Gap expenses (Sweeters, Cap, Scarf) 63.07
Tommy Hillfiger Shirt 30
Levis 64.18
Plant 65
Current Extra Expenses are 495.8
Expenses unaccounted for 315.99</t>
  </si>
  <si>
    <t>Took extra goat meat which will be used in next month also</t>
  </si>
  <si>
    <t>Best Buy CC</t>
  </si>
  <si>
    <t>500 for TV + 349 Waqas Laptop + 180 Mohammed Laptop + 10 bag + 60 hard drive + 50 TV service</t>
  </si>
  <si>
    <r>
      <t>Savings of about 200 dollars is unaccounted for.
Ideal Assesment: (This and standard expenses given in a column above didn't counted 150 for Saliha and 50 for Kids)</t>
    </r>
    <r>
      <rPr>
        <sz val="10"/>
        <rFont val="Arial"/>
      </rPr>
      <t xml:space="preserve">
Standard Savings (without considering average unaccounted expenses) are -&gt; 1086.79 = 1100
Before Mekael school fees they were -&gt; 1276.79 = 1280
Before Debt adjustment of 150, they were -&gt; 1426.79 = 1430.
</t>
    </r>
    <r>
      <rPr>
        <b/>
        <sz val="10"/>
        <rFont val="Arial"/>
        <family val="2"/>
      </rPr>
      <t>At this rate. Year closing should be 95K.</t>
    </r>
    <r>
      <rPr>
        <sz val="10"/>
        <rFont val="Arial"/>
      </rPr>
      <t xml:space="preserve">
81800 should be the bank balance
9500 should be the tax return
2500 should be the investment profit
1500 should be the bonus.
Total = 95300</t>
    </r>
  </si>
  <si>
    <t>42,651.14 is actual.</t>
  </si>
  <si>
    <t>126.42 for Dish network.30 for laundry</t>
  </si>
  <si>
    <t>HR concepts credits are - 09/25 (117.93), 10/21 (713.40), 11/13 (79.76), 11/20 (42.08), 11/25 (264.12), 12/09 (159.52), 02/20 (53.77), 02/27 (146.16), 03/11 (1,168.67), 04/23 (79.76), 05/06 (79.76)</t>
  </si>
  <si>
    <t>29080.95 is actual</t>
  </si>
  <si>
    <t xml:space="preserve">Last month closing is of Dec 13. </t>
  </si>
  <si>
    <t>As expected savings as seen from column C270 should have been ?, which means this months savings should have been ?.
Extra Expenes details (Merchant, expense amount)….
….
Current Extra Expenses are ?
Expenses unaccounted for ?</t>
  </si>
  <si>
    <t>Check for Amt Taken from Jamat Funds + Jamat Extra Payments from Dec 13 (Prev Sheet). Add New jamat expenses + amount taken and adjust these columns accordingly. Please not 30 dollars are recently taken from Jamat Funds</t>
  </si>
  <si>
    <r>
      <t>Savings of about 200 dollars is unaccounted for.
Ideal Assesment: (This and standard expenses given in a column above didn't counted 150 for Saliha and 50 for Kids)</t>
    </r>
    <r>
      <rPr>
        <sz val="10"/>
        <color indexed="10"/>
        <rFont val="Arial"/>
        <family val="2"/>
      </rPr>
      <t xml:space="preserve">
Standard Savings (without considering average unaccounted expenses) are -&gt; 1086.79 = 1100
Before Mekael school fees they were -&gt; 1276.79 = 1280
Before Debt adjustment of 150, they were -&gt; 1426.79 = 1430.
</t>
    </r>
    <r>
      <rPr>
        <b/>
        <sz val="10"/>
        <color indexed="10"/>
        <rFont val="Arial"/>
        <family val="2"/>
      </rPr>
      <t>At this rate. Year closing should be 95K.</t>
    </r>
    <r>
      <rPr>
        <sz val="10"/>
        <color indexed="10"/>
        <rFont val="Arial"/>
        <family val="2"/>
      </rPr>
      <t xml:space="preserve">
81800 should be the bank balance
9500 should be the tax return
2500 should be the investment profit
1500 should be the bonus.
Total = 95300</t>
    </r>
  </si>
  <si>
    <r>
      <t xml:space="preserve">6500 (3500+3000) paid to lawyer. Around 1000 travelling/gifts expenses for Minnisota and Maryland. 350 was paid to Excel Health for Immigration Medical. </t>
    </r>
    <r>
      <rPr>
        <sz val="10"/>
        <color indexed="10"/>
        <rFont val="Arial"/>
        <family val="2"/>
      </rPr>
      <t xml:space="preserve">Is it justified?
929.87 was Bonus.
9430 Tax Return (8856 Federal + 574 Ohio)
</t>
    </r>
  </si>
  <si>
    <t>Add 200 For laptop For Muhammed.</t>
  </si>
  <si>
    <t>Watch Match in Stadium</t>
  </si>
  <si>
    <t>Real Madrid vs Man U. Aug 02.</t>
  </si>
  <si>
    <t>Monthly Budget Closing (Jul)</t>
  </si>
  <si>
    <t>Monthly Budget Planning (August)</t>
  </si>
  <si>
    <t>42,884.23 is actual</t>
  </si>
  <si>
    <t>30,453.67 is actual</t>
  </si>
  <si>
    <r>
      <t>06/14 onwards I have to take care of 25% of medical expenses, so hr concepts payments (given below) will be 75% of total medical expense given in the amount column.
HR concepts credits are -</t>
    </r>
    <r>
      <rPr>
        <sz val="10"/>
        <color indexed="22"/>
        <rFont val="Arial"/>
        <family val="2"/>
      </rPr>
      <t xml:space="preserve"> 09/25 (117.93), 10/21 (713.40), 11/13 (79.76), 11/20 (42.08), 11/25 (264.12), 12/09 (159.52), 02/20 (53.77), 02/27 (146.16), 03/11 (1,168.67), 04/23 (79.76), 05/06 (79.76), </t>
    </r>
    <r>
      <rPr>
        <sz val="10"/>
        <rFont val="Arial"/>
        <family val="2"/>
      </rPr>
      <t>08/11 (80.48), 08/20 (59.82), 10/06 (158.05), 10/14 (48.72), 10/14 (88.45)</t>
    </r>
  </si>
  <si>
    <t>HR Concepts/ Pending Medical Payments</t>
  </si>
  <si>
    <t>108.62 for Dish network.40 for laundry. 150 Saliha Haq Mehar</t>
  </si>
  <si>
    <t>Last month closing is of Jul 14</t>
  </si>
  <si>
    <t>Traffic Tickets</t>
  </si>
  <si>
    <t>140 speeding ticket on I80 + 35 Parking Ticket in Cleveland Statue University</t>
  </si>
  <si>
    <t>Q</t>
  </si>
  <si>
    <t>Qaid Conference 11/14 = 275.6, Sleepover 11/22 = 61.18, BookStall 11/25 (Parking chg + 35 Parking Ticket) = 37</t>
  </si>
  <si>
    <t>400 (My Suit + clothes), 200 Saliha Phone, 100 My Phone</t>
  </si>
  <si>
    <t>700 dollars spent for Black Friday. Otherwise savings were 678.4</t>
  </si>
  <si>
    <t>Pay 1200 see if it closes budget for this item.</t>
  </si>
  <si>
    <r>
      <t>06/14 onwards I have to take care of 25% of medical expenses, so hr concepts payments (given below) will be 75% of total medical expense given in the amount column.
HR concepts credits are - 5/20/2015 $91.38, 5/13/2015 $101.18</t>
    </r>
    <r>
      <rPr>
        <sz val="10"/>
        <color indexed="22"/>
        <rFont val="Arial"/>
        <family val="2"/>
      </rPr>
      <t xml:space="preserve"> 
</t>
    </r>
    <r>
      <rPr>
        <sz val="10"/>
        <rFont val="Arial"/>
        <family val="2"/>
      </rPr>
      <t xml:space="preserve">Entering amount in the previous call as 100% of payments expected from me by Cleveland clinic </t>
    </r>
  </si>
  <si>
    <t>43,976.01 is actual</t>
  </si>
  <si>
    <t>105.73 for Dish</t>
  </si>
  <si>
    <t>31,066.32 is actual</t>
  </si>
  <si>
    <r>
      <t xml:space="preserve">6500 (3500+3000) paid to lawyer. Around 1000 travelling/gifts expenses for Minnisota and Maryland. 350 was paid to Excel Health for Immigration Medical. </t>
    </r>
    <r>
      <rPr>
        <sz val="10"/>
        <color indexed="10"/>
        <rFont val="Arial"/>
        <family val="2"/>
      </rPr>
      <t xml:space="preserve">Is it justified?
? was Bonus.
? Tax Return (? Federal + ? Ohio)
</t>
    </r>
  </si>
  <si>
    <t>Going to NJ to attend cousin wedding (Farzana Baji's son wedding)</t>
  </si>
  <si>
    <t>Pay 1800 see if it closes budget for this item.</t>
  </si>
  <si>
    <t>Last month closing is of Nov 14</t>
  </si>
  <si>
    <t>Monthly Budget Planning (June)</t>
  </si>
  <si>
    <t>Cheques</t>
  </si>
  <si>
    <t>Delta Dental 208 + Charter One 100 + Techlogix Phone Payment 323.99</t>
  </si>
  <si>
    <t>Wedding Gifts</t>
  </si>
  <si>
    <t>Dentist Expenses</t>
  </si>
  <si>
    <t>Excluding Tbone 3D Imaging Expenses For My Wife = 375</t>
  </si>
  <si>
    <r>
      <t xml:space="preserve">06/14 onwards I have to take care of 25% of medical expenses, so hr concepts payments (given below) will be 75% of total medical expense given in the amount column.
HR concepts credits are - 5/20/2015 $91.38, 5/13/2015 $101.18, 4/13/2015 $59.82, 12/23/2014 $876.75, 12/15/2014 $154.58, 12/10/2014 $88.45 </t>
    </r>
    <r>
      <rPr>
        <sz val="10"/>
        <color indexed="22"/>
        <rFont val="Arial"/>
        <family val="2"/>
      </rPr>
      <t xml:space="preserve">
</t>
    </r>
    <r>
      <rPr>
        <sz val="10"/>
        <rFont val="Arial"/>
        <family val="2"/>
      </rPr>
      <t xml:space="preserve">Entering amount in the previous call as 100% of payments expected from me by Cleveland clinic 
</t>
    </r>
    <r>
      <rPr>
        <sz val="10"/>
        <color indexed="10"/>
        <rFont val="Arial"/>
        <family val="2"/>
      </rPr>
      <t>More amount should have excldued as payments for some deposits was made through CC which is not accounted for this month. So this value is not correct, however planning for next month matters more, so ignoring this error here.</t>
    </r>
  </si>
  <si>
    <r>
      <t xml:space="preserve">Will give 4400 to Wasiyyat + 300 to Jalsa + 300 to MKA = </t>
    </r>
    <r>
      <rPr>
        <b/>
        <sz val="10"/>
        <rFont val="Arial"/>
        <family val="2"/>
      </rPr>
      <t>5000</t>
    </r>
    <r>
      <rPr>
        <sz val="10"/>
        <rFont val="Arial"/>
      </rPr>
      <t>. To close the year. So will be good till 07/15 closing</t>
    </r>
  </si>
  <si>
    <t>Monthly Budget Closing (May)</t>
  </si>
  <si>
    <t>Monthly Budget Closing (July)</t>
  </si>
  <si>
    <t>Pay 2400 see if it closes budget for this item. By the way it should be 2400 because, according to my understanding, I paid and closed this item around March 10th to account March 15th closing.</t>
  </si>
  <si>
    <t>4205.75 from May -15th sheet. After that 900 Taken more from Jamat account. $50 expense from my side for MKA ijtema.</t>
  </si>
  <si>
    <t>Monthly Budget Closing (November)</t>
  </si>
  <si>
    <t>Traffic Tickets (Speeding, parking, sticker missing, registeration not renewed)</t>
  </si>
  <si>
    <t>200 for sticker missing. 100 for parking infront of Dania school.</t>
  </si>
  <si>
    <t>Car insurance reimbursements after accident.</t>
  </si>
  <si>
    <t>UIC expenses (DMDAS)</t>
  </si>
  <si>
    <t>Kids school expenses</t>
  </si>
  <si>
    <t>Mortage (Cenlar) extra payments</t>
  </si>
  <si>
    <r>
      <t xml:space="preserve">06/14 onwards I have to take care of 25% of medical expenses, so hr concepts payments (given below) will be 75% of total medical expense given in the amount column.
HR concepts credits are - 3-Aug-16 $132.83, 13-Apr-16 $207.10, 17-Aug-15 $1,235.07, 5-Aug-15 $187.50, 5-Aug-15 $77.43, 15-Jun-15 $942.79, 3-Jun-15 $118.76, 20-May-15 $91.38, 13-May-15 $101.18, 13-Apr-15 $59.82  </t>
    </r>
    <r>
      <rPr>
        <sz val="10"/>
        <color indexed="22"/>
        <rFont val="Arial"/>
        <family val="2"/>
      </rPr>
      <t xml:space="preserve">
</t>
    </r>
    <r>
      <rPr>
        <sz val="10"/>
        <rFont val="Arial"/>
        <family val="2"/>
      </rPr>
      <t>Entering amount in the previous cell as 100% of payments expected from me by Cleveland clinic/NWM</t>
    </r>
  </si>
  <si>
    <t>Actual investment is 27000</t>
  </si>
  <si>
    <t>UIC Loan Extra Amount Credit</t>
  </si>
  <si>
    <t>Last month closing is of July - 15</t>
  </si>
  <si>
    <t>Invested in Personal House (Closing Costs)</t>
  </si>
  <si>
    <t>Expenses to be covered by UIC extra loan amount</t>
  </si>
  <si>
    <t>Expenses to be covered by extra UIC loan payment</t>
  </si>
  <si>
    <t>Major covered expenses</t>
  </si>
  <si>
    <t>Total Savings\Invstmts</t>
  </si>
  <si>
    <t>Savings\Invstmts</t>
  </si>
  <si>
    <t>Total expenses covered by UIC extra loan</t>
  </si>
  <si>
    <t>Max coverage allowed for expenses excluding UIC expenses</t>
  </si>
  <si>
    <t>Total with max coverage allowed excluding UIC expenses</t>
  </si>
  <si>
    <t>Savings using max coverage by UIC extra loan for coverable expenses</t>
  </si>
  <si>
    <t>Income using max coverage by UIC extra loan for coverable expenses</t>
  </si>
  <si>
    <t xml:space="preserve">Estimated Tax Return </t>
  </si>
  <si>
    <t>Estimated bonus after tax</t>
  </si>
  <si>
    <t>Estimated monthly income for remaining months in calendar year</t>
  </si>
  <si>
    <t>two months remaining</t>
  </si>
  <si>
    <t>Estimated savings at year end</t>
  </si>
  <si>
    <t>Estimated savings at year end using max coverage by UIC extra loan for coverable expenses</t>
  </si>
  <si>
    <t>Planned Income using max coverage by UIC extra loan for coverable expenses</t>
  </si>
  <si>
    <t>Planned Savings using max coverage by UIC extra loan for coverable expenses</t>
  </si>
  <si>
    <t>One month remaining after this month</t>
  </si>
  <si>
    <t>20 from Mamoo Naeem. Starting this month adding Mamoo Naeem 20. 5 dollar fees.</t>
  </si>
  <si>
    <t>$80 per week normally</t>
  </si>
  <si>
    <t>Cenlar Mortgage Payment</t>
  </si>
  <si>
    <t>HOA Fees</t>
  </si>
  <si>
    <t>550 per month</t>
  </si>
  <si>
    <t>Identity Protection</t>
  </si>
  <si>
    <t>Car Ins</t>
  </si>
  <si>
    <t>Gas bill</t>
  </si>
  <si>
    <t>Sprint line for Saliha</t>
  </si>
  <si>
    <t>Includes internet as well.</t>
  </si>
  <si>
    <t>Regular miscellaneous expenses quota</t>
  </si>
  <si>
    <t>Home maintenance quota</t>
  </si>
  <si>
    <t>Mamoo money for kids study.</t>
  </si>
  <si>
    <t>40 from Mamoo Naeem. Starting from Nov adding Mamoo Naeem 20. 10 dollar fees. Debt is 600 per month including 5 dollar for transfer fees.</t>
  </si>
  <si>
    <t>Monthly Mandatory Expenses</t>
  </si>
  <si>
    <t xml:space="preserve">After home purchase expenses for a month are = 6035.16 (see next row)
Before home purchase Expenses for a month were -&gt; 3738.38 = 3740
Before Mekael School fees, they were -&gt; 3548.38 = 3550
Before Debt Adjustment of 150, they were -&gt; 3398.38 = 3400 </t>
  </si>
  <si>
    <t>(Add new row in the middle to add more expenses. Grey rows are informative)</t>
  </si>
  <si>
    <t>Consider this as expected total mandatory expenses per month from now on as this budget closing was done right at the month closing date which is 15th of the month. So no mandatory expenses were already deducted for that month. To find the exact amount, debt and chanda carried over so far is removed and then added chanda and debt per month amounts.</t>
  </si>
  <si>
    <t>20 of it is already planned to be used for hair cut in optional non-regular expenses section.</t>
  </si>
  <si>
    <t>Planned Bank Balance (removing saliha and kids balance due and invstmts)</t>
  </si>
  <si>
    <t>Planned Bank Balance (removing saliha and kids balance due and invstmts) using max coverage by UIC extra loan for coverable expenses</t>
  </si>
  <si>
    <t>Estimated Bank Balance (removing saliha and kids balance due and invstmts) at year end.</t>
  </si>
  <si>
    <t>Estimated Bank Balance (removing saliha and kids balance due and invstmts) at year end using max coverage by UIC extra loan for coverable expenses</t>
  </si>
  <si>
    <t>Bank Balance (removing saliha and kids balance due and invstmts)</t>
  </si>
  <si>
    <t>Bank Balance (removing saliha and kids balance due and invstmts) using max coverage by UIC extra loan for coverable expenses</t>
  </si>
  <si>
    <t>There will be tax credit for Home owner but not adding here yet</t>
  </si>
  <si>
    <t>Home Reno Invstmnt</t>
  </si>
  <si>
    <t>Total with max coverage allowed including UIC expenses</t>
  </si>
  <si>
    <t>Overflow Categories</t>
  </si>
  <si>
    <t>Total Overflow</t>
  </si>
  <si>
    <t>Total expenses covered by UIC extra loan plus total overflow</t>
  </si>
  <si>
    <t>Total expenses covered by UIC extra loan + total overflow with no plan of recovery</t>
  </si>
  <si>
    <t>Total Overflow With No plan for coverage (see comments, can vs will)</t>
  </si>
  <si>
    <t>Awais expenses using after last budget value</t>
  </si>
  <si>
    <t>Entertainment using after last budget value</t>
  </si>
  <si>
    <t>Home Maintenance using total value</t>
  </si>
  <si>
    <t>Reg Misc using after last budget value</t>
  </si>
  <si>
    <t>Gas using after last budget value</t>
  </si>
  <si>
    <t>250 is the allowed expense per month. This is planned to be covered by only expensing 150 per month for 4 months. 4*100 = 400.  Only using after last budget value as last budget was closed on this cagtegory.</t>
  </si>
  <si>
    <t>150 is the allowed expense per month. This is planned to be covered by only expensing 25 per month for 24 months from Sep 15th 2017 till Aug 15th 2019 = 24*125 = 3000. Using total value since moving to Chicago as this was how furniture buying was planned.</t>
  </si>
  <si>
    <t>Overflow Categories (For Evaluation purpose, not in final numbers)</t>
  </si>
  <si>
    <t>This should be 155000</t>
  </si>
  <si>
    <t>Not in final numbers. Just to make sure it stays under UIC extra loan max coverage.</t>
  </si>
  <si>
    <t>Estimated Savings at year end excluding Saliha and Kids balance due</t>
  </si>
  <si>
    <t>Estimated Savings at year end using max coverage by UIC extra loan excluding Saliha and Kids balance due</t>
  </si>
  <si>
    <t>In ideal case this should be 155000</t>
  </si>
  <si>
    <t>Medical out of pocket (Dental,medical,parking,pharmacy)</t>
  </si>
  <si>
    <t>Monthly Budget Planning (September) - Not Done</t>
  </si>
  <si>
    <t>Monthly Budget Closing (August) - Paritally done</t>
  </si>
  <si>
    <t>Can be planned to recover by not spending more than 50 for two years. 50*24 = 1200. Only using after last budget value as last budget was closed on this cagtegory. After Last Budget value means that before last budget if this category did well and was negative then that negative value is not added here but instead addition start from 0 from that point onwards</t>
  </si>
  <si>
    <t>Not all Paid yet.</t>
  </si>
  <si>
    <t>42611 from last budget + 9469</t>
  </si>
  <si>
    <t>American Express/City (Costco) CC</t>
  </si>
  <si>
    <r>
      <t>Monthly Budget Closing (September) -</t>
    </r>
    <r>
      <rPr>
        <b/>
        <sz val="10"/>
        <color indexed="10"/>
        <rFont val="Arial"/>
        <family val="2"/>
      </rPr>
      <t xml:space="preserve"> Closing in advance, not ideal - Paritally done</t>
    </r>
  </si>
  <si>
    <t>Monthly Budget Planning (October) - Not Done</t>
  </si>
  <si>
    <t>Grocery</t>
  </si>
  <si>
    <t>Monthly Grocery (Walmart, Costco)</t>
  </si>
  <si>
    <t>Monthly Indian/Meat</t>
  </si>
  <si>
    <t>Weekly Grocery (Walmart, Costco) (100*4)</t>
  </si>
  <si>
    <t>Awais Supplements</t>
  </si>
  <si>
    <t>Saliha</t>
  </si>
  <si>
    <t>Kids</t>
  </si>
  <si>
    <t>Awais</t>
  </si>
  <si>
    <t>Home Maint</t>
  </si>
  <si>
    <t>Reg Misc</t>
  </si>
  <si>
    <t>Bills</t>
  </si>
  <si>
    <t>Bucket Expenses</t>
  </si>
  <si>
    <t>Electric</t>
  </si>
  <si>
    <t>My Monthly Salary</t>
  </si>
  <si>
    <t>Estimated Monthly Savings</t>
  </si>
  <si>
    <t>Calculations done on 09/04/17 at 3:45AM</t>
  </si>
  <si>
    <t>183.59 was the last bill</t>
  </si>
  <si>
    <t>Mortgage</t>
  </si>
  <si>
    <t>100 Remaining for 09/15/17</t>
  </si>
  <si>
    <t>200 remaining for 09/15/17 for two weeks.</t>
  </si>
  <si>
    <r>
      <t xml:space="preserve">80.29 was the last bill, </t>
    </r>
    <r>
      <rPr>
        <sz val="10"/>
        <color indexed="15"/>
        <rFont val="Arial"/>
        <family val="2"/>
      </rPr>
      <t>Not done yet for this 09/15/17</t>
    </r>
  </si>
  <si>
    <t>Car Insurance</t>
  </si>
  <si>
    <t>Home Warranty</t>
  </si>
  <si>
    <t>Xfinity (Cable + Internet)</t>
  </si>
  <si>
    <t>Sprint</t>
  </si>
  <si>
    <t>Home Association Fees</t>
  </si>
  <si>
    <t>Not taken yet for 09/15/17</t>
  </si>
  <si>
    <t>40 Remaining for 09/15/17</t>
  </si>
  <si>
    <t>Taken around 19th of a month.</t>
  </si>
  <si>
    <t>ID protection</t>
  </si>
  <si>
    <t>Home Mortgage</t>
  </si>
  <si>
    <t>Car Sticker 100. Hair cut 25 for me, 15 for Mekael</t>
  </si>
  <si>
    <t>Car Sticker 100. Hair cut 25 for me, 15 for Mekael. 140 remaining for 09/15/17</t>
  </si>
  <si>
    <t>Kids School Fees</t>
  </si>
  <si>
    <t>Major Expenses so far 8824.98. Consider 10,000 for 24 months</t>
  </si>
  <si>
    <t>Kids Fees (After Care) 500 + 50 per month misc school expenses</t>
  </si>
  <si>
    <t>Medical Out of pocket. Consider 1200 per year. 2400 for two years</t>
  </si>
  <si>
    <t>Covered by UIC loan categories</t>
  </si>
  <si>
    <t>Awais Expenses 1200 per year</t>
  </si>
  <si>
    <t>Home Maint, Reg Misc</t>
  </si>
  <si>
    <t>Future Services/Bills/Kids programs</t>
  </si>
  <si>
    <t>Mekael/Dania School training. 40 per head</t>
  </si>
  <si>
    <t>Cleaning</t>
  </si>
  <si>
    <t>Home Security</t>
  </si>
  <si>
    <t>Expected Yearly tax return of 180000 and bonus of 2000 after tax. Plus additional 2100 for after care tax credit.</t>
  </si>
  <si>
    <t>Income from tax return 22100/12 =</t>
  </si>
  <si>
    <t>Yearly Monthly Savings</t>
  </si>
  <si>
    <t>10,000 I take from UIC. Plus there was no 500 per month charge for after care. Plus no overflow and future services. I got around 20,000 savings last year.</t>
  </si>
  <si>
    <t>Bank Balance (removing saliha and kids balance due etc and invstmts)</t>
  </si>
  <si>
    <t>Bank Balance (removing saliha and kids balance due etc and invstmts) using max coverage by UIC extra loan for coverable expenses</t>
  </si>
  <si>
    <t>Estimated Bank Balance (removing saliha and kids balance due etc and invstmts) at year end.</t>
  </si>
  <si>
    <t>Estimated Bank Balance (removing saliha and kids balance due etc and invstmts) at year end using max coverage by UIC extra loan for coverable expenses</t>
  </si>
  <si>
    <t>Water</t>
  </si>
  <si>
    <t>Was 110, but 100 spent by me on Casino.</t>
  </si>
  <si>
    <t>Water Bill</t>
  </si>
  <si>
    <t>75 remaining for 09/15/17</t>
  </si>
  <si>
    <t>May get around 2100 tax credit for after care. Actualy 960 tax credit. Check Tax return guides.  Plus 1100 for two months vacations. So Kids Fees could be 353.3. Consider 480 kids fees + 40 for misc (around 400 fo 10 months). So Kids fees could be 350. So at this end this could be total 1000, which is like 850 per month.</t>
  </si>
  <si>
    <r>
      <t>Monthly Budget Closing (January) -</t>
    </r>
    <r>
      <rPr>
        <b/>
        <sz val="10"/>
        <color indexed="10"/>
        <rFont val="Arial"/>
        <family val="2"/>
      </rPr>
      <t xml:space="preserve"> Year Closing - 2017</t>
    </r>
  </si>
  <si>
    <t>Next Month Expenses</t>
  </si>
  <si>
    <t>**TODO</t>
  </si>
  <si>
    <t>Including till 01/30 records</t>
  </si>
  <si>
    <t>52080 from last budget + 570 + 10,039</t>
  </si>
  <si>
    <t>Comments (Whole section **TODO)</t>
  </si>
  <si>
    <t>100 Canadian US Dollars.</t>
  </si>
  <si>
    <t>Bank Balance (removing saliha and kids balance due etc and invstmts) using all UIC loan extra payments.</t>
  </si>
  <si>
    <t>Bank Balance (removing saliha and kids balance due etc and invstmts) using all UIC loan extra payments + Expenses not happened so far.</t>
  </si>
  <si>
    <t>Max UIC coverage Bank Balance (removing saliha and kids balance due etc and invstmts) using max coverage by UIC extra loan for coverable expenses</t>
  </si>
  <si>
    <t>Max UIC coverage Estimated Bank Balance (removing saliha and kids balance due etc and invstmts) at year end using max coverage by UIC extra loan for coverable expenses</t>
  </si>
  <si>
    <t>Estimated Bank Balance (removing saliha and kids balance due etc and invstmts) using all UIC loan extra payments.</t>
  </si>
  <si>
    <t>Estimated Bank Balance (removing saliha and kids balance due etc and invstmts) using all UIC loan extra payments + Expenses not happened so far.</t>
  </si>
  <si>
    <t>Bank Balance (removing saliha and kids balance due etc and invstmts) using all UIC loan extra payments + Expenses not happened so far which can be withheld.</t>
  </si>
  <si>
    <t>Estimated Bank Balance (removing saliha and kids balance due etc and invstmts) using all UIC loan extra payments + Expenses not happened so far which can be withheld.</t>
  </si>
  <si>
    <t>Payments not paid yet.</t>
  </si>
  <si>
    <t>Only bills or next month grocery are considered. As other categories have month ranges. 
Only credit card done till 01/30 (should it be till 02/06 when bank info is added)</t>
  </si>
  <si>
    <t>Total expenses covered by UIC extra loan + total overflow without no plan of recovery</t>
  </si>
  <si>
    <t>Home Renno Invst</t>
  </si>
  <si>
    <t>It is accounted for in the savings. Don’t add in non-applicable debits.</t>
  </si>
  <si>
    <t>Current Bank Balance for future Calcs</t>
  </si>
  <si>
    <t>Current Bank Balance</t>
  </si>
  <si>
    <r>
      <t>Monthly Budget Closing (January) -</t>
    </r>
    <r>
      <rPr>
        <b/>
        <sz val="10"/>
        <color indexed="10"/>
        <rFont val="Arial"/>
        <family val="2"/>
      </rPr>
      <t xml:space="preserve"> Year Closing - 2018</t>
    </r>
  </si>
  <si>
    <t>24.35 (CC next month trans, 65.98 pending charges (55.99 home shield, 9.99uber) not included) + 19.98 (from Chase 2148) + 28.14 (from 6062)</t>
  </si>
  <si>
    <t>Check from Gas/Elect supplier.</t>
  </si>
  <si>
    <t>Selly Accounts</t>
  </si>
  <si>
    <t xml:space="preserve">Bus Account </t>
  </si>
  <si>
    <t xml:space="preserve"> Checking 1229</t>
  </si>
  <si>
    <t>Personal</t>
  </si>
  <si>
    <t>Upcoming Expenses</t>
  </si>
  <si>
    <t>USB 401K</t>
  </si>
  <si>
    <t>Taking Feb-18 value (Need to be updated for this worksheet)</t>
  </si>
  <si>
    <t>Minus upcoming expenses from this amount = 4,400 (1000 State tax and 3400 Federal Tax) +1200 (Tax return lawyer fees) + 2200 (Feb loan)</t>
  </si>
  <si>
    <t>Estimated savings at year end using all UIC extra loan</t>
  </si>
  <si>
    <t>Income using all UIC extra loan</t>
  </si>
  <si>
    <t>Savings using all UIC extra loan</t>
  </si>
  <si>
    <t>Estimated Max UIC coverage Bank Balance (removing saliha and kids balance due etc and invstmts) at year end using max coverage by UIC extra loan for coverable expenses</t>
  </si>
  <si>
    <t>Esimated Savings at year end using all UIC extra loan excluding Saliha and Kids balance due</t>
  </si>
  <si>
    <t xml:space="preserve">Esimated Savings at year end using all UIC extra loan including Saliha savings, excluding Saliha and Kids balance due </t>
  </si>
  <si>
    <t>Saliha Chase</t>
  </si>
  <si>
    <t>Saliha Business</t>
  </si>
  <si>
    <t>Approx</t>
  </si>
  <si>
    <t>05/18/19 6:43PM</t>
  </si>
  <si>
    <t>Using the previous value</t>
  </si>
  <si>
    <t>Saliha's upcoming tax not taken</t>
  </si>
  <si>
    <t>Babysitter remaining charges for May</t>
  </si>
  <si>
    <t>Added 4,400 which Saliha will pay Awais, also added 2200 Feb loan since it should not be in last year closing(See note on row 410)</t>
  </si>
  <si>
    <t xml:space="preserve">Pakistan Trip </t>
  </si>
  <si>
    <t>Calculations done on 05/18/19 at 7:14PM</t>
  </si>
  <si>
    <t>Saliha is covering thru bus exp.</t>
  </si>
  <si>
    <t>Not taking, catching up on future amount taken.</t>
  </si>
  <si>
    <t>Its 250 now.</t>
  </si>
  <si>
    <t>Paid uptill June. Being considered Annually.</t>
  </si>
  <si>
    <t>Taking out Chanda.</t>
  </si>
  <si>
    <t>HI Gas</t>
  </si>
  <si>
    <t>Hi Electric</t>
  </si>
  <si>
    <t>HI Mortgage</t>
  </si>
  <si>
    <t>HI Water</t>
  </si>
  <si>
    <t>HI ADT Security</t>
  </si>
  <si>
    <t>My phone</t>
  </si>
  <si>
    <t>Plus 1000 from Saliha</t>
  </si>
  <si>
    <t>Saliha Expenses</t>
  </si>
  <si>
    <t>Monthly Loan Inst</t>
  </si>
  <si>
    <t>Babysitter Charges</t>
  </si>
  <si>
    <t>Taxes</t>
  </si>
  <si>
    <t>Could be more, she is earning more. This tax is according to 120,000 pay.</t>
  </si>
  <si>
    <t>Bus Exp</t>
  </si>
  <si>
    <t>To Family</t>
  </si>
  <si>
    <t>To Herself</t>
  </si>
  <si>
    <t>Saliha earns from now on using 600 min basic and 500 for Sat</t>
  </si>
  <si>
    <t>Total Expenses</t>
  </si>
  <si>
    <t xml:space="preserve">Saliha Remaining year end savings </t>
  </si>
  <si>
    <t>Tax will be more with more pay, however she may earn more too.</t>
  </si>
  <si>
    <t>Awais Remaining year end savings</t>
  </si>
  <si>
    <t>Awais Expected Chanda</t>
  </si>
  <si>
    <t>Last year savings</t>
  </si>
  <si>
    <t>Saliha savings till 05/15/19</t>
  </si>
  <si>
    <t>My savings till 05/15/19</t>
  </si>
  <si>
    <t>HI Cont 10,000</t>
  </si>
  <si>
    <t xml:space="preserve">she earned around 26000, her total monthly expenses are 9380*4 = 37520. But she didn't paid 3 months taxes 3*3300 = 9900, but paid about 500 extra for quarterly taxes like Unemployment tax. </t>
  </si>
  <si>
    <t>However I paid about 400 extra for Saliha's ring for about 2 months.</t>
  </si>
  <si>
    <t>Current State Savings Should have been</t>
  </si>
  <si>
    <t>Savings from Babysitter Vacations</t>
  </si>
  <si>
    <t>4*1680 - 1800 for tickets - 504 for extra babysitting in July due to kids - 120 for extra babysitting in June</t>
  </si>
  <si>
    <t xml:space="preserve">Savings by Year End </t>
  </si>
  <si>
    <t>However dont apply row 17 and row 18, consider May 15th closing</t>
  </si>
  <si>
    <t>Tax Return after chanda</t>
  </si>
  <si>
    <t>Previous Numbers</t>
  </si>
  <si>
    <t>Bonus After Chanda</t>
  </si>
  <si>
    <t>LTI Incentive after Chanda</t>
  </si>
  <si>
    <t>Savings by Year End Target Incld bonus, tax return etc.</t>
  </si>
  <si>
    <t>Incld 10,000 for HI which should have been abstracted.</t>
  </si>
  <si>
    <t>Savings by Year End Target Incld bonus, tax return etc. Inc 10k of HI</t>
  </si>
  <si>
    <t>Normally is</t>
  </si>
  <si>
    <t>Carried Over</t>
  </si>
  <si>
    <t>Spent So Far</t>
  </si>
  <si>
    <t>Major Expenses</t>
  </si>
  <si>
    <t>Monthly spent so far</t>
  </si>
  <si>
    <t>Monthly Basis on Left 2 Columns</t>
  </si>
  <si>
    <t>Removing that is paid yearly or paid extra</t>
  </si>
  <si>
    <t>Not taking into account how much Saliha &amp; Kids are paid extra and Pakistan visit. About 11500 taken for the visit (Please confirm)</t>
  </si>
  <si>
    <t>Saliha earns from now on using 600 min basic and 300 for Sat</t>
  </si>
  <si>
    <t>Calculations done on 09/19/19 at 11:28PM, 10/24</t>
  </si>
  <si>
    <t>Sling</t>
  </si>
  <si>
    <t>Awais Office travelling</t>
  </si>
  <si>
    <t>Awais Office Chicago</t>
  </si>
  <si>
    <t>Awais Black Friday</t>
  </si>
  <si>
    <t>Other expenses (yearly etc.)</t>
  </si>
  <si>
    <t>HS Invst out of pocket expenses</t>
  </si>
  <si>
    <t>Hs Invst allocated budget spent from my account</t>
  </si>
  <si>
    <t>Hs Invst GC allocated budget spent from my account</t>
  </si>
  <si>
    <t>400 Drawing Changes+700 garbage disp + 400 Permit reinsatement/changes.</t>
  </si>
  <si>
    <t>Bob 4000, 700+128.30 Plbg Mat</t>
  </si>
  <si>
    <t>25,25,15(parking), 35 (HomeDepot Measurements)</t>
  </si>
  <si>
    <t>HS Invst Total from my accounts</t>
  </si>
  <si>
    <t>Visit to Pakistan 13,500. Taking out Debt/month</t>
  </si>
  <si>
    <t>Wasiyyat 10,500. Taking out Chanda/month.</t>
  </si>
  <si>
    <t>One month given less by Saliha</t>
  </si>
  <si>
    <t>Monthly Loss to year (1040.56 -150(not paying to Saliha))</t>
  </si>
  <si>
    <t xml:space="preserve">Total= </t>
  </si>
  <si>
    <t>Tax Return</t>
  </si>
  <si>
    <t>For Hinvst</t>
  </si>
  <si>
    <t>Chase had start of year (Amount counted on 1/20/2019 at 4:12)</t>
  </si>
  <si>
    <t>Total In Chase by 01/15/20 (Amount counted on 12/20/19 at 2:18)</t>
  </si>
  <si>
    <t>Will be taken out for Home Depot Card Payment</t>
  </si>
  <si>
    <t>Loss for Month not happened yet (look at line 72)</t>
  </si>
  <si>
    <t>Total=</t>
  </si>
  <si>
    <t>Yearly Income</t>
  </si>
  <si>
    <t>Yearly earning/expense Total=</t>
  </si>
  <si>
    <t>To be Transfered from HSA</t>
  </si>
  <si>
    <t>Total closing=</t>
  </si>
  <si>
    <t>2020 could have a potential to save 20,000. Provided house sells, Saliha does not miss on payment and spend only 2500 to Pakistan visit.</t>
  </si>
  <si>
    <t>Total remaining in chase on Closing - Total saved for year</t>
  </si>
  <si>
    <t>Diff between year end closing and year start closing=</t>
  </si>
  <si>
    <t>Where did this money go. This is like 250/month.</t>
  </si>
  <si>
    <t>Monthly Zaria</t>
  </si>
  <si>
    <t>Minneapolis (278).</t>
  </si>
  <si>
    <t>Paid uptill June 2020. Being considered Annually.</t>
  </si>
  <si>
    <t>Calculations done on 01/20/20 at 11:30PM</t>
  </si>
  <si>
    <t>Babysitter Charges/Car pikcup for kids</t>
  </si>
  <si>
    <t>300 for Uber</t>
  </si>
  <si>
    <t>Saliha earns from now on using 600 min basic and 300 for Sat + Good Production.</t>
  </si>
  <si>
    <t>Yearly Savings=</t>
  </si>
  <si>
    <t>Savings with Parents (taking out 2400 for flight)</t>
  </si>
  <si>
    <t>Yearly Savings</t>
  </si>
  <si>
    <t>Monthly Loss to year (850.39 -150(not paying to Saliha))</t>
  </si>
  <si>
    <t>Use Awais Expenses of 100/month.</t>
  </si>
  <si>
    <t>Awais Black Friday (-100/month Awais Expenses)</t>
  </si>
  <si>
    <t>HS Invst</t>
  </si>
  <si>
    <t>400 Drawing Changes+700 garbage disp(God Like) + 400 Permit reinsatement/changes. 640 citation fines (CC payment not taken yet), 265 Lewis Garbage Disposal</t>
  </si>
  <si>
    <t>Bob 4000, 700mat Bob+128.30 Plbg Mat, 2650 Darren, 100 Mat Lamant (Credit Card Payment not taken yet), 400 Concrete guy, 500 Ron, 1700 Cast Iron (Credit Card Payment not taken yet)</t>
  </si>
  <si>
    <t>Deposit</t>
  </si>
  <si>
    <t>Expenses</t>
  </si>
  <si>
    <t>Diff Total</t>
  </si>
  <si>
    <t>HS Invst ExpTotal from my accounts</t>
  </si>
  <si>
    <t>HS Invs Diff</t>
  </si>
  <si>
    <t>Not Used Awais Expenses of 100/month.</t>
  </si>
  <si>
    <r>
      <t xml:space="preserve">Where did this money go. This is like 250/month. 150/month however is spent as (100 extra for beautiful daughter Zaria+50 on Indian Grocery). 
</t>
    </r>
    <r>
      <rPr>
        <sz val="10"/>
        <color rgb="FFFF0000"/>
        <rFont val="Arial"/>
        <family val="2"/>
      </rPr>
      <t>However another 1200 is unaccounted for as 100/month is for Awais but his expenses are counted in other categories and this money is not properly accounted for.</t>
    </r>
    <r>
      <rPr>
        <sz val="10"/>
        <rFont val="Arial"/>
        <family val="2"/>
      </rPr>
      <t xml:space="preserve"> See C73</t>
    </r>
  </si>
  <si>
    <t>150WFelix+60DaniaBday+40CitizenshipLunch</t>
  </si>
  <si>
    <t>Milwauke-250, MSP 270(10/24, two weeks back), MSP430(10/24), 12/5/19 entry. $950 (2019) Removed- 260 trip + 20 Kids toys (Jan), 370(Feb)</t>
  </si>
  <si>
    <t>Car Sticker 100. Hair cut 25 for me, 15 for Mekael. 140 remaining for 09/15/17, Hair Cut (70-10/24 entry). 12/5/19 - $10 Fedex expenses, $60 - Mekael Hair cut. Removed (1133 for 2019). $70 Tabligh Dinner (Mashood bhai payment),95 hair cut begn of Feb (Mek/Aw).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</si>
</sst>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Arial"/>
    </font>
    <font>
      <sz val="8"/>
      <name val="Arial"/>
      <family val="2"/>
    </font>
    <font>
      <b/>
      <sz val="10"/>
      <name val="Arial"/>
      <family val="2"/>
    </font>
    <font>
      <sz val="10"/>
      <color indexed="42"/>
      <name val="Arial"/>
      <family val="2"/>
    </font>
    <font>
      <sz val="10"/>
      <name val="Arial"/>
      <family val="2"/>
    </font>
    <font>
      <sz val="10"/>
      <color indexed="10"/>
      <name val="Arial"/>
      <family val="2"/>
    </font>
    <font>
      <b/>
      <sz val="10"/>
      <color indexed="10"/>
      <name val="Arial"/>
      <family val="2"/>
    </font>
    <font>
      <sz val="10"/>
      <color indexed="22"/>
      <name val="Arial"/>
      <family val="2"/>
    </font>
    <font>
      <sz val="10"/>
      <color indexed="15"/>
      <name val="Arial"/>
      <family val="2"/>
    </font>
    <font>
      <sz val="10"/>
      <name val="Arial"/>
      <family val="2"/>
    </font>
    <font>
      <sz val="10"/>
      <color rgb="FFFF0000"/>
      <name val="Arial"/>
      <family val="2"/>
    </font>
    <font>
      <b/>
      <sz val="10"/>
      <color rgb="FFFF0000"/>
      <name val="Arial"/>
      <family val="2"/>
    </font>
    <font>
      <sz val="10"/>
      <color theme="8"/>
      <name val="Arial"/>
      <family val="2"/>
    </font>
    <font>
      <b/>
      <sz val="10"/>
      <color rgb="FF0070C0"/>
      <name val="Arial"/>
      <family val="2"/>
    </font>
    <font>
      <sz val="10"/>
      <color rgb="FF00B0F0"/>
      <name val="Arial"/>
      <family val="2"/>
    </font>
    <font>
      <sz val="10"/>
      <color rgb="FF0070C0"/>
      <name val="Arial"/>
      <family val="2"/>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8"/>
        <bgColor indexed="64"/>
      </patternFill>
    </fill>
    <fill>
      <patternFill patternType="solid">
        <fgColor theme="7"/>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71">
    <xf numFmtId="0" fontId="0" fillId="0" borderId="0" xfId="0"/>
    <xf numFmtId="0" fontId="3" fillId="0" borderId="0" xfId="0" applyFont="1"/>
    <xf numFmtId="0" fontId="4" fillId="0" borderId="0" xfId="0" applyFont="1"/>
    <xf numFmtId="0" fontId="3" fillId="2" borderId="1" xfId="0" applyFont="1" applyFill="1" applyBorder="1"/>
    <xf numFmtId="0" fontId="0" fillId="2" borderId="1" xfId="0" applyFill="1" applyBorder="1"/>
    <xf numFmtId="0" fontId="3" fillId="0" borderId="1" xfId="0" applyFont="1" applyBorder="1"/>
    <xf numFmtId="0" fontId="5" fillId="0" borderId="1" xfId="0" applyFont="1" applyBorder="1" applyAlignment="1"/>
    <xf numFmtId="0" fontId="0" fillId="0" borderId="1" xfId="0" applyBorder="1"/>
    <xf numFmtId="0" fontId="3" fillId="0" borderId="1" xfId="0" applyFont="1" applyBorder="1" applyAlignment="1">
      <alignment horizontal="center"/>
    </xf>
    <xf numFmtId="0" fontId="1" fillId="3" borderId="1" xfId="0" applyFont="1" applyFill="1" applyBorder="1"/>
    <xf numFmtId="0" fontId="3" fillId="0" borderId="1" xfId="0" applyFont="1" applyBorder="1" applyAlignment="1">
      <alignment horizontal="right"/>
    </xf>
    <xf numFmtId="0" fontId="3" fillId="0" borderId="1" xfId="0" applyFont="1" applyBorder="1" applyAlignment="1">
      <alignment horizontal="left"/>
    </xf>
    <xf numFmtId="14" fontId="5" fillId="0" borderId="1" xfId="0" applyNumberFormat="1" applyFont="1" applyBorder="1" applyAlignment="1"/>
    <xf numFmtId="20" fontId="5" fillId="0" borderId="1" xfId="0" applyNumberFormat="1" applyFont="1" applyBorder="1" applyAlignment="1"/>
    <xf numFmtId="0" fontId="0" fillId="0" borderId="1" xfId="0" applyBorder="1" applyAlignment="1">
      <alignment wrapText="1"/>
    </xf>
    <xf numFmtId="4" fontId="1" fillId="3" borderId="1" xfId="0" applyNumberFormat="1" applyFont="1" applyFill="1" applyBorder="1"/>
    <xf numFmtId="0" fontId="0" fillId="0" borderId="0" xfId="0" applyAlignment="1">
      <alignment wrapText="1"/>
    </xf>
    <xf numFmtId="0" fontId="1" fillId="3" borderId="1" xfId="0" applyFont="1" applyFill="1" applyBorder="1" applyAlignment="1">
      <alignment wrapText="1"/>
    </xf>
    <xf numFmtId="0" fontId="3" fillId="0" borderId="1" xfId="0" applyFont="1" applyBorder="1" applyAlignment="1">
      <alignment wrapText="1"/>
    </xf>
    <xf numFmtId="0" fontId="0" fillId="3" borderId="1" xfId="0" applyFont="1" applyFill="1" applyBorder="1"/>
    <xf numFmtId="0" fontId="0" fillId="3" borderId="1" xfId="0" applyFont="1" applyFill="1" applyBorder="1" applyAlignment="1">
      <alignment wrapText="1"/>
    </xf>
    <xf numFmtId="0" fontId="5" fillId="0" borderId="1" xfId="0" applyFont="1" applyBorder="1" applyAlignment="1">
      <alignment wrapText="1"/>
    </xf>
    <xf numFmtId="0" fontId="11" fillId="0" borderId="1" xfId="0" applyFont="1" applyBorder="1" applyAlignment="1">
      <alignment wrapText="1"/>
    </xf>
    <xf numFmtId="0" fontId="5" fillId="3" borderId="1" xfId="0" applyFont="1" applyFill="1" applyBorder="1" applyAlignment="1">
      <alignment wrapText="1"/>
    </xf>
    <xf numFmtId="0" fontId="12" fillId="0" borderId="1" xfId="0" applyFont="1" applyBorder="1" applyAlignment="1">
      <alignment wrapText="1"/>
    </xf>
    <xf numFmtId="0" fontId="11" fillId="3" borderId="1" xfId="0" applyFont="1" applyFill="1" applyBorder="1"/>
    <xf numFmtId="0" fontId="11" fillId="3" borderId="1" xfId="0" applyFont="1" applyFill="1" applyBorder="1" applyAlignment="1">
      <alignment wrapText="1"/>
    </xf>
    <xf numFmtId="0" fontId="5" fillId="0" borderId="0" xfId="0" applyFont="1"/>
    <xf numFmtId="0" fontId="5" fillId="3" borderId="1" xfId="0" applyFont="1" applyFill="1" applyBorder="1"/>
    <xf numFmtId="0" fontId="5" fillId="0" borderId="1" xfId="0" applyFont="1" applyBorder="1"/>
    <xf numFmtId="0" fontId="0" fillId="4" borderId="1" xfId="0" applyFill="1" applyBorder="1"/>
    <xf numFmtId="0" fontId="3" fillId="4" borderId="1" xfId="0" applyFont="1" applyFill="1" applyBorder="1" applyAlignment="1">
      <alignment horizontal="right"/>
    </xf>
    <xf numFmtId="0" fontId="3" fillId="4" borderId="1" xfId="0" applyFont="1" applyFill="1" applyBorder="1"/>
    <xf numFmtId="0" fontId="5" fillId="4" borderId="1" xfId="0" applyFont="1" applyFill="1" applyBorder="1" applyAlignment="1">
      <alignment wrapText="1"/>
    </xf>
    <xf numFmtId="0" fontId="3" fillId="4" borderId="1" xfId="0" applyFont="1" applyFill="1" applyBorder="1" applyAlignment="1">
      <alignment wrapText="1"/>
    </xf>
    <xf numFmtId="4" fontId="0" fillId="0" borderId="1" xfId="0" applyNumberFormat="1" applyBorder="1"/>
    <xf numFmtId="0" fontId="0" fillId="0" borderId="0" xfId="0" applyFont="1"/>
    <xf numFmtId="0" fontId="13" fillId="4" borderId="1" xfId="0" applyFont="1" applyFill="1" applyBorder="1" applyAlignment="1">
      <alignment wrapText="1"/>
    </xf>
    <xf numFmtId="0" fontId="0" fillId="5" borderId="1" xfId="0" applyFill="1" applyBorder="1"/>
    <xf numFmtId="14" fontId="0" fillId="0" borderId="1" xfId="0" applyNumberFormat="1" applyBorder="1"/>
    <xf numFmtId="20" fontId="0" fillId="0" borderId="2" xfId="0" applyNumberFormat="1" applyBorder="1"/>
    <xf numFmtId="0" fontId="0" fillId="6" borderId="0" xfId="0" applyFill="1"/>
    <xf numFmtId="0" fontId="0" fillId="0" borderId="0" xfId="0" applyFill="1"/>
    <xf numFmtId="0" fontId="14" fillId="0" borderId="0" xfId="0" applyFont="1"/>
    <xf numFmtId="0" fontId="15" fillId="0" borderId="0" xfId="0" applyFont="1"/>
    <xf numFmtId="0" fontId="0" fillId="5" borderId="0" xfId="0" applyFill="1"/>
    <xf numFmtId="0" fontId="0" fillId="6" borderId="0" xfId="0" applyFont="1" applyFill="1"/>
    <xf numFmtId="0" fontId="10" fillId="3" borderId="1" xfId="0" applyFont="1" applyFill="1" applyBorder="1"/>
    <xf numFmtId="0" fontId="10" fillId="3" borderId="1" xfId="0" applyFont="1" applyFill="1" applyBorder="1" applyAlignment="1">
      <alignment wrapText="1"/>
    </xf>
    <xf numFmtId="0" fontId="10" fillId="4" borderId="1" xfId="0" applyFont="1" applyFill="1" applyBorder="1" applyAlignment="1">
      <alignment wrapText="1"/>
    </xf>
    <xf numFmtId="0" fontId="11" fillId="0" borderId="1" xfId="0" applyFont="1" applyBorder="1"/>
    <xf numFmtId="0" fontId="5" fillId="0" borderId="0" xfId="0" applyFont="1" applyAlignment="1">
      <alignment wrapText="1"/>
    </xf>
    <xf numFmtId="4" fontId="0" fillId="5" borderId="1" xfId="0" applyNumberFormat="1" applyFill="1" applyBorder="1"/>
    <xf numFmtId="4" fontId="0" fillId="0" borderId="0" xfId="0" applyNumberFormat="1"/>
    <xf numFmtId="4" fontId="5" fillId="3" borderId="1" xfId="0" applyNumberFormat="1" applyFont="1" applyFill="1" applyBorder="1"/>
    <xf numFmtId="0" fontId="16" fillId="3" borderId="1" xfId="0" applyFont="1" applyFill="1" applyBorder="1"/>
    <xf numFmtId="0" fontId="5" fillId="3" borderId="0" xfId="0" applyFont="1" applyFill="1" applyBorder="1"/>
    <xf numFmtId="3" fontId="0" fillId="0" borderId="0" xfId="0" applyNumberFormat="1"/>
    <xf numFmtId="0" fontId="3" fillId="5" borderId="0" xfId="0" applyFont="1" applyFill="1"/>
    <xf numFmtId="0" fontId="11" fillId="0" borderId="0" xfId="0" applyFont="1"/>
    <xf numFmtId="4" fontId="0" fillId="5" borderId="0" xfId="0" applyNumberFormat="1" applyFill="1"/>
    <xf numFmtId="3" fontId="0" fillId="5" borderId="0" xfId="0" applyNumberFormat="1" applyFill="1"/>
    <xf numFmtId="0" fontId="5" fillId="5" borderId="0" xfId="0" applyFont="1" applyFill="1"/>
    <xf numFmtId="0" fontId="0" fillId="7" borderId="0" xfId="0" applyFill="1"/>
    <xf numFmtId="14" fontId="5" fillId="0" borderId="0" xfId="0" applyNumberFormat="1" applyFont="1"/>
    <xf numFmtId="0" fontId="0" fillId="8" borderId="0" xfId="0" applyFill="1"/>
    <xf numFmtId="0" fontId="0" fillId="0" borderId="0" xfId="0" applyAlignment="1"/>
    <xf numFmtId="0" fontId="0" fillId="0" borderId="3" xfId="0" applyBorder="1" applyAlignment="1"/>
    <xf numFmtId="0" fontId="5" fillId="2" borderId="1" xfId="0" applyFont="1" applyFill="1" applyBorder="1" applyAlignment="1"/>
    <xf numFmtId="0" fontId="0" fillId="0" borderId="0" xfId="0" applyBorder="1" applyAlignment="1"/>
    <xf numFmtId="0" fontId="5"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8"/>
  <sheetViews>
    <sheetView topLeftCell="A184" workbookViewId="0">
      <selection activeCell="B43" sqref="B43"/>
    </sheetView>
  </sheetViews>
  <sheetFormatPr defaultColWidth="8.81640625" defaultRowHeight="12.5" x14ac:dyDescent="0.25"/>
  <cols>
    <col min="1" max="1" width="56.08984375" bestFit="1" customWidth="1"/>
    <col min="2" max="2" width="17.453125" customWidth="1"/>
    <col min="3" max="3" width="70.08984375" bestFit="1" customWidth="1"/>
    <col min="4" max="4" width="3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row>
    <row r="20" spans="1:3" x14ac:dyDescent="0.25">
      <c r="A20" t="s">
        <v>9</v>
      </c>
    </row>
    <row r="21" spans="1:3" x14ac:dyDescent="0.25">
      <c r="A21" t="s">
        <v>28</v>
      </c>
    </row>
    <row r="22" spans="1:3" x14ac:dyDescent="0.25">
      <c r="A22" t="s">
        <v>32</v>
      </c>
      <c r="C22">
        <v>150</v>
      </c>
    </row>
    <row r="23" spans="1:3" x14ac:dyDescent="0.25">
      <c r="A23" t="s">
        <v>33</v>
      </c>
      <c r="C23">
        <v>50</v>
      </c>
    </row>
    <row r="24" spans="1:3" x14ac:dyDescent="0.25">
      <c r="A24" t="s">
        <v>34</v>
      </c>
      <c r="C24">
        <v>50</v>
      </c>
    </row>
    <row r="25" spans="1:3" x14ac:dyDescent="0.25">
      <c r="A25" t="s">
        <v>35</v>
      </c>
      <c r="C25">
        <v>50</v>
      </c>
    </row>
    <row r="26" spans="1:3" x14ac:dyDescent="0.25">
      <c r="A26" t="s">
        <v>39</v>
      </c>
      <c r="C26">
        <v>140</v>
      </c>
    </row>
    <row r="27" spans="1:3" x14ac:dyDescent="0.25">
      <c r="A27" t="s">
        <v>42</v>
      </c>
      <c r="C27">
        <v>50</v>
      </c>
    </row>
    <row r="28" spans="1:3" x14ac:dyDescent="0.25">
      <c r="A28" t="s">
        <v>49</v>
      </c>
    </row>
    <row r="30" spans="1:3" ht="13" x14ac:dyDescent="0.3">
      <c r="A30" s="1" t="s">
        <v>31</v>
      </c>
    </row>
    <row r="31" spans="1:3" x14ac:dyDescent="0.25">
      <c r="A31" t="s">
        <v>25</v>
      </c>
    </row>
    <row r="32" spans="1:3" x14ac:dyDescent="0.25">
      <c r="A32" t="s">
        <v>19</v>
      </c>
    </row>
    <row r="33" spans="1:1" x14ac:dyDescent="0.25">
      <c r="A33" t="s">
        <v>18</v>
      </c>
    </row>
    <row r="34" spans="1:1" x14ac:dyDescent="0.25">
      <c r="A34" t="s">
        <v>20</v>
      </c>
    </row>
    <row r="35" spans="1:1" x14ac:dyDescent="0.25">
      <c r="A35" t="s">
        <v>21</v>
      </c>
    </row>
    <row r="36" spans="1:1" x14ac:dyDescent="0.25">
      <c r="A36" t="s">
        <v>27</v>
      </c>
    </row>
    <row r="37" spans="1:1" x14ac:dyDescent="0.25">
      <c r="A37" t="s">
        <v>36</v>
      </c>
    </row>
    <row r="39" spans="1:1" ht="13" x14ac:dyDescent="0.3">
      <c r="A39" s="1" t="s">
        <v>82</v>
      </c>
    </row>
    <row r="40" spans="1:1" x14ac:dyDescent="0.25">
      <c r="A40" t="s">
        <v>40</v>
      </c>
    </row>
    <row r="41" spans="1:1" x14ac:dyDescent="0.25">
      <c r="A41" t="s">
        <v>41</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81</v>
      </c>
    </row>
    <row r="62" spans="1:1" x14ac:dyDescent="0.25">
      <c r="A62" t="s">
        <v>63</v>
      </c>
    </row>
    <row r="63" spans="1:1" x14ac:dyDescent="0.25">
      <c r="A63" t="s">
        <v>64</v>
      </c>
    </row>
    <row r="65" spans="1:1" ht="13" x14ac:dyDescent="0.3">
      <c r="A65" s="1" t="s">
        <v>85</v>
      </c>
    </row>
    <row r="66" spans="1:1" x14ac:dyDescent="0.25">
      <c r="A66" t="s">
        <v>23</v>
      </c>
    </row>
    <row r="67" spans="1:1" x14ac:dyDescent="0.25">
      <c r="A67" t="s">
        <v>24</v>
      </c>
    </row>
    <row r="68" spans="1:1" x14ac:dyDescent="0.25">
      <c r="A68" t="s">
        <v>29</v>
      </c>
    </row>
    <row r="69" spans="1:1" x14ac:dyDescent="0.25">
      <c r="A69" t="s">
        <v>104</v>
      </c>
    </row>
    <row r="70" spans="1:1" x14ac:dyDescent="0.25">
      <c r="A70" t="s">
        <v>30</v>
      </c>
    </row>
    <row r="72" spans="1:1" ht="13" x14ac:dyDescent="0.3">
      <c r="A72" s="1" t="s">
        <v>86</v>
      </c>
    </row>
    <row r="73" spans="1:1" x14ac:dyDescent="0.25">
      <c r="A73" t="s">
        <v>26</v>
      </c>
    </row>
    <row r="74" spans="1:1" x14ac:dyDescent="0.25">
      <c r="A74" t="s">
        <v>72</v>
      </c>
    </row>
    <row r="76" spans="1:1" ht="13" x14ac:dyDescent="0.3">
      <c r="A76" s="1" t="s">
        <v>75</v>
      </c>
    </row>
    <row r="77" spans="1:1" x14ac:dyDescent="0.25">
      <c r="A77" t="s">
        <v>74</v>
      </c>
    </row>
    <row r="78" spans="1:1" x14ac:dyDescent="0.25">
      <c r="A78" t="s">
        <v>83</v>
      </c>
    </row>
    <row r="80" spans="1:1" ht="13" x14ac:dyDescent="0.3">
      <c r="A80" s="1" t="s">
        <v>76</v>
      </c>
    </row>
    <row r="81" spans="1:5" x14ac:dyDescent="0.25">
      <c r="A81" t="s">
        <v>77</v>
      </c>
    </row>
    <row r="82" spans="1:5" x14ac:dyDescent="0.25">
      <c r="A82" t="s">
        <v>78</v>
      </c>
    </row>
    <row r="83" spans="1:5" x14ac:dyDescent="0.25">
      <c r="A83" t="s">
        <v>79</v>
      </c>
    </row>
    <row r="84" spans="1:5" x14ac:dyDescent="0.25">
      <c r="A84" t="s">
        <v>80</v>
      </c>
    </row>
    <row r="86" spans="1:5" ht="13" x14ac:dyDescent="0.3">
      <c r="A86" s="1" t="s">
        <v>89</v>
      </c>
    </row>
    <row r="87" spans="1:5" x14ac:dyDescent="0.25">
      <c r="A87" t="s">
        <v>90</v>
      </c>
    </row>
    <row r="88" spans="1:5" x14ac:dyDescent="0.25">
      <c r="A88" t="s">
        <v>91</v>
      </c>
    </row>
    <row r="89" spans="1:5" x14ac:dyDescent="0.25">
      <c r="A89" t="s">
        <v>92</v>
      </c>
    </row>
    <row r="90" spans="1:5" x14ac:dyDescent="0.25">
      <c r="A90" t="s">
        <v>93</v>
      </c>
    </row>
    <row r="92" spans="1:5" x14ac:dyDescent="0.25">
      <c r="A92" s="66"/>
      <c r="B92" s="66"/>
      <c r="C92" s="66"/>
      <c r="D92" s="66"/>
      <c r="E92" s="66"/>
    </row>
    <row r="93" spans="1:5" x14ac:dyDescent="0.25">
      <c r="A93" s="66"/>
      <c r="B93" s="66"/>
      <c r="C93" s="66"/>
      <c r="D93" s="66"/>
      <c r="E93" s="66"/>
    </row>
    <row r="94" spans="1:5" x14ac:dyDescent="0.25">
      <c r="A94" s="67"/>
      <c r="B94" s="67"/>
      <c r="C94" s="67"/>
      <c r="D94" s="67"/>
      <c r="E94" s="67"/>
    </row>
    <row r="95" spans="1:5" ht="13" x14ac:dyDescent="0.3">
      <c r="A95" s="3" t="s">
        <v>65</v>
      </c>
      <c r="B95" s="68" t="s">
        <v>71</v>
      </c>
      <c r="C95" s="68"/>
      <c r="D95" s="68"/>
      <c r="E95" s="4"/>
    </row>
    <row r="96" spans="1:5" ht="13" x14ac:dyDescent="0.3">
      <c r="A96" s="5" t="s">
        <v>95</v>
      </c>
      <c r="B96" s="6"/>
      <c r="C96" s="6"/>
      <c r="D96" s="6"/>
      <c r="E96" s="7"/>
    </row>
    <row r="97" spans="1:6" ht="13" x14ac:dyDescent="0.3">
      <c r="A97" s="5"/>
      <c r="B97" s="6"/>
      <c r="C97" s="6"/>
      <c r="D97" s="6"/>
      <c r="E97" s="7"/>
    </row>
    <row r="98" spans="1:6" ht="13" x14ac:dyDescent="0.3">
      <c r="A98" s="5" t="s">
        <v>84</v>
      </c>
      <c r="B98" s="6"/>
      <c r="C98" s="6"/>
      <c r="D98" s="6"/>
      <c r="E98" s="7"/>
    </row>
    <row r="99" spans="1:6" ht="13" x14ac:dyDescent="0.3">
      <c r="A99" s="8" t="s">
        <v>0</v>
      </c>
      <c r="B99" s="8" t="s">
        <v>66</v>
      </c>
      <c r="C99" s="5" t="s">
        <v>101</v>
      </c>
      <c r="D99" s="8" t="s">
        <v>67</v>
      </c>
      <c r="E99" s="7"/>
    </row>
    <row r="100" spans="1:6" x14ac:dyDescent="0.25">
      <c r="A100" s="9"/>
      <c r="B100" s="9"/>
      <c r="C100" s="9"/>
      <c r="D100" s="9"/>
      <c r="E100" s="9"/>
      <c r="F100" s="2"/>
    </row>
    <row r="101" spans="1:6" x14ac:dyDescent="0.25">
      <c r="A101" s="9"/>
      <c r="B101" s="9"/>
      <c r="C101" s="9"/>
      <c r="D101" s="9"/>
      <c r="E101" s="9"/>
      <c r="F101" s="2"/>
    </row>
    <row r="102" spans="1:6" ht="13" x14ac:dyDescent="0.3">
      <c r="A102" s="10" t="s">
        <v>70</v>
      </c>
      <c r="B102" s="7">
        <f>SUM(B100:B101)</f>
        <v>0</v>
      </c>
      <c r="C102" s="7"/>
      <c r="D102" s="7"/>
      <c r="E102" s="7"/>
    </row>
    <row r="103" spans="1:6" x14ac:dyDescent="0.25">
      <c r="A103" s="7"/>
      <c r="B103" s="7"/>
      <c r="C103" s="7"/>
      <c r="D103" s="7"/>
      <c r="E103" s="7"/>
    </row>
    <row r="104" spans="1:6" ht="13" x14ac:dyDescent="0.3">
      <c r="A104" s="8" t="s">
        <v>31</v>
      </c>
      <c r="B104" s="8" t="s">
        <v>66</v>
      </c>
      <c r="C104" s="5" t="s">
        <v>101</v>
      </c>
      <c r="D104" s="8" t="s">
        <v>67</v>
      </c>
      <c r="E104" s="7"/>
    </row>
    <row r="105" spans="1:6" x14ac:dyDescent="0.25">
      <c r="A105" s="9"/>
      <c r="B105" s="9"/>
      <c r="C105" s="9"/>
      <c r="D105" s="9"/>
      <c r="E105" s="9"/>
    </row>
    <row r="106" spans="1:6" x14ac:dyDescent="0.25">
      <c r="A106" s="9"/>
      <c r="B106" s="9"/>
      <c r="C106" s="9"/>
      <c r="D106" s="9"/>
      <c r="E106" s="9"/>
    </row>
    <row r="107" spans="1:6" ht="13" x14ac:dyDescent="0.3">
      <c r="A107" s="10" t="s">
        <v>70</v>
      </c>
      <c r="B107" s="7">
        <f>SUM(B105:B106)</f>
        <v>0</v>
      </c>
      <c r="C107" s="7"/>
      <c r="D107" s="7"/>
      <c r="E107" s="7"/>
    </row>
    <row r="108" spans="1:6" x14ac:dyDescent="0.25">
      <c r="A108" s="7"/>
      <c r="B108" s="7"/>
      <c r="C108" s="7"/>
      <c r="D108" s="7"/>
      <c r="E108" s="7"/>
    </row>
    <row r="109" spans="1:6" ht="13" x14ac:dyDescent="0.3">
      <c r="A109" s="8" t="s">
        <v>82</v>
      </c>
      <c r="B109" s="8" t="s">
        <v>66</v>
      </c>
      <c r="C109" s="5" t="s">
        <v>101</v>
      </c>
      <c r="D109" s="8" t="s">
        <v>67</v>
      </c>
      <c r="E109" s="7"/>
    </row>
    <row r="110" spans="1:6" x14ac:dyDescent="0.25">
      <c r="A110" s="9"/>
      <c r="B110" s="9"/>
      <c r="C110" s="9"/>
      <c r="D110" s="9"/>
      <c r="E110" s="9"/>
    </row>
    <row r="111" spans="1:6" x14ac:dyDescent="0.25">
      <c r="A111" s="9"/>
      <c r="B111" s="9"/>
      <c r="C111" s="9"/>
      <c r="D111" s="9"/>
      <c r="E111" s="9"/>
    </row>
    <row r="112" spans="1:6" ht="13" x14ac:dyDescent="0.3">
      <c r="A112" s="10" t="s">
        <v>70</v>
      </c>
      <c r="B112" s="7">
        <f>SUM(B110:B111)</f>
        <v>0</v>
      </c>
      <c r="C112" s="7"/>
      <c r="D112" s="7"/>
      <c r="E112" s="7"/>
    </row>
    <row r="113" spans="1:5" x14ac:dyDescent="0.25">
      <c r="A113" s="7"/>
      <c r="B113" s="7"/>
      <c r="C113" s="7"/>
      <c r="D113" s="7"/>
      <c r="E113" s="7"/>
    </row>
    <row r="114" spans="1:5" ht="13" x14ac:dyDescent="0.3">
      <c r="A114" s="8" t="s">
        <v>85</v>
      </c>
      <c r="B114" s="8" t="s">
        <v>66</v>
      </c>
      <c r="C114" s="5" t="s">
        <v>101</v>
      </c>
      <c r="D114" s="8" t="s">
        <v>67</v>
      </c>
      <c r="E114" s="7"/>
    </row>
    <row r="115" spans="1:5" x14ac:dyDescent="0.25">
      <c r="A115" s="9"/>
      <c r="B115" s="9"/>
      <c r="C115" s="9"/>
      <c r="D115" s="9"/>
      <c r="E115" s="9"/>
    </row>
    <row r="116" spans="1:5" x14ac:dyDescent="0.25">
      <c r="A116" s="9"/>
      <c r="B116" s="9"/>
      <c r="C116" s="9"/>
      <c r="D116" s="9"/>
      <c r="E116" s="9"/>
    </row>
    <row r="117" spans="1:5" ht="13" x14ac:dyDescent="0.3">
      <c r="A117" s="10" t="s">
        <v>70</v>
      </c>
      <c r="B117" s="7">
        <f>SUM(B115:B116)</f>
        <v>0</v>
      </c>
      <c r="C117" s="7"/>
      <c r="D117" s="7"/>
      <c r="E117" s="7"/>
    </row>
    <row r="118" spans="1:5" ht="13" x14ac:dyDescent="0.3">
      <c r="A118" s="10"/>
      <c r="B118" s="7"/>
      <c r="C118" s="7"/>
      <c r="D118" s="7"/>
      <c r="E118" s="7"/>
    </row>
    <row r="119" spans="1:5" ht="13" x14ac:dyDescent="0.3">
      <c r="A119" s="10" t="s">
        <v>87</v>
      </c>
      <c r="B119" s="7">
        <f>SUM(B102,B107,B112,B117)</f>
        <v>0</v>
      </c>
      <c r="C119" s="7"/>
      <c r="D119" s="7"/>
      <c r="E119" s="7"/>
    </row>
    <row r="120" spans="1:5" ht="13" x14ac:dyDescent="0.3">
      <c r="A120" s="10"/>
      <c r="B120" s="7"/>
      <c r="C120" s="7"/>
      <c r="D120" s="7"/>
      <c r="E120" s="7"/>
    </row>
    <row r="121" spans="1:5" ht="13" x14ac:dyDescent="0.3">
      <c r="A121" s="11" t="s">
        <v>73</v>
      </c>
      <c r="B121" s="7"/>
      <c r="C121" s="7"/>
      <c r="D121" s="7"/>
      <c r="E121" s="7"/>
    </row>
    <row r="122" spans="1:5" ht="13" x14ac:dyDescent="0.3">
      <c r="A122" s="8" t="s">
        <v>75</v>
      </c>
      <c r="B122" s="8" t="s">
        <v>66</v>
      </c>
      <c r="C122" s="5" t="s">
        <v>101</v>
      </c>
      <c r="D122" s="8" t="s">
        <v>67</v>
      </c>
      <c r="E122" s="7"/>
    </row>
    <row r="123" spans="1:5" x14ac:dyDescent="0.25">
      <c r="A123" s="9"/>
      <c r="B123" s="9"/>
      <c r="C123" s="9"/>
      <c r="D123" s="9"/>
      <c r="E123" s="9"/>
    </row>
    <row r="124" spans="1:5" x14ac:dyDescent="0.25">
      <c r="A124" s="9"/>
      <c r="B124" s="9"/>
      <c r="C124" s="9"/>
      <c r="D124" s="9"/>
      <c r="E124" s="9"/>
    </row>
    <row r="125" spans="1:5" ht="13" x14ac:dyDescent="0.3">
      <c r="A125" s="10" t="s">
        <v>70</v>
      </c>
      <c r="B125" s="7">
        <f>SUM(B123:B124)</f>
        <v>0</v>
      </c>
      <c r="C125" s="7"/>
      <c r="D125" s="7"/>
      <c r="E125" s="7"/>
    </row>
    <row r="126" spans="1:5" ht="13" x14ac:dyDescent="0.3">
      <c r="A126" s="11"/>
      <c r="B126" s="7"/>
      <c r="C126" s="7"/>
      <c r="D126" s="7"/>
      <c r="E126" s="7"/>
    </row>
    <row r="127" spans="1:5" ht="13" x14ac:dyDescent="0.3">
      <c r="A127" s="8" t="s">
        <v>76</v>
      </c>
      <c r="B127" s="8" t="s">
        <v>66</v>
      </c>
      <c r="C127" s="5" t="s">
        <v>101</v>
      </c>
      <c r="D127" s="8" t="s">
        <v>67</v>
      </c>
      <c r="E127" s="7"/>
    </row>
    <row r="128" spans="1:5" x14ac:dyDescent="0.25">
      <c r="A128" s="9"/>
      <c r="B128" s="9"/>
      <c r="C128" s="9"/>
      <c r="D128" s="9"/>
      <c r="E128" s="9"/>
    </row>
    <row r="129" spans="1:5" x14ac:dyDescent="0.25">
      <c r="A129" s="9"/>
      <c r="B129" s="9"/>
      <c r="C129" s="9"/>
      <c r="D129" s="9"/>
      <c r="E129" s="9"/>
    </row>
    <row r="130" spans="1:5" ht="13" x14ac:dyDescent="0.3">
      <c r="A130" s="10" t="s">
        <v>70</v>
      </c>
      <c r="B130" s="7">
        <f>SUM(B128:B129)</f>
        <v>0</v>
      </c>
      <c r="C130" s="7"/>
      <c r="D130" s="7"/>
      <c r="E130" s="7"/>
    </row>
    <row r="131" spans="1:5" x14ac:dyDescent="0.25">
      <c r="A131" s="7"/>
      <c r="B131" s="7"/>
      <c r="C131" s="7"/>
      <c r="D131" s="7"/>
      <c r="E131" s="7"/>
    </row>
    <row r="132" spans="1:5" ht="13" x14ac:dyDescent="0.3">
      <c r="A132" s="8" t="s">
        <v>86</v>
      </c>
      <c r="B132" s="8" t="s">
        <v>66</v>
      </c>
      <c r="C132" s="5" t="s">
        <v>101</v>
      </c>
      <c r="D132" s="8" t="s">
        <v>67</v>
      </c>
      <c r="E132" s="7"/>
    </row>
    <row r="133" spans="1:5" x14ac:dyDescent="0.25">
      <c r="A133" s="9"/>
      <c r="B133" s="9"/>
      <c r="C133" s="9"/>
      <c r="D133" s="9"/>
      <c r="E133" s="9"/>
    </row>
    <row r="134" spans="1:5" x14ac:dyDescent="0.25">
      <c r="A134" s="9"/>
      <c r="B134" s="9"/>
      <c r="C134" s="9"/>
      <c r="D134" s="9"/>
      <c r="E134" s="9"/>
    </row>
    <row r="135" spans="1:5" ht="13" x14ac:dyDescent="0.3">
      <c r="A135" s="10" t="s">
        <v>70</v>
      </c>
      <c r="B135" s="7">
        <f>SUM(B133:B134)</f>
        <v>0</v>
      </c>
      <c r="C135" s="7"/>
      <c r="D135" s="7"/>
      <c r="E135" s="7"/>
    </row>
    <row r="136" spans="1:5" x14ac:dyDescent="0.25">
      <c r="A136" s="7"/>
      <c r="B136" s="7"/>
      <c r="C136" s="7"/>
      <c r="D136" s="7"/>
      <c r="E136" s="7"/>
    </row>
    <row r="137" spans="1:5" ht="13" x14ac:dyDescent="0.3">
      <c r="A137" s="10" t="s">
        <v>88</v>
      </c>
      <c r="B137" s="7">
        <f>SUM(B125,B130,B135)</f>
        <v>0</v>
      </c>
      <c r="C137" s="7"/>
      <c r="D137" s="7"/>
      <c r="E137" s="7"/>
    </row>
    <row r="138" spans="1:5" x14ac:dyDescent="0.25">
      <c r="A138" s="7"/>
      <c r="B138" s="7"/>
      <c r="C138" s="7"/>
      <c r="D138" s="7"/>
      <c r="E138" s="7"/>
    </row>
    <row r="139" spans="1:5" ht="13" x14ac:dyDescent="0.3">
      <c r="A139" s="5" t="s">
        <v>89</v>
      </c>
      <c r="B139" s="7"/>
      <c r="C139" s="7"/>
      <c r="D139" s="7"/>
      <c r="E139" s="7"/>
    </row>
    <row r="140" spans="1:5" ht="13" x14ac:dyDescent="0.3">
      <c r="A140" s="8" t="s">
        <v>94</v>
      </c>
      <c r="B140" s="8" t="s">
        <v>66</v>
      </c>
      <c r="C140" s="5" t="s">
        <v>101</v>
      </c>
      <c r="D140" s="8" t="s">
        <v>67</v>
      </c>
      <c r="E140" s="7"/>
    </row>
    <row r="141" spans="1:5" x14ac:dyDescent="0.25">
      <c r="A141" s="9"/>
      <c r="B141" s="9"/>
      <c r="C141" s="9"/>
      <c r="D141" s="9"/>
      <c r="E141" s="9"/>
    </row>
    <row r="142" spans="1:5" x14ac:dyDescent="0.25">
      <c r="A142" s="9"/>
      <c r="B142" s="9"/>
      <c r="C142" s="9"/>
      <c r="D142" s="9"/>
      <c r="E142" s="9"/>
    </row>
    <row r="143" spans="1:5" ht="13" x14ac:dyDescent="0.3">
      <c r="A143" s="10" t="s">
        <v>70</v>
      </c>
      <c r="B143" s="7">
        <f>SUM(B141:B142)</f>
        <v>0</v>
      </c>
      <c r="C143" s="7"/>
      <c r="D143" s="7"/>
      <c r="E143" s="7"/>
    </row>
    <row r="144" spans="1:5" x14ac:dyDescent="0.25">
      <c r="A144" s="7"/>
      <c r="B144" s="7"/>
      <c r="C144" s="7"/>
      <c r="D144" s="7"/>
      <c r="E144" s="7"/>
    </row>
    <row r="145" spans="1:5" ht="13" x14ac:dyDescent="0.3">
      <c r="A145" s="5" t="s">
        <v>97</v>
      </c>
      <c r="B145" s="7">
        <f xml:space="preserve"> B137-B119</f>
        <v>0</v>
      </c>
      <c r="C145" s="7"/>
      <c r="D145" s="7"/>
      <c r="E145" s="7"/>
    </row>
    <row r="146" spans="1:5" ht="13" x14ac:dyDescent="0.3">
      <c r="A146" s="5" t="s">
        <v>96</v>
      </c>
      <c r="B146" s="7">
        <f>SUM(B143,B145)</f>
        <v>0</v>
      </c>
      <c r="C146" s="7"/>
      <c r="D146" s="7"/>
      <c r="E146" s="7"/>
    </row>
    <row r="147" spans="1:5" x14ac:dyDescent="0.25">
      <c r="A147" s="69"/>
      <c r="B147" s="69"/>
      <c r="C147" s="69"/>
      <c r="D147" s="69"/>
      <c r="E147" s="69"/>
    </row>
    <row r="148" spans="1:5" x14ac:dyDescent="0.25">
      <c r="A148" s="69"/>
      <c r="B148" s="69"/>
      <c r="C148" s="69"/>
      <c r="D148" s="69"/>
      <c r="E148" s="69"/>
    </row>
    <row r="149" spans="1:5" x14ac:dyDescent="0.25">
      <c r="A149" s="69"/>
      <c r="B149" s="69"/>
      <c r="C149" s="69"/>
      <c r="D149" s="69"/>
      <c r="E149" s="69"/>
    </row>
    <row r="150" spans="1:5" ht="13" x14ac:dyDescent="0.3">
      <c r="A150" s="3" t="s">
        <v>98</v>
      </c>
      <c r="B150" s="68" t="s">
        <v>71</v>
      </c>
      <c r="C150" s="68"/>
      <c r="D150" s="68"/>
      <c r="E150" s="4"/>
    </row>
    <row r="151" spans="1:5" ht="13" x14ac:dyDescent="0.3">
      <c r="A151" s="5" t="s">
        <v>95</v>
      </c>
      <c r="B151" s="12">
        <v>41298</v>
      </c>
      <c r="C151" s="6"/>
      <c r="D151" s="6"/>
      <c r="E151" s="7"/>
    </row>
    <row r="152" spans="1:5" ht="13" x14ac:dyDescent="0.3">
      <c r="A152" s="5" t="s">
        <v>102</v>
      </c>
      <c r="B152" s="13">
        <v>0.84513888888888899</v>
      </c>
      <c r="C152" s="6"/>
      <c r="D152" s="6"/>
      <c r="E152" s="7"/>
    </row>
    <row r="153" spans="1:5" ht="13" x14ac:dyDescent="0.3">
      <c r="A153" s="5"/>
      <c r="B153" s="6"/>
      <c r="C153" s="6"/>
      <c r="D153" s="6"/>
      <c r="E153" s="7"/>
    </row>
    <row r="154" spans="1:5" ht="13" x14ac:dyDescent="0.3">
      <c r="A154" s="5" t="s">
        <v>84</v>
      </c>
      <c r="B154" s="6"/>
      <c r="C154" s="6"/>
      <c r="D154" s="6"/>
      <c r="E154" s="7"/>
    </row>
    <row r="155" spans="1:5" ht="13" x14ac:dyDescent="0.3">
      <c r="A155" s="8" t="s">
        <v>0</v>
      </c>
      <c r="B155" s="8" t="s">
        <v>66</v>
      </c>
      <c r="C155" s="8" t="s">
        <v>67</v>
      </c>
      <c r="D155" s="7"/>
      <c r="E155" s="7"/>
    </row>
    <row r="156" spans="1:5" x14ac:dyDescent="0.25">
      <c r="A156" s="9" t="s">
        <v>1</v>
      </c>
      <c r="B156" s="9">
        <v>2150</v>
      </c>
      <c r="C156" s="9" t="s">
        <v>103</v>
      </c>
      <c r="D156" s="9"/>
      <c r="E156" s="9"/>
    </row>
    <row r="157" spans="1:5" x14ac:dyDescent="0.25">
      <c r="A157" s="9"/>
      <c r="B157" s="9"/>
      <c r="C157" s="9"/>
      <c r="D157" s="9"/>
      <c r="E157" s="9"/>
    </row>
    <row r="158" spans="1:5" ht="13" x14ac:dyDescent="0.3">
      <c r="A158" s="10" t="s">
        <v>70</v>
      </c>
      <c r="B158" s="7">
        <f>SUM(B156:B157)</f>
        <v>2150</v>
      </c>
      <c r="C158" s="7"/>
      <c r="D158" s="7"/>
      <c r="E158" s="7"/>
    </row>
    <row r="159" spans="1:5" x14ac:dyDescent="0.25">
      <c r="A159" s="7"/>
      <c r="B159" s="7"/>
      <c r="C159" s="7"/>
      <c r="D159" s="7"/>
      <c r="E159" s="7"/>
    </row>
    <row r="160" spans="1:5" ht="13" x14ac:dyDescent="0.3">
      <c r="A160" s="8" t="s">
        <v>31</v>
      </c>
      <c r="B160" s="8" t="s">
        <v>66</v>
      </c>
      <c r="C160" s="8" t="s">
        <v>67</v>
      </c>
      <c r="D160" s="7"/>
      <c r="E160" s="7"/>
    </row>
    <row r="161" spans="1:5" x14ac:dyDescent="0.25">
      <c r="A161" s="9"/>
      <c r="B161" s="9"/>
      <c r="C161" s="9"/>
      <c r="D161" s="9"/>
      <c r="E161" s="9"/>
    </row>
    <row r="162" spans="1:5" x14ac:dyDescent="0.25">
      <c r="A162" s="9"/>
      <c r="B162" s="9"/>
      <c r="C162" s="9"/>
      <c r="D162" s="9"/>
      <c r="E162" s="9"/>
    </row>
    <row r="163" spans="1:5" ht="13" x14ac:dyDescent="0.3">
      <c r="A163" s="10" t="s">
        <v>70</v>
      </c>
      <c r="B163" s="7">
        <f>SUM(B161:B162)</f>
        <v>0</v>
      </c>
      <c r="C163" s="7"/>
      <c r="D163" s="7"/>
      <c r="E163" s="7"/>
    </row>
    <row r="164" spans="1:5" x14ac:dyDescent="0.25">
      <c r="A164" s="7"/>
      <c r="B164" s="7"/>
      <c r="C164" s="7"/>
      <c r="D164" s="7"/>
      <c r="E164" s="7"/>
    </row>
    <row r="165" spans="1:5" ht="13" x14ac:dyDescent="0.3">
      <c r="A165" s="8" t="s">
        <v>82</v>
      </c>
      <c r="B165" s="8" t="s">
        <v>66</v>
      </c>
      <c r="C165" s="8" t="s">
        <v>67</v>
      </c>
      <c r="D165" s="7"/>
      <c r="E165" s="7"/>
    </row>
    <row r="166" spans="1:5" x14ac:dyDescent="0.25">
      <c r="A166" s="9"/>
      <c r="B166" s="9"/>
      <c r="C166" s="9"/>
      <c r="D166" s="9"/>
      <c r="E166" s="9"/>
    </row>
    <row r="167" spans="1:5" x14ac:dyDescent="0.25">
      <c r="A167" s="9"/>
      <c r="B167" s="9"/>
      <c r="C167" s="9"/>
      <c r="D167" s="9"/>
      <c r="E167" s="9"/>
    </row>
    <row r="168" spans="1:5" ht="13" x14ac:dyDescent="0.3">
      <c r="A168" s="10" t="s">
        <v>70</v>
      </c>
      <c r="B168" s="7">
        <f>SUM(B166:B167)</f>
        <v>0</v>
      </c>
      <c r="C168" s="7"/>
      <c r="D168" s="7"/>
      <c r="E168" s="7"/>
    </row>
    <row r="169" spans="1:5" x14ac:dyDescent="0.25">
      <c r="A169" s="7"/>
      <c r="B169" s="7"/>
      <c r="C169" s="7"/>
      <c r="D169" s="7"/>
      <c r="E169" s="7"/>
    </row>
    <row r="170" spans="1:5" ht="13" x14ac:dyDescent="0.3">
      <c r="A170" s="8" t="s">
        <v>85</v>
      </c>
      <c r="B170" s="8" t="s">
        <v>66</v>
      </c>
      <c r="C170" s="8" t="s">
        <v>67</v>
      </c>
      <c r="D170" s="7"/>
      <c r="E170" s="7"/>
    </row>
    <row r="171" spans="1:5" x14ac:dyDescent="0.25">
      <c r="A171" s="9" t="s">
        <v>24</v>
      </c>
      <c r="B171" s="9">
        <v>187</v>
      </c>
      <c r="C171" s="9"/>
      <c r="D171" s="9"/>
      <c r="E171" s="9"/>
    </row>
    <row r="172" spans="1:5" x14ac:dyDescent="0.25">
      <c r="A172" s="9" t="s">
        <v>104</v>
      </c>
      <c r="B172" s="9">
        <v>700</v>
      </c>
      <c r="C172" s="9" t="s">
        <v>105</v>
      </c>
      <c r="D172" s="9"/>
      <c r="E172" s="9"/>
    </row>
    <row r="173" spans="1:5" x14ac:dyDescent="0.25">
      <c r="A173" s="9" t="s">
        <v>29</v>
      </c>
      <c r="B173" s="9">
        <v>628</v>
      </c>
      <c r="C173" s="9"/>
      <c r="D173" s="9"/>
      <c r="E173" s="9"/>
    </row>
    <row r="174" spans="1:5" x14ac:dyDescent="0.25">
      <c r="A174" s="9" t="s">
        <v>30</v>
      </c>
      <c r="B174" s="9">
        <v>350</v>
      </c>
      <c r="C174" s="9"/>
      <c r="D174" s="9"/>
      <c r="E174" s="9"/>
    </row>
    <row r="175" spans="1:5" ht="13" x14ac:dyDescent="0.3">
      <c r="A175" s="10" t="s">
        <v>70</v>
      </c>
      <c r="B175" s="7">
        <f>SUM(B171:B174)</f>
        <v>1865</v>
      </c>
      <c r="C175" s="7"/>
      <c r="D175" s="7"/>
      <c r="E175" s="7"/>
    </row>
    <row r="176" spans="1:5" ht="13" x14ac:dyDescent="0.3">
      <c r="A176" s="10"/>
      <c r="B176" s="7"/>
      <c r="C176" s="7"/>
      <c r="D176" s="7"/>
      <c r="E176" s="7"/>
    </row>
    <row r="177" spans="1:5" ht="13" x14ac:dyDescent="0.3">
      <c r="A177" s="10" t="s">
        <v>87</v>
      </c>
      <c r="B177" s="7">
        <f>SUM(B158,B163,B168) - B175</f>
        <v>285</v>
      </c>
      <c r="C177" s="7"/>
      <c r="D177" s="7"/>
      <c r="E177" s="7"/>
    </row>
    <row r="178" spans="1:5" ht="13" x14ac:dyDescent="0.3">
      <c r="A178" s="10"/>
      <c r="B178" s="7"/>
      <c r="C178" s="7"/>
      <c r="D178" s="7"/>
      <c r="E178" s="7"/>
    </row>
    <row r="179" spans="1:5" ht="13" x14ac:dyDescent="0.3">
      <c r="A179" s="11" t="s">
        <v>73</v>
      </c>
      <c r="B179" s="7"/>
      <c r="C179" s="7"/>
      <c r="D179" s="7"/>
      <c r="E179" s="7"/>
    </row>
    <row r="180" spans="1:5" ht="13" x14ac:dyDescent="0.3">
      <c r="A180" s="8" t="s">
        <v>75</v>
      </c>
      <c r="B180" s="8" t="s">
        <v>66</v>
      </c>
      <c r="C180" s="8" t="s">
        <v>67</v>
      </c>
      <c r="D180" s="7"/>
      <c r="E180" s="7"/>
    </row>
    <row r="181" spans="1:5" x14ac:dyDescent="0.25">
      <c r="A181" s="9"/>
      <c r="B181" s="9"/>
      <c r="C181" s="9"/>
      <c r="D181" s="9"/>
      <c r="E181" s="9"/>
    </row>
    <row r="182" spans="1:5" x14ac:dyDescent="0.25">
      <c r="A182" s="9"/>
      <c r="B182" s="9"/>
      <c r="C182" s="9"/>
      <c r="D182" s="9"/>
      <c r="E182" s="9"/>
    </row>
    <row r="183" spans="1:5" ht="13" x14ac:dyDescent="0.3">
      <c r="A183" s="10" t="s">
        <v>70</v>
      </c>
      <c r="B183" s="7">
        <f>SUM(B181:B182)</f>
        <v>0</v>
      </c>
      <c r="C183" s="7"/>
      <c r="D183" s="7"/>
      <c r="E183" s="7"/>
    </row>
    <row r="184" spans="1:5" ht="13" x14ac:dyDescent="0.3">
      <c r="A184" s="11"/>
      <c r="B184" s="7"/>
      <c r="C184" s="7"/>
      <c r="D184" s="7"/>
      <c r="E184" s="7"/>
    </row>
    <row r="185" spans="1:5" ht="13" x14ac:dyDescent="0.3">
      <c r="A185" s="8" t="s">
        <v>76</v>
      </c>
      <c r="B185" s="8" t="s">
        <v>66</v>
      </c>
      <c r="C185" s="8" t="s">
        <v>67</v>
      </c>
      <c r="D185" s="7"/>
      <c r="E185" s="7"/>
    </row>
    <row r="186" spans="1:5" x14ac:dyDescent="0.25">
      <c r="A186" s="9"/>
      <c r="B186" s="9"/>
      <c r="C186" s="9"/>
      <c r="D186" s="9"/>
      <c r="E186" s="9"/>
    </row>
    <row r="187" spans="1:5" x14ac:dyDescent="0.25">
      <c r="A187" s="9"/>
      <c r="B187" s="9"/>
      <c r="C187" s="9"/>
      <c r="D187" s="9"/>
      <c r="E187" s="9"/>
    </row>
    <row r="188" spans="1:5" ht="13" x14ac:dyDescent="0.3">
      <c r="A188" s="10" t="s">
        <v>70</v>
      </c>
      <c r="B188" s="7">
        <f>SUM(B186:B187)</f>
        <v>0</v>
      </c>
      <c r="C188" s="7"/>
      <c r="D188" s="7"/>
      <c r="E188" s="7"/>
    </row>
    <row r="189" spans="1:5" x14ac:dyDescent="0.25">
      <c r="A189" s="7"/>
      <c r="B189" s="7"/>
      <c r="C189" s="7"/>
      <c r="D189" s="7"/>
      <c r="E189" s="7"/>
    </row>
    <row r="190" spans="1:5" ht="13" x14ac:dyDescent="0.3">
      <c r="A190" s="8" t="s">
        <v>86</v>
      </c>
      <c r="B190" s="8" t="s">
        <v>66</v>
      </c>
      <c r="C190" s="8" t="s">
        <v>67</v>
      </c>
      <c r="D190" s="7"/>
      <c r="E190" s="7"/>
    </row>
    <row r="191" spans="1:5" x14ac:dyDescent="0.25">
      <c r="A191" s="9" t="s">
        <v>26</v>
      </c>
      <c r="B191" s="9">
        <v>565.91999999999996</v>
      </c>
      <c r="C191" s="9" t="s">
        <v>106</v>
      </c>
      <c r="D191" s="9"/>
      <c r="E191" s="9"/>
    </row>
    <row r="192" spans="1:5" x14ac:dyDescent="0.25">
      <c r="A192" s="9"/>
      <c r="B192" s="9"/>
      <c r="C192" s="9"/>
      <c r="D192" s="9"/>
      <c r="E192" s="9"/>
    </row>
    <row r="193" spans="1:5" ht="13" x14ac:dyDescent="0.3">
      <c r="A193" s="10" t="s">
        <v>70</v>
      </c>
      <c r="B193" s="7">
        <f>SUM(B191:B192)</f>
        <v>565.91999999999996</v>
      </c>
      <c r="C193" s="7"/>
      <c r="D193" s="7"/>
      <c r="E193" s="7"/>
    </row>
    <row r="194" spans="1:5" x14ac:dyDescent="0.25">
      <c r="A194" s="7"/>
      <c r="B194" s="7"/>
      <c r="C194" s="7"/>
      <c r="D194" s="7"/>
      <c r="E194" s="7"/>
    </row>
    <row r="195" spans="1:5" ht="13" x14ac:dyDescent="0.3">
      <c r="A195" s="10" t="s">
        <v>88</v>
      </c>
      <c r="B195" s="7">
        <f>SUM(B183,B188) - B193</f>
        <v>-565.91999999999996</v>
      </c>
      <c r="C195" s="7"/>
      <c r="D195" s="7"/>
      <c r="E195" s="7"/>
    </row>
    <row r="196" spans="1:5" x14ac:dyDescent="0.25">
      <c r="A196" s="7"/>
      <c r="B196" s="7"/>
      <c r="C196" s="7"/>
      <c r="D196" s="7"/>
      <c r="E196" s="7"/>
    </row>
    <row r="197" spans="1:5" ht="13" x14ac:dyDescent="0.3">
      <c r="A197" s="5" t="s">
        <v>89</v>
      </c>
      <c r="B197" s="7"/>
      <c r="C197" s="7"/>
      <c r="D197" s="7"/>
      <c r="E197" s="7"/>
    </row>
    <row r="198" spans="1:5" ht="13" x14ac:dyDescent="0.3">
      <c r="A198" s="8" t="s">
        <v>94</v>
      </c>
      <c r="B198" s="8" t="s">
        <v>66</v>
      </c>
      <c r="C198" s="8" t="s">
        <v>67</v>
      </c>
      <c r="D198" s="7"/>
      <c r="E198" s="7"/>
    </row>
    <row r="199" spans="1:5" x14ac:dyDescent="0.25">
      <c r="A199" s="9" t="s">
        <v>90</v>
      </c>
      <c r="B199" s="9">
        <v>16519.86</v>
      </c>
      <c r="C199" s="9"/>
      <c r="D199" s="9"/>
      <c r="E199" s="9"/>
    </row>
    <row r="200" spans="1:5" x14ac:dyDescent="0.25">
      <c r="A200" s="9" t="s">
        <v>91</v>
      </c>
      <c r="B200" s="9">
        <v>2121.13</v>
      </c>
      <c r="C200" s="9"/>
      <c r="D200" s="9"/>
      <c r="E200" s="9"/>
    </row>
    <row r="201" spans="1:5" x14ac:dyDescent="0.25">
      <c r="A201" s="9" t="s">
        <v>92</v>
      </c>
      <c r="B201" s="9">
        <v>40000</v>
      </c>
      <c r="C201" s="9"/>
      <c r="D201" s="9"/>
      <c r="E201" s="9"/>
    </row>
    <row r="202" spans="1:5" x14ac:dyDescent="0.25">
      <c r="A202" s="9" t="s">
        <v>93</v>
      </c>
      <c r="B202" s="9">
        <v>7000</v>
      </c>
      <c r="C202" s="9"/>
      <c r="D202" s="9"/>
      <c r="E202" s="9"/>
    </row>
    <row r="203" spans="1:5" ht="13" x14ac:dyDescent="0.3">
      <c r="A203" s="10" t="s">
        <v>70</v>
      </c>
      <c r="B203" s="7">
        <f>SUM(B199:B202)</f>
        <v>65640.990000000005</v>
      </c>
      <c r="C203" s="7"/>
      <c r="D203" s="7"/>
      <c r="E203" s="7"/>
    </row>
    <row r="204" spans="1:5" x14ac:dyDescent="0.25">
      <c r="A204" s="7"/>
      <c r="B204" s="7"/>
      <c r="C204" s="7"/>
      <c r="D204" s="7"/>
      <c r="E204" s="7"/>
    </row>
    <row r="205" spans="1:5" ht="13" x14ac:dyDescent="0.3">
      <c r="A205" s="5" t="s">
        <v>99</v>
      </c>
      <c r="B205" s="7">
        <f xml:space="preserve"> B195-B177</f>
        <v>-850.92</v>
      </c>
      <c r="C205" s="7"/>
      <c r="D205" s="7"/>
      <c r="E205" s="7"/>
    </row>
    <row r="206" spans="1:5" ht="13" x14ac:dyDescent="0.3">
      <c r="A206" s="5" t="s">
        <v>100</v>
      </c>
      <c r="B206" s="7">
        <f>SUM(B203,B205)</f>
        <v>64790.070000000007</v>
      </c>
      <c r="C206" s="7"/>
      <c r="D206" s="7"/>
      <c r="E206" s="7"/>
    </row>
    <row r="207" spans="1:5" ht="13" x14ac:dyDescent="0.3">
      <c r="A207" s="5" t="s">
        <v>108</v>
      </c>
      <c r="B207" s="7">
        <v>63864.52</v>
      </c>
      <c r="C207" s="7"/>
      <c r="D207" s="7"/>
      <c r="E207" s="7"/>
    </row>
    <row r="208" spans="1:5" ht="38" x14ac:dyDescent="0.3">
      <c r="A208" s="5" t="s">
        <v>110</v>
      </c>
      <c r="B208" s="7">
        <f xml:space="preserve"> B206 - B207</f>
        <v>925.55000000001019</v>
      </c>
      <c r="C208" s="14" t="s">
        <v>109</v>
      </c>
      <c r="D208" s="7"/>
      <c r="E208" s="7"/>
    </row>
  </sheetData>
  <mergeCells count="4">
    <mergeCell ref="A92:E94"/>
    <mergeCell ref="B95:D95"/>
    <mergeCell ref="B150:D150"/>
    <mergeCell ref="A147:E149"/>
  </mergeCells>
  <phoneticPr fontId="2" type="noConversion"/>
  <dataValidations count="10">
    <dataValidation type="list" allowBlank="1" showInputMessage="1" showErrorMessage="1" sqref="A133:A134 A191:A192" xr:uid="{00000000-0002-0000-0000-000000000000}">
      <formula1>$A$73:$A$74</formula1>
    </dataValidation>
    <dataValidation type="list" allowBlank="1" showInputMessage="1" showErrorMessage="1" sqref="A100:A101 A156:A157" xr:uid="{00000000-0002-0000-0000-000001000000}">
      <formula1>$A$3:$A$28</formula1>
    </dataValidation>
    <dataValidation type="list" allowBlank="1" showInputMessage="1" showErrorMessage="1" sqref="A105:A106 A161:A162" xr:uid="{00000000-0002-0000-0000-000002000000}">
      <formula1>$A$31:$A$37</formula1>
    </dataValidation>
    <dataValidation type="list" allowBlank="1" showInputMessage="1" showErrorMessage="1" sqref="A110:A111 A166:A167" xr:uid="{00000000-0002-0000-0000-000003000000}">
      <formula1>$A$40:$A$63</formula1>
    </dataValidation>
    <dataValidation type="list" allowBlank="1" showInputMessage="1" showErrorMessage="1" sqref="A115:A116 A171:A174" xr:uid="{00000000-0002-0000-0000-000004000000}">
      <formula1>$A$66:$A$70</formula1>
    </dataValidation>
    <dataValidation type="list" allowBlank="1" showInputMessage="1" showErrorMessage="1" sqref="A123:A124 A141:A142 A181:A182" xr:uid="{00000000-0002-0000-0000-000005000000}">
      <formula1>$A$77:$A$78</formula1>
    </dataValidation>
    <dataValidation type="list" allowBlank="1" showInputMessage="1" showErrorMessage="1" sqref="A128:A129 A186:A187" xr:uid="{00000000-0002-0000-0000-000006000000}">
      <formula1>$A$81:$A$84</formula1>
    </dataValidation>
    <dataValidation type="date" operator="greaterThan" allowBlank="1" showInputMessage="1" showErrorMessage="1" sqref="B96 B151" xr:uid="{00000000-0002-0000-0000-000007000000}">
      <formula1>41275</formula1>
    </dataValidation>
    <dataValidation type="time" operator="greaterThan" allowBlank="1" showInputMessage="1" showErrorMessage="1" sqref="B152" xr:uid="{00000000-0002-0000-0000-000008000000}">
      <formula1>0</formula1>
    </dataValidation>
    <dataValidation type="list" allowBlank="1" showInputMessage="1" showErrorMessage="1" sqref="A199:A202" xr:uid="{00000000-0002-0000-0000-000009000000}">
      <formula1>$A$87:$A$90</formula1>
    </dataValidation>
  </dataValidations>
  <pageMargins left="0.75" right="0.75" top="1" bottom="1" header="0.5" footer="0.5"/>
  <pageSetup orientation="portrait"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E2" sqref="E2"/>
    </sheetView>
  </sheetViews>
  <sheetFormatPr defaultColWidth="8.81640625" defaultRowHeight="12.5" x14ac:dyDescent="0.25"/>
  <cols>
    <col min="1" max="1" width="20.81640625" customWidth="1"/>
    <col min="6" max="6" width="41.453125" customWidth="1"/>
  </cols>
  <sheetData>
    <row r="1" spans="1:6" x14ac:dyDescent="0.25">
      <c r="A1" t="s">
        <v>111</v>
      </c>
    </row>
    <row r="2" spans="1:6" x14ac:dyDescent="0.25">
      <c r="A2" t="s">
        <v>113</v>
      </c>
      <c r="B2" t="s">
        <v>112</v>
      </c>
    </row>
    <row r="3" spans="1:6" x14ac:dyDescent="0.25">
      <c r="A3" t="s">
        <v>117</v>
      </c>
      <c r="B3" t="s">
        <v>114</v>
      </c>
    </row>
    <row r="4" spans="1:6" x14ac:dyDescent="0.25">
      <c r="A4" t="s">
        <v>116</v>
      </c>
      <c r="B4">
        <v>2600</v>
      </c>
      <c r="E4">
        <v>18146.5</v>
      </c>
      <c r="F4">
        <v>65146.5</v>
      </c>
    </row>
    <row r="5" spans="1:6" x14ac:dyDescent="0.25">
      <c r="A5" t="s">
        <v>115</v>
      </c>
      <c r="B5" t="s">
        <v>118</v>
      </c>
      <c r="E5">
        <v>18924.5</v>
      </c>
      <c r="F5">
        <v>65924.5</v>
      </c>
    </row>
    <row r="6" spans="1:6" ht="50" x14ac:dyDescent="0.25">
      <c r="F6" s="16" t="s">
        <v>124</v>
      </c>
    </row>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0"/>
  <sheetViews>
    <sheetView topLeftCell="A122" workbookViewId="0">
      <selection activeCell="C144" sqref="C144"/>
    </sheetView>
  </sheetViews>
  <sheetFormatPr defaultColWidth="8.81640625" defaultRowHeight="12.5" x14ac:dyDescent="0.25"/>
  <cols>
    <col min="1" max="1" width="56.08984375" bestFit="1" customWidth="1"/>
    <col min="2" max="2" width="17.453125" customWidth="1"/>
    <col min="3" max="3" width="70.08984375" bestFit="1" customWidth="1"/>
    <col min="4" max="4" width="3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row>
    <row r="20" spans="1:3" x14ac:dyDescent="0.25">
      <c r="A20" t="s">
        <v>9</v>
      </c>
    </row>
    <row r="21" spans="1:3" x14ac:dyDescent="0.25">
      <c r="A21" t="s">
        <v>28</v>
      </c>
    </row>
    <row r="22" spans="1:3" x14ac:dyDescent="0.25">
      <c r="A22" t="s">
        <v>32</v>
      </c>
      <c r="C22">
        <v>180</v>
      </c>
    </row>
    <row r="23" spans="1:3" x14ac:dyDescent="0.25">
      <c r="A23" t="s">
        <v>33</v>
      </c>
      <c r="C23">
        <v>50</v>
      </c>
    </row>
    <row r="24" spans="1:3" x14ac:dyDescent="0.25">
      <c r="A24" t="s">
        <v>34</v>
      </c>
      <c r="C24">
        <v>50</v>
      </c>
    </row>
    <row r="25" spans="1:3" x14ac:dyDescent="0.25">
      <c r="A25" t="s">
        <v>35</v>
      </c>
      <c r="C25">
        <v>50</v>
      </c>
    </row>
    <row r="26" spans="1:3" x14ac:dyDescent="0.25">
      <c r="A26" t="s">
        <v>39</v>
      </c>
      <c r="C26">
        <v>140</v>
      </c>
    </row>
    <row r="27" spans="1:3" x14ac:dyDescent="0.25">
      <c r="A27" t="s">
        <v>42</v>
      </c>
      <c r="C27">
        <v>50</v>
      </c>
    </row>
    <row r="28" spans="1:3" x14ac:dyDescent="0.25">
      <c r="A28" t="s">
        <v>49</v>
      </c>
    </row>
    <row r="30" spans="1:3" ht="13" x14ac:dyDescent="0.3">
      <c r="A30" s="1" t="s">
        <v>31</v>
      </c>
    </row>
    <row r="31" spans="1:3" x14ac:dyDescent="0.25">
      <c r="A31" t="s">
        <v>25</v>
      </c>
    </row>
    <row r="32" spans="1:3" x14ac:dyDescent="0.25">
      <c r="A32" t="s">
        <v>19</v>
      </c>
    </row>
    <row r="33" spans="1:1" x14ac:dyDescent="0.25">
      <c r="A33" t="s">
        <v>18</v>
      </c>
    </row>
    <row r="34" spans="1:1" x14ac:dyDescent="0.25">
      <c r="A34" t="s">
        <v>20</v>
      </c>
    </row>
    <row r="35" spans="1:1" x14ac:dyDescent="0.25">
      <c r="A35" t="s">
        <v>21</v>
      </c>
    </row>
    <row r="36" spans="1:1" x14ac:dyDescent="0.25">
      <c r="A36" t="s">
        <v>27</v>
      </c>
    </row>
    <row r="37" spans="1:1" x14ac:dyDescent="0.25">
      <c r="A37" t="s">
        <v>36</v>
      </c>
    </row>
    <row r="39" spans="1:1" ht="13" x14ac:dyDescent="0.3">
      <c r="A39" s="1" t="s">
        <v>82</v>
      </c>
    </row>
    <row r="40" spans="1:1" x14ac:dyDescent="0.25">
      <c r="A40" t="s">
        <v>40</v>
      </c>
    </row>
    <row r="41" spans="1:1" x14ac:dyDescent="0.25">
      <c r="A41" t="s">
        <v>41</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81</v>
      </c>
    </row>
    <row r="62" spans="1:1" x14ac:dyDescent="0.25">
      <c r="A62" t="s">
        <v>63</v>
      </c>
    </row>
    <row r="63" spans="1:1" x14ac:dyDescent="0.25">
      <c r="A63" t="s">
        <v>64</v>
      </c>
    </row>
    <row r="65" spans="1:1" ht="13" x14ac:dyDescent="0.3">
      <c r="A65" s="1" t="s">
        <v>85</v>
      </c>
    </row>
    <row r="66" spans="1:1" x14ac:dyDescent="0.25">
      <c r="A66" t="s">
        <v>23</v>
      </c>
    </row>
    <row r="67" spans="1:1" x14ac:dyDescent="0.25">
      <c r="A67" t="s">
        <v>24</v>
      </c>
    </row>
    <row r="68" spans="1:1" x14ac:dyDescent="0.25">
      <c r="A68" t="s">
        <v>29</v>
      </c>
    </row>
    <row r="69" spans="1:1" x14ac:dyDescent="0.25">
      <c r="A69" t="s">
        <v>104</v>
      </c>
    </row>
    <row r="70" spans="1:1" x14ac:dyDescent="0.25">
      <c r="A70" t="s">
        <v>30</v>
      </c>
    </row>
    <row r="72" spans="1:1" ht="13" x14ac:dyDescent="0.3">
      <c r="A72" s="1" t="s">
        <v>86</v>
      </c>
    </row>
    <row r="73" spans="1:1" x14ac:dyDescent="0.25">
      <c r="A73" t="s">
        <v>26</v>
      </c>
    </row>
    <row r="74" spans="1:1" x14ac:dyDescent="0.25">
      <c r="A74" t="s">
        <v>72</v>
      </c>
    </row>
    <row r="76" spans="1:1" ht="13" x14ac:dyDescent="0.3">
      <c r="A76" s="1" t="s">
        <v>75</v>
      </c>
    </row>
    <row r="77" spans="1:1" x14ac:dyDescent="0.25">
      <c r="A77" t="s">
        <v>74</v>
      </c>
    </row>
    <row r="78" spans="1:1" x14ac:dyDescent="0.25">
      <c r="A78" t="s">
        <v>83</v>
      </c>
    </row>
    <row r="80" spans="1:1" ht="13" x14ac:dyDescent="0.3">
      <c r="A80" s="1" t="s">
        <v>76</v>
      </c>
    </row>
    <row r="81" spans="1:5" x14ac:dyDescent="0.25">
      <c r="A81" t="s">
        <v>77</v>
      </c>
    </row>
    <row r="82" spans="1:5" x14ac:dyDescent="0.25">
      <c r="A82" t="s">
        <v>78</v>
      </c>
    </row>
    <row r="83" spans="1:5" x14ac:dyDescent="0.25">
      <c r="A83" t="s">
        <v>79</v>
      </c>
    </row>
    <row r="84" spans="1:5" x14ac:dyDescent="0.25">
      <c r="A84" t="s">
        <v>80</v>
      </c>
    </row>
    <row r="86" spans="1:5" ht="13" x14ac:dyDescent="0.3">
      <c r="A86" s="1" t="s">
        <v>89</v>
      </c>
    </row>
    <row r="87" spans="1:5" x14ac:dyDescent="0.25">
      <c r="A87" t="s">
        <v>90</v>
      </c>
    </row>
    <row r="88" spans="1:5" x14ac:dyDescent="0.25">
      <c r="A88" t="s">
        <v>91</v>
      </c>
    </row>
    <row r="89" spans="1:5" x14ac:dyDescent="0.25">
      <c r="A89" t="s">
        <v>92</v>
      </c>
    </row>
    <row r="90" spans="1:5" x14ac:dyDescent="0.25">
      <c r="A90" t="s">
        <v>122</v>
      </c>
    </row>
    <row r="91" spans="1:5" x14ac:dyDescent="0.25">
      <c r="A91" t="s">
        <v>93</v>
      </c>
    </row>
    <row r="93" spans="1:5" x14ac:dyDescent="0.25">
      <c r="A93" s="66"/>
      <c r="B93" s="66"/>
      <c r="C93" s="66"/>
      <c r="D93" s="66"/>
      <c r="E93" s="66"/>
    </row>
    <row r="94" spans="1:5" x14ac:dyDescent="0.25">
      <c r="A94" s="66"/>
      <c r="B94" s="66"/>
      <c r="C94" s="66"/>
      <c r="D94" s="66"/>
      <c r="E94" s="66"/>
    </row>
    <row r="95" spans="1:5" x14ac:dyDescent="0.25">
      <c r="A95" s="67"/>
      <c r="B95" s="67"/>
      <c r="C95" s="67"/>
      <c r="D95" s="67"/>
      <c r="E95" s="67"/>
    </row>
    <row r="96" spans="1:5" ht="13" x14ac:dyDescent="0.3">
      <c r="A96" s="3" t="s">
        <v>65</v>
      </c>
      <c r="B96" s="68" t="s">
        <v>71</v>
      </c>
      <c r="C96" s="68"/>
      <c r="D96" s="68"/>
      <c r="E96" s="4"/>
    </row>
    <row r="97" spans="1:6" ht="13" x14ac:dyDescent="0.3">
      <c r="A97" s="5" t="s">
        <v>95</v>
      </c>
      <c r="B97" s="12">
        <v>41339</v>
      </c>
      <c r="C97" s="6"/>
      <c r="D97" s="6"/>
      <c r="E97" s="7"/>
    </row>
    <row r="98" spans="1:6" ht="13" x14ac:dyDescent="0.3">
      <c r="A98" s="5" t="s">
        <v>102</v>
      </c>
      <c r="B98" s="13">
        <v>0.9506944444444444</v>
      </c>
      <c r="C98" s="6"/>
      <c r="D98" s="6"/>
      <c r="E98" s="7"/>
    </row>
    <row r="99" spans="1:6" ht="13" x14ac:dyDescent="0.3">
      <c r="A99" s="5"/>
      <c r="B99" s="6"/>
      <c r="C99" s="6"/>
      <c r="D99" s="6"/>
      <c r="E99" s="7"/>
    </row>
    <row r="100" spans="1:6" ht="13" x14ac:dyDescent="0.3">
      <c r="A100" s="5" t="s">
        <v>84</v>
      </c>
      <c r="B100" s="6"/>
      <c r="C100" s="6"/>
      <c r="D100" s="6"/>
      <c r="E100" s="7"/>
    </row>
    <row r="101" spans="1:6" ht="13" x14ac:dyDescent="0.3">
      <c r="A101" s="8" t="s">
        <v>0</v>
      </c>
      <c r="B101" s="8" t="s">
        <v>66</v>
      </c>
      <c r="C101" s="5" t="s">
        <v>101</v>
      </c>
      <c r="D101" s="8" t="s">
        <v>67</v>
      </c>
      <c r="E101" s="7"/>
    </row>
    <row r="102" spans="1:6" ht="25.5" x14ac:dyDescent="0.3">
      <c r="A102" s="9" t="s">
        <v>1</v>
      </c>
      <c r="B102" s="9">
        <v>450</v>
      </c>
      <c r="C102" s="9"/>
      <c r="D102" s="17" t="s">
        <v>130</v>
      </c>
      <c r="E102" s="9"/>
      <c r="F102" s="2"/>
    </row>
    <row r="103" spans="1:6" x14ac:dyDescent="0.25">
      <c r="A103" s="9" t="s">
        <v>16</v>
      </c>
      <c r="B103" s="9">
        <v>12</v>
      </c>
      <c r="C103" s="9"/>
      <c r="D103" s="9"/>
      <c r="E103" s="9"/>
      <c r="F103" s="2"/>
    </row>
    <row r="104" spans="1:6" x14ac:dyDescent="0.25">
      <c r="A104" s="9" t="s">
        <v>6</v>
      </c>
      <c r="B104" s="9">
        <v>10</v>
      </c>
      <c r="C104" s="9"/>
      <c r="D104" s="9"/>
      <c r="E104" s="9"/>
      <c r="F104" s="2"/>
    </row>
    <row r="105" spans="1:6" x14ac:dyDescent="0.25">
      <c r="A105" s="9" t="s">
        <v>8</v>
      </c>
      <c r="B105" s="9">
        <v>402</v>
      </c>
      <c r="C105" s="9"/>
      <c r="D105" s="9"/>
      <c r="E105" s="9"/>
      <c r="F105" s="2"/>
    </row>
    <row r="106" spans="1:6" x14ac:dyDescent="0.25">
      <c r="A106" s="9" t="s">
        <v>10</v>
      </c>
      <c r="B106" s="9">
        <v>35</v>
      </c>
      <c r="C106" s="9"/>
      <c r="D106" s="9"/>
      <c r="E106" s="9"/>
      <c r="F106" s="2"/>
    </row>
    <row r="107" spans="1:6" x14ac:dyDescent="0.25">
      <c r="A107" s="9" t="s">
        <v>11</v>
      </c>
      <c r="B107" s="9">
        <v>59</v>
      </c>
      <c r="C107" s="9"/>
      <c r="D107" s="9"/>
      <c r="E107" s="9"/>
      <c r="F107" s="2"/>
    </row>
    <row r="108" spans="1:6" x14ac:dyDescent="0.25">
      <c r="A108" s="9" t="s">
        <v>12</v>
      </c>
      <c r="B108" s="9">
        <v>20</v>
      </c>
      <c r="C108" s="9"/>
      <c r="D108" s="9"/>
      <c r="E108" s="9"/>
      <c r="F108" s="2"/>
    </row>
    <row r="109" spans="1:6" x14ac:dyDescent="0.25">
      <c r="A109" s="9" t="s">
        <v>13</v>
      </c>
      <c r="B109" s="9">
        <v>72</v>
      </c>
      <c r="C109" s="9"/>
      <c r="D109" s="9"/>
      <c r="E109" s="9"/>
      <c r="F109" s="2"/>
    </row>
    <row r="110" spans="1:6" x14ac:dyDescent="0.25">
      <c r="A110" s="9" t="s">
        <v>17</v>
      </c>
      <c r="B110" s="9">
        <v>89</v>
      </c>
      <c r="C110" s="9"/>
      <c r="D110" s="9"/>
      <c r="E110" s="9"/>
      <c r="F110" s="2"/>
    </row>
    <row r="111" spans="1:6" x14ac:dyDescent="0.25">
      <c r="A111" s="9" t="s">
        <v>22</v>
      </c>
      <c r="B111" s="9">
        <v>30</v>
      </c>
      <c r="C111" s="9"/>
      <c r="D111" s="9"/>
      <c r="E111" s="9"/>
      <c r="F111" s="2"/>
    </row>
    <row r="112" spans="1:6" x14ac:dyDescent="0.25">
      <c r="A112" s="9" t="s">
        <v>14</v>
      </c>
      <c r="B112" s="9">
        <v>836</v>
      </c>
      <c r="C112" s="9"/>
      <c r="D112" s="9"/>
      <c r="E112" s="9"/>
      <c r="F112" s="2"/>
    </row>
    <row r="113" spans="1:6" ht="25" x14ac:dyDescent="0.25">
      <c r="A113" s="9" t="s">
        <v>15</v>
      </c>
      <c r="B113" s="9">
        <v>195</v>
      </c>
      <c r="C113" s="9"/>
      <c r="D113" s="17" t="s">
        <v>132</v>
      </c>
      <c r="E113" s="9"/>
      <c r="F113" s="2"/>
    </row>
    <row r="114" spans="1:6" x14ac:dyDescent="0.25">
      <c r="A114" s="9" t="s">
        <v>9</v>
      </c>
      <c r="B114" s="9">
        <v>550</v>
      </c>
      <c r="C114" s="9"/>
      <c r="D114" s="9"/>
      <c r="E114" s="9"/>
      <c r="F114" s="2"/>
    </row>
    <row r="115" spans="1:6" ht="25" x14ac:dyDescent="0.25">
      <c r="A115" s="9" t="s">
        <v>28</v>
      </c>
      <c r="B115" s="9">
        <v>150</v>
      </c>
      <c r="C115" s="9"/>
      <c r="D115" s="17" t="s">
        <v>131</v>
      </c>
      <c r="E115" s="9"/>
      <c r="F115" s="2"/>
    </row>
    <row r="116" spans="1:6" x14ac:dyDescent="0.25">
      <c r="A116" s="9" t="s">
        <v>32</v>
      </c>
      <c r="B116" s="9">
        <v>180</v>
      </c>
      <c r="C116" s="9"/>
      <c r="D116" s="9"/>
      <c r="E116" s="9"/>
      <c r="F116" s="2"/>
    </row>
    <row r="117" spans="1:6" x14ac:dyDescent="0.25">
      <c r="A117" s="9" t="s">
        <v>33</v>
      </c>
      <c r="B117" s="9">
        <v>50</v>
      </c>
      <c r="C117" s="9"/>
      <c r="D117" s="9"/>
      <c r="E117" s="9"/>
      <c r="F117" s="2"/>
    </row>
    <row r="118" spans="1:6" x14ac:dyDescent="0.25">
      <c r="A118" s="9" t="s">
        <v>34</v>
      </c>
      <c r="B118" s="9">
        <v>60</v>
      </c>
      <c r="C118" s="9"/>
      <c r="D118" s="9"/>
      <c r="E118" s="9"/>
      <c r="F118" s="2"/>
    </row>
    <row r="119" spans="1:6" x14ac:dyDescent="0.25">
      <c r="A119" s="9" t="s">
        <v>35</v>
      </c>
      <c r="B119" s="9">
        <v>40</v>
      </c>
      <c r="C119" s="9"/>
      <c r="D119" s="9"/>
      <c r="E119" s="9"/>
      <c r="F119" s="2"/>
    </row>
    <row r="120" spans="1:6" x14ac:dyDescent="0.25">
      <c r="A120" s="9" t="s">
        <v>39</v>
      </c>
      <c r="B120" s="9">
        <v>200</v>
      </c>
      <c r="C120" s="9"/>
      <c r="D120" s="9" t="s">
        <v>126</v>
      </c>
      <c r="E120" s="9"/>
      <c r="F120" s="2"/>
    </row>
    <row r="121" spans="1:6" x14ac:dyDescent="0.25">
      <c r="A121" s="9" t="s">
        <v>42</v>
      </c>
      <c r="B121" s="9">
        <v>50</v>
      </c>
      <c r="C121" s="9"/>
      <c r="D121" s="9" t="s">
        <v>126</v>
      </c>
      <c r="E121" s="9"/>
      <c r="F121" s="2"/>
    </row>
    <row r="122" spans="1:6" x14ac:dyDescent="0.25">
      <c r="A122" s="9" t="s">
        <v>49</v>
      </c>
      <c r="B122" s="9">
        <v>100</v>
      </c>
      <c r="C122" s="9"/>
      <c r="D122" s="9" t="s">
        <v>126</v>
      </c>
      <c r="E122" s="9"/>
      <c r="F122" s="2"/>
    </row>
    <row r="123" spans="1:6" ht="13" x14ac:dyDescent="0.3">
      <c r="A123" s="10" t="s">
        <v>70</v>
      </c>
      <c r="B123" s="7">
        <f>SUM(B102:B122)</f>
        <v>3590</v>
      </c>
      <c r="C123" s="7"/>
      <c r="D123" s="7"/>
      <c r="E123" s="7"/>
    </row>
    <row r="124" spans="1:6" x14ac:dyDescent="0.25">
      <c r="A124" s="7"/>
      <c r="B124" s="7"/>
      <c r="C124" s="7"/>
      <c r="D124" s="7"/>
      <c r="E124" s="7"/>
    </row>
    <row r="125" spans="1:6" ht="13" x14ac:dyDescent="0.3">
      <c r="A125" s="8" t="s">
        <v>31</v>
      </c>
      <c r="B125" s="8" t="s">
        <v>66</v>
      </c>
      <c r="C125" s="5" t="s">
        <v>101</v>
      </c>
      <c r="D125" s="8" t="s">
        <v>67</v>
      </c>
      <c r="E125" s="7"/>
    </row>
    <row r="126" spans="1:6" x14ac:dyDescent="0.25">
      <c r="A126" s="9"/>
      <c r="B126" s="9"/>
      <c r="C126" s="9"/>
      <c r="D126" s="9"/>
      <c r="E126" s="9"/>
    </row>
    <row r="127" spans="1:6" x14ac:dyDescent="0.25">
      <c r="A127" s="9"/>
      <c r="B127" s="9"/>
      <c r="C127" s="9"/>
      <c r="D127" s="9"/>
      <c r="E127" s="9"/>
    </row>
    <row r="128" spans="1:6" ht="13" x14ac:dyDescent="0.3">
      <c r="A128" s="10" t="s">
        <v>70</v>
      </c>
      <c r="B128" s="7">
        <f>SUM(B126:B127)</f>
        <v>0</v>
      </c>
      <c r="C128" s="7"/>
      <c r="D128" s="7"/>
      <c r="E128" s="7"/>
    </row>
    <row r="129" spans="1:5" x14ac:dyDescent="0.25">
      <c r="A129" s="7"/>
      <c r="B129" s="7"/>
      <c r="C129" s="7"/>
      <c r="D129" s="7"/>
      <c r="E129" s="7"/>
    </row>
    <row r="130" spans="1:5" ht="13" x14ac:dyDescent="0.3">
      <c r="A130" s="8" t="s">
        <v>82</v>
      </c>
      <c r="B130" s="8" t="s">
        <v>66</v>
      </c>
      <c r="C130" s="5" t="s">
        <v>101</v>
      </c>
      <c r="D130" s="8" t="s">
        <v>67</v>
      </c>
      <c r="E130" s="7"/>
    </row>
    <row r="131" spans="1:5" ht="25" x14ac:dyDescent="0.25">
      <c r="A131" s="9" t="s">
        <v>43</v>
      </c>
      <c r="B131" s="9">
        <v>150</v>
      </c>
      <c r="C131" s="9"/>
      <c r="D131" s="17" t="s">
        <v>127</v>
      </c>
      <c r="E131" s="9"/>
    </row>
    <row r="132" spans="1:5" x14ac:dyDescent="0.25">
      <c r="A132" s="9" t="s">
        <v>59</v>
      </c>
      <c r="B132" s="9">
        <v>110</v>
      </c>
      <c r="C132" s="9"/>
      <c r="D132" s="9"/>
      <c r="E132" s="9"/>
    </row>
    <row r="133" spans="1:5" ht="13" x14ac:dyDescent="0.3">
      <c r="A133" s="10" t="s">
        <v>70</v>
      </c>
      <c r="B133" s="7">
        <f>SUM(B131:B132)</f>
        <v>260</v>
      </c>
      <c r="C133" s="7"/>
      <c r="D133" s="7"/>
      <c r="E133" s="7"/>
    </row>
    <row r="134" spans="1:5" x14ac:dyDescent="0.25">
      <c r="A134" s="7"/>
      <c r="B134" s="7"/>
      <c r="C134" s="7"/>
      <c r="D134" s="7"/>
      <c r="E134" s="7"/>
    </row>
    <row r="135" spans="1:5" ht="13" x14ac:dyDescent="0.3">
      <c r="A135" s="8" t="s">
        <v>85</v>
      </c>
      <c r="B135" s="8" t="s">
        <v>66</v>
      </c>
      <c r="C135" s="5" t="s">
        <v>101</v>
      </c>
      <c r="D135" s="8" t="s">
        <v>67</v>
      </c>
      <c r="E135" s="7"/>
    </row>
    <row r="136" spans="1:5" x14ac:dyDescent="0.25">
      <c r="A136" s="9" t="s">
        <v>29</v>
      </c>
      <c r="B136" s="9">
        <v>45</v>
      </c>
      <c r="C136" s="9"/>
      <c r="D136" s="9" t="s">
        <v>128</v>
      </c>
      <c r="E136" s="9"/>
    </row>
    <row r="137" spans="1:5" x14ac:dyDescent="0.25">
      <c r="A137" s="9"/>
      <c r="B137" s="9"/>
      <c r="C137" s="9"/>
      <c r="D137" s="9"/>
      <c r="E137" s="9"/>
    </row>
    <row r="138" spans="1:5" ht="13" x14ac:dyDescent="0.3">
      <c r="A138" s="10" t="s">
        <v>70</v>
      </c>
      <c r="B138" s="7">
        <f>SUM(B136:B137)</f>
        <v>45</v>
      </c>
      <c r="C138" s="7"/>
      <c r="D138" s="7"/>
      <c r="E138" s="7"/>
    </row>
    <row r="139" spans="1:5" ht="13" x14ac:dyDescent="0.3">
      <c r="A139" s="10"/>
      <c r="B139" s="7"/>
      <c r="C139" s="7"/>
      <c r="D139" s="7"/>
      <c r="E139" s="7"/>
    </row>
    <row r="140" spans="1:5" ht="13" x14ac:dyDescent="0.3">
      <c r="A140" s="10" t="s">
        <v>87</v>
      </c>
      <c r="B140" s="7">
        <f>SUM(B123,B128,B133)-B138</f>
        <v>3805</v>
      </c>
      <c r="C140" s="7"/>
      <c r="D140" s="7"/>
      <c r="E140" s="7"/>
    </row>
    <row r="141" spans="1:5" ht="13" x14ac:dyDescent="0.3">
      <c r="A141" s="10"/>
      <c r="B141" s="7"/>
      <c r="C141" s="7"/>
      <c r="D141" s="7"/>
      <c r="E141" s="7"/>
    </row>
    <row r="142" spans="1:5" ht="13" x14ac:dyDescent="0.3">
      <c r="A142" s="11" t="s">
        <v>73</v>
      </c>
      <c r="B142" s="7"/>
      <c r="C142" s="7"/>
      <c r="D142" s="7"/>
      <c r="E142" s="7"/>
    </row>
    <row r="143" spans="1:5" ht="13" x14ac:dyDescent="0.3">
      <c r="A143" s="8" t="s">
        <v>75</v>
      </c>
      <c r="B143" s="8" t="s">
        <v>66</v>
      </c>
      <c r="C143" s="5" t="s">
        <v>101</v>
      </c>
      <c r="D143" s="8" t="s">
        <v>67</v>
      </c>
      <c r="E143" s="7"/>
    </row>
    <row r="144" spans="1:5" x14ac:dyDescent="0.25">
      <c r="A144" s="9" t="s">
        <v>74</v>
      </c>
      <c r="B144" s="9">
        <v>4606.0600000000004</v>
      </c>
      <c r="C144" s="9"/>
      <c r="D144" s="9"/>
      <c r="E144" s="9"/>
    </row>
    <row r="145" spans="1:5" x14ac:dyDescent="0.25">
      <c r="A145" s="9"/>
      <c r="B145" s="9"/>
      <c r="C145" s="9"/>
      <c r="D145" s="9"/>
      <c r="E145" s="9"/>
    </row>
    <row r="146" spans="1:5" ht="13" x14ac:dyDescent="0.3">
      <c r="A146" s="10" t="s">
        <v>70</v>
      </c>
      <c r="B146" s="7">
        <f>SUM(B144:B145)</f>
        <v>4606.0600000000004</v>
      </c>
      <c r="C146" s="7"/>
      <c r="D146" s="7"/>
      <c r="E146" s="7"/>
    </row>
    <row r="147" spans="1:5" ht="13" x14ac:dyDescent="0.3">
      <c r="A147" s="11"/>
      <c r="B147" s="7"/>
      <c r="C147" s="7"/>
      <c r="D147" s="7"/>
      <c r="E147" s="7"/>
    </row>
    <row r="148" spans="1:5" ht="13" x14ac:dyDescent="0.3">
      <c r="A148" s="8" t="s">
        <v>76</v>
      </c>
      <c r="B148" s="8" t="s">
        <v>66</v>
      </c>
      <c r="C148" s="5" t="s">
        <v>101</v>
      </c>
      <c r="D148" s="8" t="s">
        <v>67</v>
      </c>
      <c r="E148" s="7"/>
    </row>
    <row r="149" spans="1:5" x14ac:dyDescent="0.25">
      <c r="A149" s="9"/>
      <c r="B149" s="9"/>
      <c r="C149" s="9"/>
      <c r="D149" s="9"/>
      <c r="E149" s="9"/>
    </row>
    <row r="150" spans="1:5" x14ac:dyDescent="0.25">
      <c r="A150" s="9"/>
      <c r="B150" s="9"/>
      <c r="C150" s="9"/>
      <c r="D150" s="9"/>
      <c r="E150" s="9"/>
    </row>
    <row r="151" spans="1:5" ht="13" x14ac:dyDescent="0.3">
      <c r="A151" s="10" t="s">
        <v>70</v>
      </c>
      <c r="B151" s="7">
        <f>SUM(B149:B150)</f>
        <v>0</v>
      </c>
      <c r="C151" s="7"/>
      <c r="D151" s="7"/>
      <c r="E151" s="7"/>
    </row>
    <row r="152" spans="1:5" x14ac:dyDescent="0.25">
      <c r="A152" s="7"/>
      <c r="B152" s="7"/>
      <c r="C152" s="7"/>
      <c r="D152" s="7"/>
      <c r="E152" s="7"/>
    </row>
    <row r="153" spans="1:5" ht="13" x14ac:dyDescent="0.3">
      <c r="A153" s="8" t="s">
        <v>86</v>
      </c>
      <c r="B153" s="8" t="s">
        <v>66</v>
      </c>
      <c r="C153" s="5" t="s">
        <v>101</v>
      </c>
      <c r="D153" s="8" t="s">
        <v>67</v>
      </c>
      <c r="E153" s="7"/>
    </row>
    <row r="154" spans="1:5" x14ac:dyDescent="0.25">
      <c r="A154" s="9"/>
      <c r="B154" s="9"/>
      <c r="C154" s="9"/>
      <c r="D154" s="9"/>
      <c r="E154" s="9"/>
    </row>
    <row r="155" spans="1:5" x14ac:dyDescent="0.25">
      <c r="A155" s="9"/>
      <c r="B155" s="9"/>
      <c r="C155" s="9"/>
      <c r="D155" s="9"/>
      <c r="E155" s="9"/>
    </row>
    <row r="156" spans="1:5" ht="13" x14ac:dyDescent="0.3">
      <c r="A156" s="10" t="s">
        <v>70</v>
      </c>
      <c r="B156" s="7">
        <f>SUM(B154:B155)</f>
        <v>0</v>
      </c>
      <c r="C156" s="7"/>
      <c r="D156" s="7"/>
      <c r="E156" s="7"/>
    </row>
    <row r="157" spans="1:5" x14ac:dyDescent="0.25">
      <c r="A157" s="7"/>
      <c r="B157" s="7"/>
      <c r="C157" s="7"/>
      <c r="D157" s="7"/>
      <c r="E157" s="7"/>
    </row>
    <row r="158" spans="1:5" ht="13" x14ac:dyDescent="0.3">
      <c r="A158" s="10" t="s">
        <v>88</v>
      </c>
      <c r="B158" s="7">
        <f>SUM(B146,B151)-B156</f>
        <v>4606.0600000000004</v>
      </c>
      <c r="C158" s="7"/>
      <c r="D158" s="7"/>
      <c r="E158" s="7"/>
    </row>
    <row r="159" spans="1:5" x14ac:dyDescent="0.25">
      <c r="A159" s="7"/>
      <c r="B159" s="7"/>
      <c r="C159" s="7"/>
      <c r="D159" s="7"/>
      <c r="E159" s="7"/>
    </row>
    <row r="160" spans="1:5" ht="13" x14ac:dyDescent="0.3">
      <c r="A160" s="5" t="s">
        <v>89</v>
      </c>
      <c r="B160" s="7"/>
      <c r="C160" s="7"/>
      <c r="D160" s="7"/>
      <c r="E160" s="7"/>
    </row>
    <row r="161" spans="1:5" ht="13" x14ac:dyDescent="0.3">
      <c r="A161" s="8" t="s">
        <v>94</v>
      </c>
      <c r="B161" s="8" t="s">
        <v>66</v>
      </c>
      <c r="C161" s="5" t="s">
        <v>101</v>
      </c>
      <c r="D161" s="8" t="s">
        <v>67</v>
      </c>
      <c r="E161" s="7"/>
    </row>
    <row r="162" spans="1:5" x14ac:dyDescent="0.25">
      <c r="A162" s="9" t="s">
        <v>90</v>
      </c>
      <c r="B162" s="15">
        <v>24218.75</v>
      </c>
      <c r="C162" s="9"/>
      <c r="D162" s="9"/>
      <c r="E162" s="9"/>
    </row>
    <row r="163" spans="1:5" x14ac:dyDescent="0.25">
      <c r="A163" s="9" t="s">
        <v>91</v>
      </c>
      <c r="B163" s="9">
        <v>1143.4100000000001</v>
      </c>
      <c r="C163" s="9"/>
      <c r="D163" s="9"/>
      <c r="E163" s="9"/>
    </row>
    <row r="164" spans="1:5" x14ac:dyDescent="0.25">
      <c r="A164" s="9" t="s">
        <v>92</v>
      </c>
      <c r="B164" s="9">
        <v>40000</v>
      </c>
      <c r="C164" s="9"/>
      <c r="D164" s="9"/>
      <c r="E164" s="9"/>
    </row>
    <row r="165" spans="1:5" x14ac:dyDescent="0.25">
      <c r="A165" s="9" t="s">
        <v>93</v>
      </c>
      <c r="B165" s="9">
        <v>7000</v>
      </c>
      <c r="C165" s="9"/>
      <c r="D165" s="9"/>
      <c r="E165" s="9"/>
    </row>
    <row r="166" spans="1:5" x14ac:dyDescent="0.25">
      <c r="A166" s="9" t="s">
        <v>122</v>
      </c>
      <c r="B166" s="9">
        <v>375</v>
      </c>
      <c r="C166" s="9" t="s">
        <v>123</v>
      </c>
      <c r="D166" s="9"/>
      <c r="E166" s="9"/>
    </row>
    <row r="167" spans="1:5" ht="13" x14ac:dyDescent="0.3">
      <c r="A167" s="10" t="s">
        <v>70</v>
      </c>
      <c r="B167" s="7">
        <f>SUM(B162:B166)</f>
        <v>72737.16</v>
      </c>
      <c r="C167" s="7"/>
      <c r="D167" s="7"/>
      <c r="E167" s="7"/>
    </row>
    <row r="168" spans="1:5" x14ac:dyDescent="0.25">
      <c r="A168" s="7"/>
      <c r="B168" s="7"/>
      <c r="C168" s="7"/>
      <c r="D168" s="7"/>
      <c r="E168" s="7"/>
    </row>
    <row r="169" spans="1:5" ht="13" x14ac:dyDescent="0.3">
      <c r="A169" s="5" t="s">
        <v>133</v>
      </c>
      <c r="B169" s="7">
        <f xml:space="preserve"> B158-B140</f>
        <v>801.0600000000004</v>
      </c>
      <c r="C169" s="7"/>
      <c r="D169" s="7"/>
      <c r="E169" s="7"/>
    </row>
    <row r="170" spans="1:5" ht="13" x14ac:dyDescent="0.3">
      <c r="A170" s="5" t="s">
        <v>129</v>
      </c>
      <c r="B170" s="7">
        <f>SUM(B167,B169,B237)</f>
        <v>68090.34</v>
      </c>
      <c r="C170" s="7"/>
      <c r="D170" s="7"/>
      <c r="E170" s="7"/>
    </row>
    <row r="171" spans="1:5" ht="13" x14ac:dyDescent="0.3">
      <c r="A171" s="5" t="s">
        <v>134</v>
      </c>
      <c r="B171" s="7">
        <f>B170-B238</f>
        <v>801.05999999999767</v>
      </c>
      <c r="C171" s="7"/>
      <c r="D171" s="7"/>
      <c r="E171" s="7"/>
    </row>
    <row r="172" spans="1:5" x14ac:dyDescent="0.25">
      <c r="A172" s="69"/>
      <c r="B172" s="69"/>
      <c r="C172" s="69"/>
      <c r="D172" s="69"/>
      <c r="E172" s="69"/>
    </row>
    <row r="173" spans="1:5" x14ac:dyDescent="0.25">
      <c r="A173" s="69"/>
      <c r="B173" s="69"/>
      <c r="C173" s="69"/>
      <c r="D173" s="69"/>
      <c r="E173" s="69"/>
    </row>
    <row r="174" spans="1:5" x14ac:dyDescent="0.25">
      <c r="A174" s="69"/>
      <c r="B174" s="69"/>
      <c r="C174" s="69"/>
      <c r="D174" s="69"/>
      <c r="E174" s="69"/>
    </row>
    <row r="175" spans="1:5" ht="13" x14ac:dyDescent="0.3">
      <c r="A175" s="3" t="s">
        <v>98</v>
      </c>
      <c r="B175" s="68" t="s">
        <v>71</v>
      </c>
      <c r="C175" s="68"/>
      <c r="D175" s="68"/>
      <c r="E175" s="4"/>
    </row>
    <row r="176" spans="1:5" ht="13" x14ac:dyDescent="0.3">
      <c r="A176" s="5" t="s">
        <v>95</v>
      </c>
      <c r="B176" s="12">
        <v>41339</v>
      </c>
      <c r="C176" s="6"/>
      <c r="D176" s="6"/>
      <c r="E176" s="7"/>
    </row>
    <row r="177" spans="1:5" ht="13" x14ac:dyDescent="0.3">
      <c r="A177" s="5" t="s">
        <v>102</v>
      </c>
      <c r="B177" s="13">
        <v>0.9506944444444444</v>
      </c>
      <c r="C177" s="6"/>
      <c r="D177" s="6"/>
      <c r="E177" s="7"/>
    </row>
    <row r="178" spans="1:5" ht="13" x14ac:dyDescent="0.3">
      <c r="A178" s="5"/>
      <c r="B178" s="6"/>
      <c r="C178" s="6"/>
      <c r="D178" s="6"/>
      <c r="E178" s="7"/>
    </row>
    <row r="179" spans="1:5" ht="13" x14ac:dyDescent="0.3">
      <c r="A179" s="5" t="s">
        <v>84</v>
      </c>
      <c r="B179" s="6"/>
      <c r="C179" s="6"/>
      <c r="D179" s="6"/>
      <c r="E179" s="7"/>
    </row>
    <row r="180" spans="1:5" ht="13" x14ac:dyDescent="0.3">
      <c r="A180" s="8" t="s">
        <v>0</v>
      </c>
      <c r="B180" s="8" t="s">
        <v>66</v>
      </c>
      <c r="C180" s="8" t="s">
        <v>67</v>
      </c>
      <c r="D180" s="7"/>
      <c r="E180" s="7"/>
    </row>
    <row r="181" spans="1:5" x14ac:dyDescent="0.25">
      <c r="A181" s="9" t="s">
        <v>1</v>
      </c>
      <c r="B181" s="9">
        <v>3050</v>
      </c>
      <c r="C181" s="9" t="s">
        <v>103</v>
      </c>
      <c r="D181" s="9"/>
      <c r="E181" s="9"/>
    </row>
    <row r="182" spans="1:5" x14ac:dyDescent="0.25">
      <c r="A182" s="9" t="s">
        <v>3</v>
      </c>
      <c r="B182" s="9">
        <v>932</v>
      </c>
      <c r="C182" s="9" t="s">
        <v>103</v>
      </c>
      <c r="D182" s="9"/>
      <c r="E182" s="9"/>
    </row>
    <row r="183" spans="1:5" x14ac:dyDescent="0.25">
      <c r="A183" s="9" t="s">
        <v>2</v>
      </c>
      <c r="B183" s="9">
        <v>12</v>
      </c>
      <c r="C183" s="9" t="s">
        <v>103</v>
      </c>
      <c r="D183" s="9"/>
      <c r="E183" s="9"/>
    </row>
    <row r="184" spans="1:5" x14ac:dyDescent="0.25">
      <c r="A184" s="9" t="s">
        <v>5</v>
      </c>
      <c r="B184" s="9">
        <v>117</v>
      </c>
      <c r="C184" s="9" t="s">
        <v>103</v>
      </c>
      <c r="D184" s="9"/>
      <c r="E184" s="9"/>
    </row>
    <row r="185" spans="1:5" x14ac:dyDescent="0.25">
      <c r="A185" s="9" t="s">
        <v>4</v>
      </c>
      <c r="B185" s="9">
        <v>227</v>
      </c>
      <c r="C185" s="9" t="s">
        <v>103</v>
      </c>
      <c r="D185" s="9"/>
      <c r="E185" s="9"/>
    </row>
    <row r="186" spans="1:5" x14ac:dyDescent="0.25">
      <c r="A186" s="9" t="s">
        <v>14</v>
      </c>
      <c r="B186" s="9">
        <v>836</v>
      </c>
      <c r="C186" s="9" t="s">
        <v>103</v>
      </c>
      <c r="D186" s="9"/>
      <c r="E186" s="9"/>
    </row>
    <row r="187" spans="1:5" x14ac:dyDescent="0.25">
      <c r="A187" s="9" t="s">
        <v>42</v>
      </c>
      <c r="B187" s="9">
        <v>30</v>
      </c>
      <c r="C187" s="9"/>
      <c r="D187" s="9"/>
      <c r="E187" s="9"/>
    </row>
    <row r="188" spans="1:5" x14ac:dyDescent="0.25">
      <c r="A188" s="9" t="s">
        <v>39</v>
      </c>
      <c r="B188" s="9">
        <v>50</v>
      </c>
      <c r="C188" s="9"/>
      <c r="D188" s="9"/>
      <c r="E188" s="9"/>
    </row>
    <row r="189" spans="1:5" ht="13" x14ac:dyDescent="0.3">
      <c r="A189" s="10" t="s">
        <v>70</v>
      </c>
      <c r="B189" s="7">
        <f>SUM(B181:B188)</f>
        <v>5254</v>
      </c>
      <c r="C189" s="7"/>
      <c r="D189" s="7"/>
      <c r="E189" s="7"/>
    </row>
    <row r="190" spans="1:5" x14ac:dyDescent="0.25">
      <c r="A190" s="7"/>
      <c r="B190" s="7"/>
      <c r="C190" s="7"/>
      <c r="D190" s="7"/>
      <c r="E190" s="7"/>
    </row>
    <row r="191" spans="1:5" ht="13" x14ac:dyDescent="0.3">
      <c r="A191" s="8" t="s">
        <v>31</v>
      </c>
      <c r="B191" s="8" t="s">
        <v>66</v>
      </c>
      <c r="C191" s="8" t="s">
        <v>67</v>
      </c>
      <c r="D191" s="7"/>
      <c r="E191" s="7"/>
    </row>
    <row r="192" spans="1:5" x14ac:dyDescent="0.25">
      <c r="A192" s="9"/>
      <c r="B192" s="9"/>
      <c r="C192" s="9"/>
      <c r="D192" s="9"/>
      <c r="E192" s="9"/>
    </row>
    <row r="193" spans="1:5" x14ac:dyDescent="0.25">
      <c r="A193" s="9"/>
      <c r="B193" s="9"/>
      <c r="C193" s="9"/>
      <c r="D193" s="9"/>
      <c r="E193" s="9"/>
    </row>
    <row r="194" spans="1:5" ht="13" x14ac:dyDescent="0.3">
      <c r="A194" s="10" t="s">
        <v>70</v>
      </c>
      <c r="B194" s="7">
        <f>SUM(B192:B193)</f>
        <v>0</v>
      </c>
      <c r="C194" s="7"/>
      <c r="D194" s="7"/>
      <c r="E194" s="7"/>
    </row>
    <row r="195" spans="1:5" x14ac:dyDescent="0.25">
      <c r="A195" s="7"/>
      <c r="B195" s="7"/>
      <c r="C195" s="7"/>
      <c r="D195" s="7"/>
      <c r="E195" s="7"/>
    </row>
    <row r="196" spans="1:5" ht="13" x14ac:dyDescent="0.3">
      <c r="A196" s="8" t="s">
        <v>82</v>
      </c>
      <c r="B196" s="8" t="s">
        <v>66</v>
      </c>
      <c r="C196" s="8" t="s">
        <v>67</v>
      </c>
      <c r="D196" s="7"/>
      <c r="E196" s="7"/>
    </row>
    <row r="197" spans="1:5" x14ac:dyDescent="0.25">
      <c r="A197" s="9" t="s">
        <v>52</v>
      </c>
      <c r="B197" s="9">
        <v>20</v>
      </c>
      <c r="C197" s="9" t="s">
        <v>119</v>
      </c>
      <c r="D197" s="9"/>
      <c r="E197" s="9"/>
    </row>
    <row r="198" spans="1:5" x14ac:dyDescent="0.25">
      <c r="A198" s="9"/>
      <c r="B198" s="9"/>
      <c r="C198" s="9"/>
      <c r="D198" s="9"/>
      <c r="E198" s="9"/>
    </row>
    <row r="199" spans="1:5" ht="13" x14ac:dyDescent="0.3">
      <c r="A199" s="10" t="s">
        <v>70</v>
      </c>
      <c r="B199" s="7">
        <f>SUM(B197:B198)</f>
        <v>20</v>
      </c>
      <c r="C199" s="7"/>
      <c r="D199" s="7"/>
      <c r="E199" s="7"/>
    </row>
    <row r="200" spans="1:5" x14ac:dyDescent="0.25">
      <c r="A200" s="7"/>
      <c r="B200" s="7"/>
      <c r="C200" s="7"/>
      <c r="D200" s="7"/>
      <c r="E200" s="7"/>
    </row>
    <row r="201" spans="1:5" ht="13" x14ac:dyDescent="0.3">
      <c r="A201" s="8" t="s">
        <v>85</v>
      </c>
      <c r="B201" s="8" t="s">
        <v>66</v>
      </c>
      <c r="C201" s="8" t="s">
        <v>67</v>
      </c>
      <c r="D201" s="7"/>
      <c r="E201" s="7"/>
    </row>
    <row r="202" spans="1:5" x14ac:dyDescent="0.25">
      <c r="A202" s="9" t="s">
        <v>24</v>
      </c>
      <c r="B202" s="9">
        <v>0</v>
      </c>
      <c r="C202" s="9"/>
      <c r="D202" s="9"/>
      <c r="E202" s="9"/>
    </row>
    <row r="203" spans="1:5" x14ac:dyDescent="0.25">
      <c r="A203" s="9" t="s">
        <v>104</v>
      </c>
      <c r="B203" s="9">
        <v>750</v>
      </c>
      <c r="C203" s="9" t="s">
        <v>120</v>
      </c>
      <c r="D203" s="9"/>
      <c r="E203" s="9"/>
    </row>
    <row r="204" spans="1:5" x14ac:dyDescent="0.25">
      <c r="A204" s="9" t="s">
        <v>29</v>
      </c>
      <c r="B204" s="9">
        <v>328</v>
      </c>
      <c r="C204" s="9"/>
      <c r="D204" s="9"/>
      <c r="E204" s="9"/>
    </row>
    <row r="205" spans="1:5" x14ac:dyDescent="0.25">
      <c r="A205" s="9" t="s">
        <v>30</v>
      </c>
      <c r="B205" s="9">
        <v>250</v>
      </c>
      <c r="C205" s="9"/>
      <c r="D205" s="9"/>
      <c r="E205" s="9"/>
    </row>
    <row r="206" spans="1:5" ht="13" x14ac:dyDescent="0.3">
      <c r="A206" s="10" t="s">
        <v>70</v>
      </c>
      <c r="B206" s="7">
        <f>SUM(B202:B205)</f>
        <v>1328</v>
      </c>
      <c r="C206" s="7"/>
      <c r="D206" s="7"/>
      <c r="E206" s="7"/>
    </row>
    <row r="207" spans="1:5" ht="13" x14ac:dyDescent="0.3">
      <c r="A207" s="10"/>
      <c r="B207" s="7"/>
      <c r="C207" s="7"/>
      <c r="D207" s="7"/>
      <c r="E207" s="7"/>
    </row>
    <row r="208" spans="1:5" ht="13" x14ac:dyDescent="0.3">
      <c r="A208" s="10" t="s">
        <v>87</v>
      </c>
      <c r="B208" s="7">
        <f>SUM(B189,B194,B199) - B206</f>
        <v>3946</v>
      </c>
      <c r="C208" s="7"/>
      <c r="D208" s="7"/>
      <c r="E208" s="7"/>
    </row>
    <row r="209" spans="1:5" ht="13" x14ac:dyDescent="0.3">
      <c r="A209" s="10"/>
      <c r="B209" s="7"/>
      <c r="C209" s="7"/>
      <c r="D209" s="7"/>
      <c r="E209" s="7"/>
    </row>
    <row r="210" spans="1:5" ht="13" x14ac:dyDescent="0.3">
      <c r="A210" s="11" t="s">
        <v>73</v>
      </c>
      <c r="B210" s="7"/>
      <c r="C210" s="7"/>
      <c r="D210" s="7"/>
      <c r="E210" s="7"/>
    </row>
    <row r="211" spans="1:5" ht="13" x14ac:dyDescent="0.3">
      <c r="A211" s="8" t="s">
        <v>75</v>
      </c>
      <c r="B211" s="8" t="s">
        <v>66</v>
      </c>
      <c r="C211" s="8" t="s">
        <v>67</v>
      </c>
      <c r="D211" s="7"/>
      <c r="E211" s="7"/>
    </row>
    <row r="212" spans="1:5" x14ac:dyDescent="0.25">
      <c r="A212" s="9"/>
      <c r="B212" s="9"/>
      <c r="C212" s="9"/>
      <c r="D212" s="9"/>
      <c r="E212" s="9"/>
    </row>
    <row r="213" spans="1:5" x14ac:dyDescent="0.25">
      <c r="A213" s="9"/>
      <c r="B213" s="9"/>
      <c r="C213" s="9"/>
      <c r="D213" s="9"/>
      <c r="E213" s="9"/>
    </row>
    <row r="214" spans="1:5" ht="13" x14ac:dyDescent="0.3">
      <c r="A214" s="10" t="s">
        <v>70</v>
      </c>
      <c r="B214" s="7">
        <f>SUM(B212:B213)</f>
        <v>0</v>
      </c>
      <c r="C214" s="7"/>
      <c r="D214" s="7"/>
      <c r="E214" s="7"/>
    </row>
    <row r="215" spans="1:5" ht="13" x14ac:dyDescent="0.3">
      <c r="A215" s="11"/>
      <c r="B215" s="7"/>
      <c r="C215" s="7"/>
      <c r="D215" s="7"/>
      <c r="E215" s="7"/>
    </row>
    <row r="216" spans="1:5" ht="13" x14ac:dyDescent="0.3">
      <c r="A216" s="8" t="s">
        <v>76</v>
      </c>
      <c r="B216" s="8" t="s">
        <v>66</v>
      </c>
      <c r="C216" s="8" t="s">
        <v>67</v>
      </c>
      <c r="D216" s="7"/>
      <c r="E216" s="7"/>
    </row>
    <row r="217" spans="1:5" x14ac:dyDescent="0.25">
      <c r="A217" s="9"/>
      <c r="B217" s="9"/>
      <c r="C217" s="9"/>
      <c r="D217" s="9"/>
      <c r="E217" s="9"/>
    </row>
    <row r="218" spans="1:5" x14ac:dyDescent="0.25">
      <c r="A218" s="9"/>
      <c r="B218" s="9"/>
      <c r="C218" s="9"/>
      <c r="D218" s="9"/>
      <c r="E218" s="9"/>
    </row>
    <row r="219" spans="1:5" ht="13" x14ac:dyDescent="0.3">
      <c r="A219" s="10" t="s">
        <v>70</v>
      </c>
      <c r="B219" s="7">
        <f>SUM(B217:B218)</f>
        <v>0</v>
      </c>
      <c r="C219" s="7"/>
      <c r="D219" s="7"/>
      <c r="E219" s="7"/>
    </row>
    <row r="220" spans="1:5" x14ac:dyDescent="0.25">
      <c r="A220" s="7"/>
      <c r="B220" s="7"/>
      <c r="C220" s="7"/>
      <c r="D220" s="7"/>
      <c r="E220" s="7"/>
    </row>
    <row r="221" spans="1:5" ht="13" x14ac:dyDescent="0.3">
      <c r="A221" s="8" t="s">
        <v>86</v>
      </c>
      <c r="B221" s="8" t="s">
        <v>66</v>
      </c>
      <c r="C221" s="8" t="s">
        <v>67</v>
      </c>
      <c r="D221" s="7"/>
      <c r="E221" s="7"/>
    </row>
    <row r="222" spans="1:5" x14ac:dyDescent="0.25">
      <c r="A222" s="9" t="s">
        <v>26</v>
      </c>
      <c r="B222" s="9">
        <v>1501.88</v>
      </c>
      <c r="C222" s="9" t="s">
        <v>121</v>
      </c>
      <c r="D222" s="9"/>
      <c r="E222" s="9"/>
    </row>
    <row r="223" spans="1:5" x14ac:dyDescent="0.25">
      <c r="A223" s="9"/>
      <c r="B223" s="9"/>
      <c r="C223" s="9"/>
      <c r="D223" s="9"/>
      <c r="E223" s="9"/>
    </row>
    <row r="224" spans="1:5" ht="13" x14ac:dyDescent="0.3">
      <c r="A224" s="10" t="s">
        <v>70</v>
      </c>
      <c r="B224" s="7">
        <f>SUM(B222:B223)</f>
        <v>1501.88</v>
      </c>
      <c r="C224" s="7"/>
      <c r="D224" s="7"/>
      <c r="E224" s="7"/>
    </row>
    <row r="225" spans="1:5" x14ac:dyDescent="0.25">
      <c r="A225" s="7"/>
      <c r="B225" s="7"/>
      <c r="C225" s="7"/>
      <c r="D225" s="7"/>
      <c r="E225" s="7"/>
    </row>
    <row r="226" spans="1:5" ht="13" x14ac:dyDescent="0.3">
      <c r="A226" s="10" t="s">
        <v>88</v>
      </c>
      <c r="B226" s="7">
        <f>SUM(B214,B219) - B224</f>
        <v>-1501.88</v>
      </c>
      <c r="C226" s="7"/>
      <c r="D226" s="7"/>
      <c r="E226" s="7"/>
    </row>
    <row r="227" spans="1:5" x14ac:dyDescent="0.25">
      <c r="A227" s="7"/>
      <c r="B227" s="7"/>
      <c r="C227" s="7"/>
      <c r="D227" s="7"/>
      <c r="E227" s="7"/>
    </row>
    <row r="228" spans="1:5" ht="13" x14ac:dyDescent="0.3">
      <c r="A228" s="5" t="s">
        <v>89</v>
      </c>
      <c r="B228" s="7"/>
      <c r="C228" s="7"/>
      <c r="D228" s="7"/>
      <c r="E228" s="7"/>
    </row>
    <row r="229" spans="1:5" ht="13" x14ac:dyDescent="0.3">
      <c r="A229" s="8" t="s">
        <v>94</v>
      </c>
      <c r="B229" s="8" t="s">
        <v>66</v>
      </c>
      <c r="C229" s="8" t="s">
        <v>67</v>
      </c>
      <c r="D229" s="7"/>
      <c r="E229" s="7"/>
    </row>
    <row r="230" spans="1:5" x14ac:dyDescent="0.25">
      <c r="A230" s="9" t="s">
        <v>90</v>
      </c>
      <c r="B230" s="15">
        <v>24218.75</v>
      </c>
      <c r="C230" s="9"/>
      <c r="D230" s="9"/>
      <c r="E230" s="9"/>
    </row>
    <row r="231" spans="1:5" x14ac:dyDescent="0.25">
      <c r="A231" s="9" t="s">
        <v>91</v>
      </c>
      <c r="B231" s="9">
        <v>1143.4100000000001</v>
      </c>
      <c r="C231" s="9"/>
      <c r="D231" s="9"/>
      <c r="E231" s="9"/>
    </row>
    <row r="232" spans="1:5" x14ac:dyDescent="0.25">
      <c r="A232" s="9" t="s">
        <v>92</v>
      </c>
      <c r="B232" s="9">
        <v>40000</v>
      </c>
      <c r="C232" s="9"/>
      <c r="D232" s="9"/>
      <c r="E232" s="9"/>
    </row>
    <row r="233" spans="1:5" x14ac:dyDescent="0.25">
      <c r="A233" s="9" t="s">
        <v>93</v>
      </c>
      <c r="B233" s="9">
        <v>7000</v>
      </c>
      <c r="C233" s="9"/>
      <c r="D233" s="9"/>
      <c r="E233" s="9"/>
    </row>
    <row r="234" spans="1:5" x14ac:dyDescent="0.25">
      <c r="A234" s="9" t="s">
        <v>122</v>
      </c>
      <c r="B234" s="9">
        <v>375</v>
      </c>
      <c r="C234" s="9" t="s">
        <v>123</v>
      </c>
      <c r="D234" s="9"/>
      <c r="E234" s="9"/>
    </row>
    <row r="235" spans="1:5" ht="13" x14ac:dyDescent="0.3">
      <c r="A235" s="10" t="s">
        <v>70</v>
      </c>
      <c r="B235" s="7">
        <f>SUM(B230:B234)</f>
        <v>72737.16</v>
      </c>
      <c r="C235" s="7"/>
      <c r="D235" s="7"/>
      <c r="E235" s="7"/>
    </row>
    <row r="236" spans="1:5" x14ac:dyDescent="0.25">
      <c r="A236" s="7"/>
      <c r="B236" s="7"/>
      <c r="C236" s="7"/>
      <c r="D236" s="7"/>
      <c r="E236" s="7"/>
    </row>
    <row r="237" spans="1:5" ht="13" x14ac:dyDescent="0.3">
      <c r="A237" s="5" t="s">
        <v>99</v>
      </c>
      <c r="B237" s="7">
        <f xml:space="preserve"> B226-B208</f>
        <v>-5447.88</v>
      </c>
      <c r="C237" s="7"/>
      <c r="D237" s="7"/>
      <c r="E237" s="7"/>
    </row>
    <row r="238" spans="1:5" ht="13" x14ac:dyDescent="0.3">
      <c r="A238" s="5" t="s">
        <v>100</v>
      </c>
      <c r="B238" s="7">
        <f>SUM(B235,B237)</f>
        <v>67289.279999999999</v>
      </c>
      <c r="C238" s="7"/>
      <c r="D238" s="7"/>
      <c r="E238" s="7"/>
    </row>
    <row r="239" spans="1:5" ht="13" x14ac:dyDescent="0.3">
      <c r="A239" s="5" t="s">
        <v>108</v>
      </c>
      <c r="B239">
        <v>65924.5</v>
      </c>
      <c r="C239" s="7"/>
      <c r="D239" s="7"/>
      <c r="E239" s="7"/>
    </row>
    <row r="240" spans="1:5" ht="88.5" x14ac:dyDescent="0.3">
      <c r="A240" s="5" t="s">
        <v>110</v>
      </c>
      <c r="B240" s="7">
        <f xml:space="preserve"> B238 - B239</f>
        <v>1364.7799999999988</v>
      </c>
      <c r="C240" s="14" t="s">
        <v>125</v>
      </c>
      <c r="D240" s="7"/>
      <c r="E240" s="7"/>
    </row>
  </sheetData>
  <mergeCells count="4">
    <mergeCell ref="A93:E95"/>
    <mergeCell ref="B96:D96"/>
    <mergeCell ref="A172:E174"/>
    <mergeCell ref="B175:D175"/>
  </mergeCells>
  <phoneticPr fontId="2" type="noConversion"/>
  <dataValidations count="10">
    <dataValidation type="list" allowBlank="1" showInputMessage="1" showErrorMessage="1" sqref="A230:A234 A162:A166" xr:uid="{00000000-0002-0000-0200-000000000000}">
      <formula1>$A$87:$A$91</formula1>
    </dataValidation>
    <dataValidation type="time" operator="greaterThan" allowBlank="1" showInputMessage="1" showErrorMessage="1" sqref="B177 B98" xr:uid="{00000000-0002-0000-0200-000001000000}">
      <formula1>0</formula1>
    </dataValidation>
    <dataValidation type="date" operator="greaterThan" allowBlank="1" showInputMessage="1" showErrorMessage="1" sqref="B176 B97" xr:uid="{00000000-0002-0000-0200-000002000000}">
      <formula1>41275</formula1>
    </dataValidation>
    <dataValidation type="list" allowBlank="1" showInputMessage="1" showErrorMessage="1" sqref="A149:A150 A217:A218" xr:uid="{00000000-0002-0000-0200-000003000000}">
      <formula1>$A$81:$A$84</formula1>
    </dataValidation>
    <dataValidation type="list" allowBlank="1" showInputMessage="1" showErrorMessage="1" sqref="A144:A145 A212:A213" xr:uid="{00000000-0002-0000-0200-000004000000}">
      <formula1>$A$77:$A$78</formula1>
    </dataValidation>
    <dataValidation type="list" allowBlank="1" showInputMessage="1" showErrorMessage="1" sqref="A202:A205 A136:A137" xr:uid="{00000000-0002-0000-0200-000005000000}">
      <formula1>$A$66:$A$70</formula1>
    </dataValidation>
    <dataValidation type="list" allowBlank="1" showInputMessage="1" showErrorMessage="1" sqref="A197:A198 A131:A132" xr:uid="{00000000-0002-0000-0200-000006000000}">
      <formula1>$A$40:$A$63</formula1>
    </dataValidation>
    <dataValidation type="list" allowBlank="1" showInputMessage="1" showErrorMessage="1" sqref="A192:A193 A126:A127" xr:uid="{00000000-0002-0000-0200-000007000000}">
      <formula1>$A$31:$A$37</formula1>
    </dataValidation>
    <dataValidation type="list" allowBlank="1" showInputMessage="1" showErrorMessage="1" sqref="A181:A188 A102:A122" xr:uid="{00000000-0002-0000-0200-000008000000}">
      <formula1>$A$3:$A$28</formula1>
    </dataValidation>
    <dataValidation type="list" allowBlank="1" showInputMessage="1" showErrorMessage="1" sqref="A154:A155 A222:A223" xr:uid="{00000000-0002-0000-0200-000009000000}">
      <formula1>$A$73:$A$74</formula1>
    </dataValidation>
  </dataValidations>
  <pageMargins left="0.75" right="0.75" top="1" bottom="1" header="0.5" footer="0.5"/>
  <pageSetup orientation="portrait"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6"/>
  <sheetViews>
    <sheetView topLeftCell="A111" workbookViewId="0">
      <selection activeCell="B130" sqref="B130"/>
    </sheetView>
  </sheetViews>
  <sheetFormatPr defaultColWidth="8.81640625" defaultRowHeight="12.5" x14ac:dyDescent="0.25"/>
  <cols>
    <col min="1" max="1" width="56.08984375" bestFit="1" customWidth="1"/>
    <col min="2" max="2" width="17.453125" customWidth="1"/>
    <col min="3" max="3" width="70.08984375" bestFit="1" customWidth="1"/>
    <col min="4" max="4" width="3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row>
    <row r="20" spans="1:3" x14ac:dyDescent="0.25">
      <c r="A20" t="s">
        <v>9</v>
      </c>
    </row>
    <row r="21" spans="1:3" x14ac:dyDescent="0.25">
      <c r="A21" t="s">
        <v>28</v>
      </c>
    </row>
    <row r="22" spans="1:3" x14ac:dyDescent="0.25">
      <c r="A22" t="s">
        <v>32</v>
      </c>
      <c r="C22">
        <v>180</v>
      </c>
    </row>
    <row r="23" spans="1:3" x14ac:dyDescent="0.25">
      <c r="A23" t="s">
        <v>33</v>
      </c>
      <c r="C23">
        <v>50</v>
      </c>
    </row>
    <row r="24" spans="1:3" x14ac:dyDescent="0.25">
      <c r="A24" t="s">
        <v>34</v>
      </c>
      <c r="C24">
        <v>50</v>
      </c>
    </row>
    <row r="25" spans="1:3" x14ac:dyDescent="0.25">
      <c r="A25" t="s">
        <v>35</v>
      </c>
      <c r="C25">
        <v>50</v>
      </c>
    </row>
    <row r="26" spans="1:3" x14ac:dyDescent="0.25">
      <c r="A26" t="s">
        <v>39</v>
      </c>
      <c r="C26">
        <v>140</v>
      </c>
    </row>
    <row r="27" spans="1:3" x14ac:dyDescent="0.25">
      <c r="A27" t="s">
        <v>42</v>
      </c>
      <c r="C27">
        <v>50</v>
      </c>
    </row>
    <row r="28" spans="1:3" x14ac:dyDescent="0.25">
      <c r="A28" t="s">
        <v>49</v>
      </c>
    </row>
    <row r="30" spans="1:3" ht="13" x14ac:dyDescent="0.3">
      <c r="A30" s="1" t="s">
        <v>31</v>
      </c>
    </row>
    <row r="31" spans="1:3" x14ac:dyDescent="0.25">
      <c r="A31" t="s">
        <v>25</v>
      </c>
    </row>
    <row r="32" spans="1:3" x14ac:dyDescent="0.25">
      <c r="A32" t="s">
        <v>19</v>
      </c>
    </row>
    <row r="33" spans="1:1" x14ac:dyDescent="0.25">
      <c r="A33" t="s">
        <v>18</v>
      </c>
    </row>
    <row r="34" spans="1:1" x14ac:dyDescent="0.25">
      <c r="A34" t="s">
        <v>20</v>
      </c>
    </row>
    <row r="35" spans="1:1" x14ac:dyDescent="0.25">
      <c r="A35" t="s">
        <v>21</v>
      </c>
    </row>
    <row r="36" spans="1:1" x14ac:dyDescent="0.25">
      <c r="A36" t="s">
        <v>27</v>
      </c>
    </row>
    <row r="37" spans="1:1" x14ac:dyDescent="0.25">
      <c r="A37" t="s">
        <v>36</v>
      </c>
    </row>
    <row r="39" spans="1:1" ht="13" x14ac:dyDescent="0.3">
      <c r="A39" s="1" t="s">
        <v>82</v>
      </c>
    </row>
    <row r="40" spans="1:1" x14ac:dyDescent="0.25">
      <c r="A40" t="s">
        <v>40</v>
      </c>
    </row>
    <row r="41" spans="1:1" x14ac:dyDescent="0.25">
      <c r="A41" t="s">
        <v>41</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81</v>
      </c>
    </row>
    <row r="62" spans="1:1" x14ac:dyDescent="0.25">
      <c r="A62" t="s">
        <v>63</v>
      </c>
    </row>
    <row r="63" spans="1:1" x14ac:dyDescent="0.25">
      <c r="A63" t="s">
        <v>64</v>
      </c>
    </row>
    <row r="65" spans="1:1" ht="13" x14ac:dyDescent="0.3">
      <c r="A65" s="1" t="s">
        <v>85</v>
      </c>
    </row>
    <row r="66" spans="1:1" x14ac:dyDescent="0.25">
      <c r="A66" t="s">
        <v>23</v>
      </c>
    </row>
    <row r="67" spans="1:1" x14ac:dyDescent="0.25">
      <c r="A67" t="s">
        <v>24</v>
      </c>
    </row>
    <row r="68" spans="1:1" x14ac:dyDescent="0.25">
      <c r="A68" t="s">
        <v>29</v>
      </c>
    </row>
    <row r="69" spans="1:1" x14ac:dyDescent="0.25">
      <c r="A69" t="s">
        <v>137</v>
      </c>
    </row>
    <row r="70" spans="1:1" x14ac:dyDescent="0.25">
      <c r="A70" t="s">
        <v>104</v>
      </c>
    </row>
    <row r="71" spans="1:1" x14ac:dyDescent="0.25">
      <c r="A71" t="s">
        <v>30</v>
      </c>
    </row>
    <row r="73" spans="1:1" ht="13" x14ac:dyDescent="0.3">
      <c r="A73" s="1" t="s">
        <v>86</v>
      </c>
    </row>
    <row r="74" spans="1:1" x14ac:dyDescent="0.25">
      <c r="A74" t="s">
        <v>26</v>
      </c>
    </row>
    <row r="75" spans="1:1" x14ac:dyDescent="0.25">
      <c r="A75" t="s">
        <v>72</v>
      </c>
    </row>
    <row r="77" spans="1:1" ht="13" x14ac:dyDescent="0.3">
      <c r="A77" s="1" t="s">
        <v>75</v>
      </c>
    </row>
    <row r="78" spans="1:1" x14ac:dyDescent="0.25">
      <c r="A78" t="s">
        <v>74</v>
      </c>
    </row>
    <row r="79" spans="1:1" x14ac:dyDescent="0.25">
      <c r="A79" t="s">
        <v>83</v>
      </c>
    </row>
    <row r="81" spans="1:5" ht="13" x14ac:dyDescent="0.3">
      <c r="A81" s="1" t="s">
        <v>76</v>
      </c>
    </row>
    <row r="82" spans="1:5" x14ac:dyDescent="0.25">
      <c r="A82" t="s">
        <v>77</v>
      </c>
    </row>
    <row r="83" spans="1:5" x14ac:dyDescent="0.25">
      <c r="A83" t="s">
        <v>78</v>
      </c>
    </row>
    <row r="84" spans="1:5" x14ac:dyDescent="0.25">
      <c r="A84" t="s">
        <v>79</v>
      </c>
    </row>
    <row r="85" spans="1:5" x14ac:dyDescent="0.25">
      <c r="A85" t="s">
        <v>80</v>
      </c>
    </row>
    <row r="87" spans="1:5" ht="13" x14ac:dyDescent="0.3">
      <c r="A87" s="1" t="s">
        <v>89</v>
      </c>
    </row>
    <row r="88" spans="1:5" x14ac:dyDescent="0.25">
      <c r="A88" t="s">
        <v>90</v>
      </c>
    </row>
    <row r="89" spans="1:5" x14ac:dyDescent="0.25">
      <c r="A89" t="s">
        <v>91</v>
      </c>
    </row>
    <row r="90" spans="1:5" x14ac:dyDescent="0.25">
      <c r="A90" t="s">
        <v>92</v>
      </c>
    </row>
    <row r="91" spans="1:5" x14ac:dyDescent="0.25">
      <c r="A91" t="s">
        <v>122</v>
      </c>
    </row>
    <row r="92" spans="1:5" x14ac:dyDescent="0.25">
      <c r="A92" t="s">
        <v>93</v>
      </c>
    </row>
    <row r="94" spans="1:5" x14ac:dyDescent="0.25">
      <c r="A94" s="66"/>
      <c r="B94" s="66"/>
      <c r="C94" s="66"/>
      <c r="D94" s="66"/>
      <c r="E94" s="66"/>
    </row>
    <row r="95" spans="1:5" x14ac:dyDescent="0.25">
      <c r="A95" s="66"/>
      <c r="B95" s="66"/>
      <c r="C95" s="66"/>
      <c r="D95" s="66"/>
      <c r="E95" s="66"/>
    </row>
    <row r="96" spans="1:5" x14ac:dyDescent="0.25">
      <c r="A96" s="67"/>
      <c r="B96" s="67"/>
      <c r="C96" s="67"/>
      <c r="D96" s="67"/>
      <c r="E96" s="67"/>
    </row>
    <row r="97" spans="1:6" ht="13" x14ac:dyDescent="0.3">
      <c r="A97" s="3" t="s">
        <v>65</v>
      </c>
      <c r="B97" s="68" t="s">
        <v>71</v>
      </c>
      <c r="C97" s="68"/>
      <c r="D97" s="68"/>
      <c r="E97" s="4"/>
    </row>
    <row r="98" spans="1:6" ht="13" x14ac:dyDescent="0.3">
      <c r="A98" s="5" t="s">
        <v>95</v>
      </c>
      <c r="B98" s="12">
        <v>41339</v>
      </c>
      <c r="C98" s="6"/>
      <c r="D98" s="6"/>
      <c r="E98" s="7"/>
    </row>
    <row r="99" spans="1:6" ht="13" x14ac:dyDescent="0.3">
      <c r="A99" s="5" t="s">
        <v>102</v>
      </c>
      <c r="B99" s="13">
        <v>0.9506944444444444</v>
      </c>
      <c r="C99" s="6"/>
      <c r="D99" s="6"/>
      <c r="E99" s="7"/>
    </row>
    <row r="100" spans="1:6" ht="13" x14ac:dyDescent="0.3">
      <c r="A100" s="5"/>
      <c r="B100" s="6"/>
      <c r="C100" s="6"/>
      <c r="D100" s="6"/>
      <c r="E100" s="7"/>
    </row>
    <row r="101" spans="1:6" ht="13" x14ac:dyDescent="0.3">
      <c r="A101" s="5" t="s">
        <v>84</v>
      </c>
      <c r="B101" s="6"/>
      <c r="C101" s="6"/>
      <c r="D101" s="6"/>
      <c r="E101" s="7"/>
    </row>
    <row r="102" spans="1:6" ht="13" x14ac:dyDescent="0.3">
      <c r="A102" s="8" t="s">
        <v>0</v>
      </c>
      <c r="B102" s="8" t="s">
        <v>66</v>
      </c>
      <c r="C102" s="5" t="s">
        <v>101</v>
      </c>
      <c r="D102" s="8" t="s">
        <v>67</v>
      </c>
      <c r="E102" s="7"/>
    </row>
    <row r="103" spans="1:6" ht="25.5" x14ac:dyDescent="0.3">
      <c r="A103" s="9" t="s">
        <v>1</v>
      </c>
      <c r="B103" s="9">
        <v>1950</v>
      </c>
      <c r="C103" s="9"/>
      <c r="D103" s="17" t="s">
        <v>138</v>
      </c>
      <c r="E103" s="9"/>
      <c r="F103" s="2"/>
    </row>
    <row r="104" spans="1:6" x14ac:dyDescent="0.25">
      <c r="A104" s="9" t="s">
        <v>3</v>
      </c>
      <c r="B104" s="9">
        <v>614.58000000000004</v>
      </c>
      <c r="C104" s="9"/>
      <c r="D104" s="17"/>
      <c r="E104" s="9"/>
      <c r="F104" s="2"/>
    </row>
    <row r="105" spans="1:6" x14ac:dyDescent="0.25">
      <c r="A105" s="9" t="s">
        <v>4</v>
      </c>
      <c r="B105" s="9">
        <v>231.35</v>
      </c>
      <c r="C105" s="9"/>
      <c r="D105" s="17"/>
      <c r="E105" s="9"/>
      <c r="F105" s="2"/>
    </row>
    <row r="106" spans="1:6" x14ac:dyDescent="0.25">
      <c r="A106" s="9" t="s">
        <v>5</v>
      </c>
      <c r="B106" s="9">
        <v>85.9</v>
      </c>
      <c r="C106" s="9"/>
      <c r="D106" s="17"/>
      <c r="E106" s="9"/>
      <c r="F106" s="2"/>
    </row>
    <row r="107" spans="1:6" x14ac:dyDescent="0.25">
      <c r="A107" s="9" t="s">
        <v>16</v>
      </c>
      <c r="B107" s="9">
        <v>12</v>
      </c>
      <c r="C107" s="9"/>
      <c r="D107" s="9"/>
      <c r="E107" s="9"/>
      <c r="F107" s="2"/>
    </row>
    <row r="108" spans="1:6" x14ac:dyDescent="0.25">
      <c r="A108" s="9" t="s">
        <v>6</v>
      </c>
      <c r="B108" s="9">
        <v>10</v>
      </c>
      <c r="C108" s="9"/>
      <c r="D108" s="9"/>
      <c r="E108" s="9"/>
      <c r="F108" s="2"/>
    </row>
    <row r="109" spans="1:6" x14ac:dyDescent="0.25">
      <c r="A109" s="9" t="s">
        <v>8</v>
      </c>
      <c r="B109" s="9">
        <v>402</v>
      </c>
      <c r="C109" s="9"/>
      <c r="D109" s="9"/>
      <c r="E109" s="9"/>
      <c r="F109" s="2"/>
    </row>
    <row r="110" spans="1:6" x14ac:dyDescent="0.25">
      <c r="A110" s="9" t="s">
        <v>10</v>
      </c>
      <c r="B110" s="9">
        <v>35</v>
      </c>
      <c r="C110" s="9"/>
      <c r="D110" s="9"/>
      <c r="E110" s="9"/>
      <c r="F110" s="2"/>
    </row>
    <row r="111" spans="1:6" x14ac:dyDescent="0.25">
      <c r="A111" s="9" t="s">
        <v>11</v>
      </c>
      <c r="B111" s="9">
        <v>59</v>
      </c>
      <c r="C111" s="9"/>
      <c r="D111" s="9"/>
      <c r="E111" s="9"/>
      <c r="F111" s="2"/>
    </row>
    <row r="112" spans="1:6" x14ac:dyDescent="0.25">
      <c r="A112" s="9" t="s">
        <v>12</v>
      </c>
      <c r="B112" s="9">
        <v>20</v>
      </c>
      <c r="C112" s="9"/>
      <c r="D112" s="9"/>
      <c r="E112" s="9"/>
      <c r="F112" s="2"/>
    </row>
    <row r="113" spans="1:6" x14ac:dyDescent="0.25">
      <c r="A113" s="9" t="s">
        <v>13</v>
      </c>
      <c r="B113" s="9">
        <v>-803.61</v>
      </c>
      <c r="C113" s="9"/>
      <c r="D113" s="9"/>
      <c r="E113" s="9"/>
      <c r="F113" s="2"/>
    </row>
    <row r="114" spans="1:6" x14ac:dyDescent="0.25">
      <c r="A114" s="9" t="s">
        <v>17</v>
      </c>
      <c r="B114" s="9">
        <v>0</v>
      </c>
      <c r="C114" s="9"/>
      <c r="D114" s="9"/>
      <c r="E114" s="9"/>
      <c r="F114" s="2"/>
    </row>
    <row r="115" spans="1:6" x14ac:dyDescent="0.25">
      <c r="A115" s="9" t="s">
        <v>22</v>
      </c>
      <c r="B115" s="9">
        <v>0</v>
      </c>
      <c r="C115" s="9"/>
      <c r="D115" s="9"/>
      <c r="E115" s="9"/>
      <c r="F115" s="2"/>
    </row>
    <row r="116" spans="1:6" x14ac:dyDescent="0.25">
      <c r="A116" s="9" t="s">
        <v>14</v>
      </c>
      <c r="B116" s="9">
        <v>836</v>
      </c>
      <c r="C116" s="9"/>
      <c r="D116" s="9"/>
      <c r="E116" s="9"/>
      <c r="F116" s="2"/>
    </row>
    <row r="117" spans="1:6" x14ac:dyDescent="0.25">
      <c r="A117" s="9" t="s">
        <v>15</v>
      </c>
      <c r="B117" s="9">
        <v>150</v>
      </c>
      <c r="C117" s="9"/>
      <c r="D117" s="17" t="s">
        <v>143</v>
      </c>
      <c r="E117" s="9"/>
      <c r="F117" s="2"/>
    </row>
    <row r="118" spans="1:6" x14ac:dyDescent="0.25">
      <c r="A118" s="9" t="s">
        <v>9</v>
      </c>
      <c r="B118" s="9">
        <v>550</v>
      </c>
      <c r="C118" s="9"/>
      <c r="D118" s="9"/>
      <c r="E118" s="9"/>
      <c r="F118" s="2"/>
    </row>
    <row r="119" spans="1:6" ht="25" x14ac:dyDescent="0.25">
      <c r="A119" s="9" t="s">
        <v>28</v>
      </c>
      <c r="B119" s="9">
        <v>0</v>
      </c>
      <c r="C119" s="9"/>
      <c r="D119" s="17" t="s">
        <v>131</v>
      </c>
      <c r="E119" s="9"/>
      <c r="F119" s="2"/>
    </row>
    <row r="120" spans="1:6" x14ac:dyDescent="0.25">
      <c r="A120" s="9" t="s">
        <v>32</v>
      </c>
      <c r="B120" s="9">
        <v>0</v>
      </c>
      <c r="C120" s="9"/>
      <c r="D120" s="9"/>
      <c r="E120" s="9"/>
      <c r="F120" s="2"/>
    </row>
    <row r="121" spans="1:6" x14ac:dyDescent="0.25">
      <c r="A121" s="9" t="s">
        <v>33</v>
      </c>
      <c r="B121" s="9">
        <v>0</v>
      </c>
      <c r="C121" s="9"/>
      <c r="D121" s="9"/>
      <c r="E121" s="9"/>
      <c r="F121" s="2"/>
    </row>
    <row r="122" spans="1:6" x14ac:dyDescent="0.25">
      <c r="A122" s="9" t="s">
        <v>34</v>
      </c>
      <c r="B122" s="9">
        <v>0</v>
      </c>
      <c r="C122" s="9"/>
      <c r="D122" s="9"/>
      <c r="E122" s="9"/>
      <c r="F122" s="2"/>
    </row>
    <row r="123" spans="1:6" x14ac:dyDescent="0.25">
      <c r="A123" s="9" t="s">
        <v>35</v>
      </c>
      <c r="B123" s="9">
        <v>0</v>
      </c>
      <c r="C123" s="9"/>
      <c r="D123" s="9"/>
      <c r="E123" s="9"/>
      <c r="F123" s="2"/>
    </row>
    <row r="124" spans="1:6" x14ac:dyDescent="0.25">
      <c r="A124" s="9" t="s">
        <v>39</v>
      </c>
      <c r="B124" s="9">
        <v>70</v>
      </c>
      <c r="C124" s="9"/>
      <c r="D124" s="9" t="s">
        <v>126</v>
      </c>
      <c r="E124" s="9"/>
      <c r="F124" s="2"/>
    </row>
    <row r="125" spans="1:6" x14ac:dyDescent="0.25">
      <c r="A125" s="9" t="s">
        <v>42</v>
      </c>
      <c r="B125" s="9">
        <v>50</v>
      </c>
      <c r="C125" s="9"/>
      <c r="D125" s="9"/>
      <c r="E125" s="9"/>
      <c r="F125" s="2"/>
    </row>
    <row r="126" spans="1:6" x14ac:dyDescent="0.25">
      <c r="A126" s="9" t="s">
        <v>49</v>
      </c>
      <c r="B126" s="9">
        <v>50</v>
      </c>
      <c r="C126" s="9"/>
      <c r="D126" s="9"/>
      <c r="E126" s="9"/>
      <c r="F126" s="2"/>
    </row>
    <row r="127" spans="1:6" ht="13" x14ac:dyDescent="0.3">
      <c r="A127" s="10" t="s">
        <v>70</v>
      </c>
      <c r="B127" s="7">
        <f>SUM(B103:B126)</f>
        <v>4322.2199999999993</v>
      </c>
      <c r="C127" s="7"/>
      <c r="D127" s="7"/>
      <c r="E127" s="7"/>
    </row>
    <row r="128" spans="1:6" x14ac:dyDescent="0.25">
      <c r="A128" s="7"/>
      <c r="B128" s="7"/>
      <c r="C128" s="7"/>
      <c r="D128" s="7"/>
      <c r="E128" s="7"/>
    </row>
    <row r="129" spans="1:5" ht="13" x14ac:dyDescent="0.3">
      <c r="A129" s="8" t="s">
        <v>31</v>
      </c>
      <c r="B129" s="8" t="s">
        <v>66</v>
      </c>
      <c r="C129" s="5" t="s">
        <v>101</v>
      </c>
      <c r="D129" s="8" t="s">
        <v>67</v>
      </c>
      <c r="E129" s="7"/>
    </row>
    <row r="130" spans="1:5" x14ac:dyDescent="0.25">
      <c r="A130" s="9" t="s">
        <v>19</v>
      </c>
      <c r="B130" s="9">
        <v>92</v>
      </c>
      <c r="C130" s="9"/>
      <c r="D130" s="9" t="s">
        <v>139</v>
      </c>
      <c r="E130" s="9"/>
    </row>
    <row r="131" spans="1:5" x14ac:dyDescent="0.25">
      <c r="A131" s="9"/>
      <c r="B131" s="9"/>
      <c r="C131" s="9"/>
      <c r="D131" s="9"/>
      <c r="E131" s="9"/>
    </row>
    <row r="132" spans="1:5" ht="13" x14ac:dyDescent="0.3">
      <c r="A132" s="10" t="s">
        <v>70</v>
      </c>
      <c r="B132" s="7">
        <f>SUM(B130:B131)</f>
        <v>92</v>
      </c>
      <c r="C132" s="7"/>
      <c r="D132" s="7"/>
      <c r="E132" s="7"/>
    </row>
    <row r="133" spans="1:5" x14ac:dyDescent="0.25">
      <c r="A133" s="7"/>
      <c r="B133" s="7"/>
      <c r="C133" s="7"/>
      <c r="D133" s="7"/>
      <c r="E133" s="7"/>
    </row>
    <row r="134" spans="1:5" ht="13" x14ac:dyDescent="0.3">
      <c r="A134" s="8" t="s">
        <v>82</v>
      </c>
      <c r="B134" s="8" t="s">
        <v>66</v>
      </c>
      <c r="C134" s="5" t="s">
        <v>101</v>
      </c>
      <c r="D134" s="8" t="s">
        <v>67</v>
      </c>
      <c r="E134" s="7"/>
    </row>
    <row r="135" spans="1:5" ht="25" x14ac:dyDescent="0.25">
      <c r="A135" s="9" t="s">
        <v>43</v>
      </c>
      <c r="B135" s="9">
        <v>0</v>
      </c>
      <c r="C135" s="9"/>
      <c r="D135" s="17" t="s">
        <v>127</v>
      </c>
      <c r="E135" s="9"/>
    </row>
    <row r="136" spans="1:5" x14ac:dyDescent="0.25">
      <c r="A136" s="9" t="s">
        <v>59</v>
      </c>
      <c r="B136" s="9">
        <v>110</v>
      </c>
      <c r="C136" s="9"/>
      <c r="D136" s="9"/>
      <c r="E136" s="9"/>
    </row>
    <row r="137" spans="1:5" ht="13" x14ac:dyDescent="0.3">
      <c r="A137" s="10" t="s">
        <v>70</v>
      </c>
      <c r="B137" s="7">
        <f>SUM(B135:B136)</f>
        <v>110</v>
      </c>
      <c r="C137" s="7"/>
      <c r="D137" s="7"/>
      <c r="E137" s="7"/>
    </row>
    <row r="138" spans="1:5" x14ac:dyDescent="0.25">
      <c r="A138" s="7"/>
      <c r="B138" s="7"/>
      <c r="C138" s="7"/>
      <c r="D138" s="7"/>
      <c r="E138" s="7"/>
    </row>
    <row r="139" spans="1:5" ht="13" x14ac:dyDescent="0.3">
      <c r="A139" s="8" t="s">
        <v>85</v>
      </c>
      <c r="B139" s="8" t="s">
        <v>66</v>
      </c>
      <c r="C139" s="5" t="s">
        <v>101</v>
      </c>
      <c r="D139" s="8" t="s">
        <v>67</v>
      </c>
      <c r="E139" s="7"/>
    </row>
    <row r="140" spans="1:5" ht="25" x14ac:dyDescent="0.25">
      <c r="A140" s="9" t="s">
        <v>104</v>
      </c>
      <c r="B140" s="9">
        <v>750</v>
      </c>
      <c r="C140" s="9"/>
      <c r="D140" s="17" t="s">
        <v>120</v>
      </c>
      <c r="E140" s="9"/>
    </row>
    <row r="141" spans="1:5" ht="62.5" x14ac:dyDescent="0.25">
      <c r="A141" s="9" t="s">
        <v>29</v>
      </c>
      <c r="B141" s="9">
        <v>296.85000000000002</v>
      </c>
      <c r="C141" s="9"/>
      <c r="D141" s="17" t="s">
        <v>140</v>
      </c>
      <c r="E141" s="9"/>
    </row>
    <row r="142" spans="1:5" x14ac:dyDescent="0.25">
      <c r="A142" s="9" t="s">
        <v>30</v>
      </c>
      <c r="B142" s="9">
        <v>150</v>
      </c>
      <c r="C142" s="9"/>
      <c r="D142" s="9"/>
      <c r="E142" s="9"/>
    </row>
    <row r="143" spans="1:5" ht="13" x14ac:dyDescent="0.3">
      <c r="A143" s="10" t="s">
        <v>70</v>
      </c>
      <c r="B143" s="7">
        <f>SUM(B140:B142)</f>
        <v>1196.8499999999999</v>
      </c>
      <c r="C143" s="7"/>
      <c r="D143" s="7"/>
      <c r="E143" s="7"/>
    </row>
    <row r="144" spans="1:5" ht="13" x14ac:dyDescent="0.3">
      <c r="A144" s="10"/>
      <c r="B144" s="7"/>
      <c r="C144" s="7"/>
      <c r="D144" s="7"/>
      <c r="E144" s="7"/>
    </row>
    <row r="145" spans="1:5" ht="13" x14ac:dyDescent="0.3">
      <c r="A145" s="10" t="s">
        <v>87</v>
      </c>
      <c r="B145" s="7">
        <f>SUM(B127,B132,B137)-B143</f>
        <v>3327.3699999999994</v>
      </c>
      <c r="C145" s="7"/>
      <c r="D145" s="7"/>
      <c r="E145" s="7"/>
    </row>
    <row r="146" spans="1:5" ht="13" x14ac:dyDescent="0.3">
      <c r="A146" s="10"/>
      <c r="B146" s="7"/>
      <c r="C146" s="7"/>
      <c r="D146" s="7"/>
      <c r="E146" s="7"/>
    </row>
    <row r="147" spans="1:5" ht="13" x14ac:dyDescent="0.3">
      <c r="A147" s="11" t="s">
        <v>73</v>
      </c>
      <c r="B147" s="7"/>
      <c r="C147" s="7"/>
      <c r="D147" s="7"/>
      <c r="E147" s="7"/>
    </row>
    <row r="148" spans="1:5" ht="13" x14ac:dyDescent="0.3">
      <c r="A148" s="8" t="s">
        <v>75</v>
      </c>
      <c r="B148" s="8" t="s">
        <v>66</v>
      </c>
      <c r="C148" s="5" t="s">
        <v>101</v>
      </c>
      <c r="D148" s="8" t="s">
        <v>67</v>
      </c>
      <c r="E148" s="7"/>
    </row>
    <row r="149" spans="1:5" x14ac:dyDescent="0.25">
      <c r="A149" s="9" t="s">
        <v>74</v>
      </c>
      <c r="B149" s="9">
        <v>0</v>
      </c>
      <c r="C149" s="9"/>
      <c r="D149" s="9" t="s">
        <v>141</v>
      </c>
      <c r="E149" s="9"/>
    </row>
    <row r="150" spans="1:5" x14ac:dyDescent="0.25">
      <c r="A150" s="9"/>
      <c r="B150" s="9"/>
      <c r="C150" s="9"/>
      <c r="D150" s="9"/>
      <c r="E150" s="9"/>
    </row>
    <row r="151" spans="1:5" ht="13" x14ac:dyDescent="0.3">
      <c r="A151" s="10" t="s">
        <v>70</v>
      </c>
      <c r="B151" s="7">
        <f>SUM(B149:B150)</f>
        <v>0</v>
      </c>
      <c r="C151" s="7"/>
      <c r="D151" s="7"/>
      <c r="E151" s="7"/>
    </row>
    <row r="152" spans="1:5" ht="13" x14ac:dyDescent="0.3">
      <c r="A152" s="11"/>
      <c r="B152" s="7"/>
      <c r="C152" s="7"/>
      <c r="D152" s="7"/>
      <c r="E152" s="7"/>
    </row>
    <row r="153" spans="1:5" ht="13" x14ac:dyDescent="0.3">
      <c r="A153" s="8" t="s">
        <v>76</v>
      </c>
      <c r="B153" s="8" t="s">
        <v>66</v>
      </c>
      <c r="C153" s="5" t="s">
        <v>101</v>
      </c>
      <c r="D153" s="8" t="s">
        <v>67</v>
      </c>
      <c r="E153" s="7"/>
    </row>
    <row r="154" spans="1:5" x14ac:dyDescent="0.25">
      <c r="A154" s="9"/>
      <c r="B154" s="9"/>
      <c r="C154" s="9"/>
      <c r="D154" s="9"/>
      <c r="E154" s="9"/>
    </row>
    <row r="155" spans="1:5" x14ac:dyDescent="0.25">
      <c r="A155" s="9"/>
      <c r="B155" s="9"/>
      <c r="C155" s="9"/>
      <c r="D155" s="9"/>
      <c r="E155" s="9"/>
    </row>
    <row r="156" spans="1:5" ht="13" x14ac:dyDescent="0.3">
      <c r="A156" s="10" t="s">
        <v>70</v>
      </c>
      <c r="B156" s="7">
        <f>SUM(B154:B155)</f>
        <v>0</v>
      </c>
      <c r="C156" s="7"/>
      <c r="D156" s="7"/>
      <c r="E156" s="7"/>
    </row>
    <row r="157" spans="1:5" x14ac:dyDescent="0.25">
      <c r="A157" s="7"/>
      <c r="B157" s="7"/>
      <c r="C157" s="7"/>
      <c r="D157" s="7"/>
      <c r="E157" s="7"/>
    </row>
    <row r="158" spans="1:5" ht="13" x14ac:dyDescent="0.3">
      <c r="A158" s="8" t="s">
        <v>86</v>
      </c>
      <c r="B158" s="8" t="s">
        <v>66</v>
      </c>
      <c r="C158" s="5" t="s">
        <v>101</v>
      </c>
      <c r="D158" s="8" t="s">
        <v>67</v>
      </c>
      <c r="E158" s="7"/>
    </row>
    <row r="159" spans="1:5" ht="25" x14ac:dyDescent="0.25">
      <c r="A159" s="9" t="s">
        <v>26</v>
      </c>
      <c r="B159" s="9">
        <v>2635.71</v>
      </c>
      <c r="C159" s="9"/>
      <c r="D159" s="17" t="s">
        <v>135</v>
      </c>
      <c r="E159" s="9"/>
    </row>
    <row r="160" spans="1:5" x14ac:dyDescent="0.25">
      <c r="A160" s="9"/>
      <c r="B160" s="9"/>
      <c r="C160" s="9"/>
      <c r="D160" s="9"/>
      <c r="E160" s="9"/>
    </row>
    <row r="161" spans="1:5" ht="13" x14ac:dyDescent="0.3">
      <c r="A161" s="10" t="s">
        <v>70</v>
      </c>
      <c r="B161" s="7">
        <f>SUM(B159:B160)</f>
        <v>2635.71</v>
      </c>
      <c r="C161" s="7"/>
      <c r="D161" s="7"/>
      <c r="E161" s="7"/>
    </row>
    <row r="162" spans="1:5" x14ac:dyDescent="0.25">
      <c r="A162" s="7"/>
      <c r="B162" s="7"/>
      <c r="C162" s="7"/>
      <c r="D162" s="7"/>
      <c r="E162" s="7"/>
    </row>
    <row r="163" spans="1:5" ht="13" x14ac:dyDescent="0.3">
      <c r="A163" s="10" t="s">
        <v>88</v>
      </c>
      <c r="B163" s="7">
        <f>SUM(B151,B156)-B161</f>
        <v>-2635.71</v>
      </c>
      <c r="C163" s="7"/>
      <c r="D163" s="7"/>
      <c r="E163" s="7"/>
    </row>
    <row r="164" spans="1:5" x14ac:dyDescent="0.25">
      <c r="A164" s="7"/>
      <c r="B164" s="7"/>
      <c r="C164" s="7"/>
      <c r="D164" s="7"/>
      <c r="E164" s="7"/>
    </row>
    <row r="165" spans="1:5" ht="13" x14ac:dyDescent="0.3">
      <c r="A165" s="5" t="s">
        <v>89</v>
      </c>
      <c r="B165" s="7"/>
      <c r="C165" s="7"/>
      <c r="D165" s="7"/>
      <c r="E165" s="7"/>
    </row>
    <row r="166" spans="1:5" ht="13" x14ac:dyDescent="0.3">
      <c r="A166" s="8" t="s">
        <v>94</v>
      </c>
      <c r="B166" s="8" t="s">
        <v>66</v>
      </c>
      <c r="C166" s="5" t="s">
        <v>101</v>
      </c>
      <c r="D166" s="8" t="s">
        <v>67</v>
      </c>
      <c r="E166" s="7"/>
    </row>
    <row r="167" spans="1:5" x14ac:dyDescent="0.25">
      <c r="A167" s="9" t="s">
        <v>90</v>
      </c>
      <c r="B167" s="15">
        <v>35646.699999999997</v>
      </c>
      <c r="C167" s="9"/>
      <c r="D167" s="9"/>
      <c r="E167" s="9"/>
    </row>
    <row r="168" spans="1:5" x14ac:dyDescent="0.25">
      <c r="A168" s="9" t="s">
        <v>91</v>
      </c>
      <c r="B168" s="9">
        <v>448.25</v>
      </c>
      <c r="C168" s="9"/>
      <c r="D168" s="9"/>
      <c r="E168" s="9"/>
    </row>
    <row r="169" spans="1:5" x14ac:dyDescent="0.25">
      <c r="A169" s="9" t="s">
        <v>92</v>
      </c>
      <c r="B169" s="9">
        <v>40000</v>
      </c>
      <c r="C169" s="9"/>
      <c r="D169" s="9"/>
      <c r="E169" s="9"/>
    </row>
    <row r="170" spans="1:5" x14ac:dyDescent="0.25">
      <c r="A170" s="9" t="s">
        <v>93</v>
      </c>
      <c r="B170" s="9">
        <v>7000</v>
      </c>
      <c r="C170" s="9"/>
      <c r="D170" s="9"/>
      <c r="E170" s="9"/>
    </row>
    <row r="171" spans="1:5" x14ac:dyDescent="0.25">
      <c r="A171" s="9" t="s">
        <v>122</v>
      </c>
      <c r="B171" s="9">
        <v>282</v>
      </c>
      <c r="C171" s="9" t="s">
        <v>123</v>
      </c>
      <c r="D171" s="9"/>
      <c r="E171" s="9"/>
    </row>
    <row r="172" spans="1:5" ht="13" x14ac:dyDescent="0.3">
      <c r="A172" s="10" t="s">
        <v>70</v>
      </c>
      <c r="B172" s="7">
        <f>SUM(B167:B171)</f>
        <v>83376.95</v>
      </c>
      <c r="C172" s="7"/>
      <c r="D172" s="7"/>
      <c r="E172" s="7"/>
    </row>
    <row r="173" spans="1:5" x14ac:dyDescent="0.25">
      <c r="A173" s="7"/>
      <c r="B173" s="7"/>
      <c r="C173" s="7"/>
      <c r="D173" s="7"/>
      <c r="E173" s="7"/>
    </row>
    <row r="174" spans="1:5" ht="13" x14ac:dyDescent="0.3">
      <c r="A174" s="5" t="s">
        <v>133</v>
      </c>
      <c r="B174" s="7">
        <f xml:space="preserve"> B163-B145</f>
        <v>-5963.08</v>
      </c>
      <c r="C174" s="7"/>
      <c r="D174" s="7"/>
      <c r="E174" s="7"/>
    </row>
    <row r="175" spans="1:5" ht="13" x14ac:dyDescent="0.3">
      <c r="A175" s="5" t="s">
        <v>129</v>
      </c>
      <c r="B175" s="7">
        <f>SUM(B172,B174)</f>
        <v>77413.87</v>
      </c>
      <c r="C175" s="7"/>
      <c r="D175" s="7"/>
      <c r="E175" s="7"/>
    </row>
    <row r="176" spans="1:5" ht="13" x14ac:dyDescent="0.3">
      <c r="A176" s="5" t="s">
        <v>134</v>
      </c>
      <c r="B176" s="7">
        <f>B175-B244</f>
        <v>630.08999999999651</v>
      </c>
      <c r="C176" s="7"/>
      <c r="D176" s="7"/>
      <c r="E176" s="7"/>
    </row>
    <row r="177" spans="1:5" x14ac:dyDescent="0.25">
      <c r="A177" s="69"/>
      <c r="B177" s="69"/>
      <c r="C177" s="69"/>
      <c r="D177" s="69"/>
      <c r="E177" s="69"/>
    </row>
    <row r="178" spans="1:5" x14ac:dyDescent="0.25">
      <c r="A178" s="69"/>
      <c r="B178" s="69"/>
      <c r="C178" s="69"/>
      <c r="D178" s="69"/>
      <c r="E178" s="69"/>
    </row>
    <row r="179" spans="1:5" x14ac:dyDescent="0.25">
      <c r="A179" s="69"/>
      <c r="B179" s="69"/>
      <c r="C179" s="69"/>
      <c r="D179" s="69"/>
      <c r="E179" s="69"/>
    </row>
    <row r="180" spans="1:5" ht="13" x14ac:dyDescent="0.3">
      <c r="A180" s="3" t="s">
        <v>98</v>
      </c>
      <c r="B180" s="68" t="s">
        <v>71</v>
      </c>
      <c r="C180" s="68"/>
      <c r="D180" s="68"/>
      <c r="E180" s="4"/>
    </row>
    <row r="181" spans="1:5" ht="13" x14ac:dyDescent="0.3">
      <c r="A181" s="5" t="s">
        <v>95</v>
      </c>
      <c r="B181" s="12">
        <v>41392</v>
      </c>
      <c r="C181" s="6"/>
      <c r="D181" s="6"/>
      <c r="E181" s="7"/>
    </row>
    <row r="182" spans="1:5" ht="13" x14ac:dyDescent="0.3">
      <c r="A182" s="5" t="s">
        <v>102</v>
      </c>
      <c r="B182" s="13">
        <v>0.875</v>
      </c>
      <c r="C182" s="6"/>
      <c r="D182" s="6"/>
      <c r="E182" s="7"/>
    </row>
    <row r="183" spans="1:5" ht="13" x14ac:dyDescent="0.3">
      <c r="A183" s="5"/>
      <c r="B183" s="6"/>
      <c r="C183" s="6"/>
      <c r="D183" s="6"/>
      <c r="E183" s="7"/>
    </row>
    <row r="184" spans="1:5" ht="13" x14ac:dyDescent="0.3">
      <c r="A184" s="5" t="s">
        <v>84</v>
      </c>
      <c r="B184" s="6"/>
      <c r="C184" s="6"/>
      <c r="D184" s="6"/>
      <c r="E184" s="7"/>
    </row>
    <row r="185" spans="1:5" ht="13" x14ac:dyDescent="0.3">
      <c r="A185" s="8" t="s">
        <v>0</v>
      </c>
      <c r="B185" s="8" t="s">
        <v>66</v>
      </c>
      <c r="C185" s="8" t="s">
        <v>67</v>
      </c>
      <c r="D185" s="7"/>
      <c r="E185" s="7"/>
    </row>
    <row r="186" spans="1:5" x14ac:dyDescent="0.25">
      <c r="A186" s="9" t="s">
        <v>1</v>
      </c>
      <c r="B186" s="9">
        <v>1500</v>
      </c>
      <c r="C186" s="9" t="s">
        <v>103</v>
      </c>
      <c r="D186" s="9"/>
      <c r="E186" s="9"/>
    </row>
    <row r="187" spans="1:5" x14ac:dyDescent="0.25">
      <c r="A187" s="9" t="s">
        <v>3</v>
      </c>
      <c r="B187" s="9">
        <v>0</v>
      </c>
      <c r="C187" s="9" t="s">
        <v>103</v>
      </c>
      <c r="D187" s="9"/>
      <c r="E187" s="9"/>
    </row>
    <row r="188" spans="1:5" x14ac:dyDescent="0.25">
      <c r="A188" s="9" t="s">
        <v>2</v>
      </c>
      <c r="B188" s="9">
        <v>0</v>
      </c>
      <c r="C188" s="9" t="s">
        <v>103</v>
      </c>
      <c r="D188" s="9"/>
      <c r="E188" s="9"/>
    </row>
    <row r="189" spans="1:5" x14ac:dyDescent="0.25">
      <c r="A189" s="9" t="s">
        <v>5</v>
      </c>
      <c r="B189" s="9">
        <v>0</v>
      </c>
      <c r="C189" s="9" t="s">
        <v>103</v>
      </c>
      <c r="D189" s="9"/>
      <c r="E189" s="9"/>
    </row>
    <row r="190" spans="1:5" x14ac:dyDescent="0.25">
      <c r="A190" s="9" t="s">
        <v>4</v>
      </c>
      <c r="B190" s="9">
        <v>0</v>
      </c>
      <c r="C190" s="9" t="s">
        <v>103</v>
      </c>
      <c r="D190" s="9"/>
      <c r="E190" s="9"/>
    </row>
    <row r="191" spans="1:5" x14ac:dyDescent="0.25">
      <c r="A191" s="9" t="s">
        <v>14</v>
      </c>
      <c r="B191" s="9">
        <v>0</v>
      </c>
      <c r="C191" s="9" t="s">
        <v>103</v>
      </c>
      <c r="D191" s="9"/>
      <c r="E191" s="9"/>
    </row>
    <row r="192" spans="1:5" x14ac:dyDescent="0.25">
      <c r="A192" s="9" t="s">
        <v>42</v>
      </c>
      <c r="B192" s="9">
        <v>0</v>
      </c>
      <c r="C192" s="9"/>
      <c r="D192" s="9"/>
      <c r="E192" s="9"/>
    </row>
    <row r="193" spans="1:5" x14ac:dyDescent="0.25">
      <c r="A193" s="9" t="s">
        <v>39</v>
      </c>
      <c r="B193" s="9">
        <v>0</v>
      </c>
      <c r="C193" s="9"/>
      <c r="D193" s="9"/>
      <c r="E193" s="9"/>
    </row>
    <row r="194" spans="1:5" ht="13" x14ac:dyDescent="0.3">
      <c r="A194" s="10" t="s">
        <v>70</v>
      </c>
      <c r="B194" s="7">
        <f>SUM(B186:B193)</f>
        <v>1500</v>
      </c>
      <c r="C194" s="7"/>
      <c r="D194" s="7"/>
      <c r="E194" s="7"/>
    </row>
    <row r="195" spans="1:5" x14ac:dyDescent="0.25">
      <c r="A195" s="7"/>
      <c r="B195" s="7"/>
      <c r="C195" s="7"/>
      <c r="D195" s="7"/>
      <c r="E195" s="7"/>
    </row>
    <row r="196" spans="1:5" ht="13" x14ac:dyDescent="0.3">
      <c r="A196" s="8" t="s">
        <v>31</v>
      </c>
      <c r="B196" s="8" t="s">
        <v>66</v>
      </c>
      <c r="C196" s="8" t="s">
        <v>67</v>
      </c>
      <c r="D196" s="7"/>
      <c r="E196" s="7"/>
    </row>
    <row r="197" spans="1:5" x14ac:dyDescent="0.25">
      <c r="A197" s="9"/>
      <c r="B197" s="9"/>
      <c r="C197" s="9"/>
      <c r="D197" s="9"/>
      <c r="E197" s="9"/>
    </row>
    <row r="198" spans="1:5" x14ac:dyDescent="0.25">
      <c r="A198" s="9"/>
      <c r="B198" s="9"/>
      <c r="C198" s="9"/>
      <c r="D198" s="9"/>
      <c r="E198" s="9"/>
    </row>
    <row r="199" spans="1:5" ht="13" x14ac:dyDescent="0.3">
      <c r="A199" s="10" t="s">
        <v>70</v>
      </c>
      <c r="B199" s="7">
        <f>SUM(B197:B198)</f>
        <v>0</v>
      </c>
      <c r="C199" s="7"/>
      <c r="D199" s="7"/>
      <c r="E199" s="7"/>
    </row>
    <row r="200" spans="1:5" x14ac:dyDescent="0.25">
      <c r="A200" s="7"/>
      <c r="B200" s="7"/>
      <c r="C200" s="7"/>
      <c r="D200" s="7"/>
      <c r="E200" s="7"/>
    </row>
    <row r="201" spans="1:5" ht="13" x14ac:dyDescent="0.3">
      <c r="A201" s="8" t="s">
        <v>82</v>
      </c>
      <c r="B201" s="8" t="s">
        <v>66</v>
      </c>
      <c r="C201" s="8" t="s">
        <v>67</v>
      </c>
      <c r="D201" s="7"/>
      <c r="E201" s="7"/>
    </row>
    <row r="202" spans="1:5" x14ac:dyDescent="0.25">
      <c r="A202" s="9"/>
      <c r="B202" s="9"/>
      <c r="C202" s="9"/>
      <c r="D202" s="9"/>
      <c r="E202" s="9"/>
    </row>
    <row r="203" spans="1:5" x14ac:dyDescent="0.25">
      <c r="A203" s="9"/>
      <c r="B203" s="9"/>
      <c r="C203" s="9"/>
      <c r="D203" s="9"/>
      <c r="E203" s="9"/>
    </row>
    <row r="204" spans="1:5" ht="13" x14ac:dyDescent="0.3">
      <c r="A204" s="10" t="s">
        <v>70</v>
      </c>
      <c r="B204" s="7">
        <f>SUM(B202:B203)</f>
        <v>0</v>
      </c>
      <c r="C204" s="7"/>
      <c r="D204" s="7"/>
      <c r="E204" s="7"/>
    </row>
    <row r="205" spans="1:5" x14ac:dyDescent="0.25">
      <c r="A205" s="7"/>
      <c r="B205" s="7"/>
      <c r="C205" s="7"/>
      <c r="D205" s="7"/>
      <c r="E205" s="7"/>
    </row>
    <row r="206" spans="1:5" ht="13" x14ac:dyDescent="0.3">
      <c r="A206" s="8" t="s">
        <v>85</v>
      </c>
      <c r="B206" s="8" t="s">
        <v>66</v>
      </c>
      <c r="C206" s="8" t="s">
        <v>67</v>
      </c>
      <c r="D206" s="7"/>
      <c r="E206" s="7"/>
    </row>
    <row r="207" spans="1:5" x14ac:dyDescent="0.25">
      <c r="A207" s="9" t="s">
        <v>24</v>
      </c>
      <c r="B207" s="9">
        <v>0</v>
      </c>
      <c r="C207" s="9"/>
      <c r="D207" s="9"/>
      <c r="E207" s="9"/>
    </row>
    <row r="208" spans="1:5" x14ac:dyDescent="0.25">
      <c r="A208" s="9" t="s">
        <v>104</v>
      </c>
      <c r="B208" s="9">
        <v>750</v>
      </c>
      <c r="C208" s="9" t="s">
        <v>120</v>
      </c>
      <c r="D208" s="9"/>
      <c r="E208" s="9"/>
    </row>
    <row r="209" spans="1:5" x14ac:dyDescent="0.25">
      <c r="A209" s="9" t="s">
        <v>137</v>
      </c>
      <c r="B209" s="9">
        <v>873.61</v>
      </c>
      <c r="C209" s="9"/>
      <c r="D209" s="9"/>
      <c r="E209" s="9"/>
    </row>
    <row r="210" spans="1:5" x14ac:dyDescent="0.25">
      <c r="A210" s="9" t="s">
        <v>29</v>
      </c>
      <c r="B210" s="9">
        <v>236.1</v>
      </c>
      <c r="C210" s="9"/>
      <c r="D210" s="9"/>
      <c r="E210" s="9"/>
    </row>
    <row r="211" spans="1:5" x14ac:dyDescent="0.25">
      <c r="A211" s="9" t="s">
        <v>30</v>
      </c>
      <c r="B211" s="9">
        <v>200</v>
      </c>
      <c r="C211" s="9"/>
      <c r="D211" s="9"/>
      <c r="E211" s="9"/>
    </row>
    <row r="212" spans="1:5" ht="13" x14ac:dyDescent="0.3">
      <c r="A212" s="10" t="s">
        <v>70</v>
      </c>
      <c r="B212" s="7">
        <f>SUM(B207:B211)</f>
        <v>2059.71</v>
      </c>
      <c r="C212" s="7"/>
      <c r="D212" s="7"/>
      <c r="E212" s="7"/>
    </row>
    <row r="213" spans="1:5" ht="13" x14ac:dyDescent="0.3">
      <c r="A213" s="10"/>
      <c r="B213" s="7"/>
      <c r="C213" s="7"/>
      <c r="D213" s="7"/>
      <c r="E213" s="7"/>
    </row>
    <row r="214" spans="1:5" ht="13" x14ac:dyDescent="0.3">
      <c r="A214" s="10" t="s">
        <v>87</v>
      </c>
      <c r="B214" s="7">
        <f>SUM(B194,B199,B204) - B212</f>
        <v>-559.71</v>
      </c>
      <c r="C214" s="7"/>
      <c r="D214" s="7"/>
      <c r="E214" s="7"/>
    </row>
    <row r="215" spans="1:5" ht="13" x14ac:dyDescent="0.3">
      <c r="A215" s="10"/>
      <c r="B215" s="7"/>
      <c r="C215" s="7"/>
      <c r="D215" s="7"/>
      <c r="E215" s="7"/>
    </row>
    <row r="216" spans="1:5" ht="13" x14ac:dyDescent="0.3">
      <c r="A216" s="11" t="s">
        <v>73</v>
      </c>
      <c r="B216" s="7"/>
      <c r="C216" s="7"/>
      <c r="D216" s="7"/>
      <c r="E216" s="7"/>
    </row>
    <row r="217" spans="1:5" ht="13" x14ac:dyDescent="0.3">
      <c r="A217" s="8" t="s">
        <v>75</v>
      </c>
      <c r="B217" s="8" t="s">
        <v>66</v>
      </c>
      <c r="C217" s="8" t="s">
        <v>67</v>
      </c>
      <c r="D217" s="7"/>
      <c r="E217" s="7"/>
    </row>
    <row r="218" spans="1:5" x14ac:dyDescent="0.25">
      <c r="A218" s="9"/>
      <c r="B218" s="9"/>
      <c r="C218" s="9"/>
      <c r="D218" s="9"/>
      <c r="E218" s="9"/>
    </row>
    <row r="219" spans="1:5" x14ac:dyDescent="0.25">
      <c r="A219" s="9"/>
      <c r="B219" s="9"/>
      <c r="C219" s="9"/>
      <c r="D219" s="9"/>
      <c r="E219" s="9"/>
    </row>
    <row r="220" spans="1:5" ht="13" x14ac:dyDescent="0.3">
      <c r="A220" s="10" t="s">
        <v>70</v>
      </c>
      <c r="B220" s="7">
        <f>SUM(B218:B219)</f>
        <v>0</v>
      </c>
      <c r="C220" s="7"/>
      <c r="D220" s="7"/>
      <c r="E220" s="7"/>
    </row>
    <row r="221" spans="1:5" ht="13" x14ac:dyDescent="0.3">
      <c r="A221" s="11"/>
      <c r="B221" s="7"/>
      <c r="C221" s="7"/>
      <c r="D221" s="7"/>
      <c r="E221" s="7"/>
    </row>
    <row r="222" spans="1:5" ht="13" x14ac:dyDescent="0.3">
      <c r="A222" s="8" t="s">
        <v>76</v>
      </c>
      <c r="B222" s="8" t="s">
        <v>66</v>
      </c>
      <c r="C222" s="8" t="s">
        <v>67</v>
      </c>
      <c r="D222" s="7"/>
      <c r="E222" s="7"/>
    </row>
    <row r="223" spans="1:5" x14ac:dyDescent="0.25">
      <c r="A223" s="9"/>
      <c r="B223" s="9"/>
      <c r="C223" s="9"/>
      <c r="D223" s="9"/>
      <c r="E223" s="9"/>
    </row>
    <row r="224" spans="1:5" x14ac:dyDescent="0.25">
      <c r="A224" s="9"/>
      <c r="B224" s="9"/>
      <c r="C224" s="9"/>
      <c r="D224" s="9"/>
      <c r="E224" s="9"/>
    </row>
    <row r="225" spans="1:5" ht="13" x14ac:dyDescent="0.3">
      <c r="A225" s="10" t="s">
        <v>70</v>
      </c>
      <c r="B225" s="7">
        <f>SUM(B223:B224)</f>
        <v>0</v>
      </c>
      <c r="C225" s="7"/>
      <c r="D225" s="7"/>
      <c r="E225" s="7"/>
    </row>
    <row r="226" spans="1:5" x14ac:dyDescent="0.25">
      <c r="A226" s="7"/>
      <c r="B226" s="7"/>
      <c r="C226" s="7"/>
      <c r="D226" s="7"/>
      <c r="E226" s="7"/>
    </row>
    <row r="227" spans="1:5" ht="13" x14ac:dyDescent="0.3">
      <c r="A227" s="8" t="s">
        <v>86</v>
      </c>
      <c r="B227" s="8" t="s">
        <v>66</v>
      </c>
      <c r="C227" s="8" t="s">
        <v>67</v>
      </c>
      <c r="D227" s="7"/>
      <c r="E227" s="7"/>
    </row>
    <row r="228" spans="1:5" x14ac:dyDescent="0.25">
      <c r="A228" s="9" t="s">
        <v>26</v>
      </c>
      <c r="B228" s="9">
        <v>2635.71</v>
      </c>
      <c r="C228" s="9" t="s">
        <v>135</v>
      </c>
      <c r="D228" s="9"/>
      <c r="E228" s="9"/>
    </row>
    <row r="229" spans="1:5" x14ac:dyDescent="0.25">
      <c r="A229" s="9"/>
      <c r="B229" s="9"/>
      <c r="C229" s="9"/>
      <c r="D229" s="9"/>
      <c r="E229" s="9"/>
    </row>
    <row r="230" spans="1:5" ht="13" x14ac:dyDescent="0.3">
      <c r="A230" s="10" t="s">
        <v>70</v>
      </c>
      <c r="B230" s="7">
        <f>SUM(B228:B229)</f>
        <v>2635.71</v>
      </c>
      <c r="C230" s="7"/>
      <c r="D230" s="7"/>
      <c r="E230" s="7"/>
    </row>
    <row r="231" spans="1:5" x14ac:dyDescent="0.25">
      <c r="A231" s="7"/>
      <c r="B231" s="7"/>
      <c r="C231" s="7"/>
      <c r="D231" s="7"/>
      <c r="E231" s="7"/>
    </row>
    <row r="232" spans="1:5" ht="13" x14ac:dyDescent="0.3">
      <c r="A232" s="10" t="s">
        <v>88</v>
      </c>
      <c r="B232" s="7">
        <f>SUM(B220,B225) - B230</f>
        <v>-2635.71</v>
      </c>
      <c r="C232" s="7"/>
      <c r="D232" s="7"/>
      <c r="E232" s="7"/>
    </row>
    <row r="233" spans="1:5" x14ac:dyDescent="0.25">
      <c r="A233" s="7"/>
      <c r="B233" s="7"/>
      <c r="C233" s="7"/>
      <c r="D233" s="7"/>
      <c r="E233" s="7"/>
    </row>
    <row r="234" spans="1:5" ht="13" x14ac:dyDescent="0.3">
      <c r="A234" s="5" t="s">
        <v>89</v>
      </c>
      <c r="B234" s="7"/>
      <c r="C234" s="7"/>
      <c r="D234" s="7"/>
      <c r="E234" s="7"/>
    </row>
    <row r="235" spans="1:5" ht="13" x14ac:dyDescent="0.3">
      <c r="A235" s="8" t="s">
        <v>94</v>
      </c>
      <c r="B235" s="8" t="s">
        <v>66</v>
      </c>
      <c r="C235" s="8" t="s">
        <v>67</v>
      </c>
      <c r="D235" s="7"/>
      <c r="E235" s="7"/>
    </row>
    <row r="236" spans="1:5" x14ac:dyDescent="0.25">
      <c r="A236" s="9" t="s">
        <v>90</v>
      </c>
      <c r="B236" s="15">
        <v>31040.639999999999</v>
      </c>
      <c r="C236" s="9"/>
      <c r="D236" s="9"/>
      <c r="E236" s="9"/>
    </row>
    <row r="237" spans="1:5" x14ac:dyDescent="0.25">
      <c r="A237" s="9" t="s">
        <v>91</v>
      </c>
      <c r="B237" s="9">
        <v>537.14</v>
      </c>
      <c r="C237" s="9"/>
      <c r="D237" s="9"/>
      <c r="E237" s="9"/>
    </row>
    <row r="238" spans="1:5" x14ac:dyDescent="0.25">
      <c r="A238" s="9" t="s">
        <v>92</v>
      </c>
      <c r="B238" s="9">
        <v>40000</v>
      </c>
      <c r="C238" s="9"/>
      <c r="D238" s="9"/>
      <c r="E238" s="9"/>
    </row>
    <row r="239" spans="1:5" x14ac:dyDescent="0.25">
      <c r="A239" s="9" t="s">
        <v>93</v>
      </c>
      <c r="B239" s="9">
        <v>7000</v>
      </c>
      <c r="C239" s="9"/>
      <c r="D239" s="9"/>
      <c r="E239" s="9"/>
    </row>
    <row r="240" spans="1:5" x14ac:dyDescent="0.25">
      <c r="A240" s="9" t="s">
        <v>122</v>
      </c>
      <c r="B240" s="9">
        <v>282</v>
      </c>
      <c r="C240" s="9" t="s">
        <v>136</v>
      </c>
      <c r="D240" s="9"/>
      <c r="E240" s="9"/>
    </row>
    <row r="241" spans="1:5" ht="13" x14ac:dyDescent="0.3">
      <c r="A241" s="10" t="s">
        <v>70</v>
      </c>
      <c r="B241" s="7">
        <f>SUM(B236:B240)</f>
        <v>78859.78</v>
      </c>
      <c r="C241" s="7"/>
      <c r="D241" s="7"/>
      <c r="E241" s="7"/>
    </row>
    <row r="242" spans="1:5" x14ac:dyDescent="0.25">
      <c r="A242" s="7"/>
      <c r="B242" s="7"/>
      <c r="C242" s="7"/>
      <c r="D242" s="7"/>
      <c r="E242" s="7"/>
    </row>
    <row r="243" spans="1:5" ht="13" x14ac:dyDescent="0.3">
      <c r="A243" s="5" t="s">
        <v>99</v>
      </c>
      <c r="B243" s="7">
        <f xml:space="preserve"> B232-B214</f>
        <v>-2076</v>
      </c>
      <c r="C243" s="7"/>
      <c r="D243" s="7"/>
      <c r="E243" s="7"/>
    </row>
    <row r="244" spans="1:5" ht="13" x14ac:dyDescent="0.3">
      <c r="A244" s="5" t="s">
        <v>100</v>
      </c>
      <c r="B244" s="7">
        <f>SUM(B241,B243)</f>
        <v>76783.78</v>
      </c>
      <c r="C244" s="7"/>
      <c r="D244" s="7"/>
      <c r="E244" s="7"/>
    </row>
    <row r="245" spans="1:5" ht="13" x14ac:dyDescent="0.3">
      <c r="A245" s="5" t="s">
        <v>108</v>
      </c>
      <c r="B245" s="7">
        <v>67289.279999999999</v>
      </c>
      <c r="C245" s="7"/>
      <c r="D245" s="7"/>
      <c r="E245" s="7"/>
    </row>
    <row r="246" spans="1:5" ht="13" x14ac:dyDescent="0.3">
      <c r="A246" s="5" t="s">
        <v>110</v>
      </c>
      <c r="B246" s="7">
        <f xml:space="preserve"> B244 - B245</f>
        <v>9494.5</v>
      </c>
      <c r="C246" s="14" t="s">
        <v>142</v>
      </c>
      <c r="D246" s="7"/>
      <c r="E246" s="7"/>
    </row>
  </sheetData>
  <mergeCells count="4">
    <mergeCell ref="A94:E96"/>
    <mergeCell ref="B97:D97"/>
    <mergeCell ref="A177:E179"/>
    <mergeCell ref="B180:D180"/>
  </mergeCells>
  <phoneticPr fontId="2" type="noConversion"/>
  <dataValidations count="10">
    <dataValidation type="list" allowBlank="1" showInputMessage="1" showErrorMessage="1" sqref="A159:A160 A228:A229" xr:uid="{00000000-0002-0000-0300-000000000000}">
      <formula1>$A$74:$A$75</formula1>
    </dataValidation>
    <dataValidation type="list" allowBlank="1" showInputMessage="1" showErrorMessage="1" sqref="A186:A193 A103:A126" xr:uid="{00000000-0002-0000-0300-000001000000}">
      <formula1>$A$3:$A$28</formula1>
    </dataValidation>
    <dataValidation type="list" allowBlank="1" showInputMessage="1" showErrorMessage="1" sqref="A197:A198 A130:A131" xr:uid="{00000000-0002-0000-0300-000002000000}">
      <formula1>$A$31:$A$37</formula1>
    </dataValidation>
    <dataValidation type="list" allowBlank="1" showInputMessage="1" showErrorMessage="1" sqref="A202:A203 A135:A136" xr:uid="{00000000-0002-0000-0300-000003000000}">
      <formula1>$A$40:$A$63</formula1>
    </dataValidation>
    <dataValidation type="list" allowBlank="1" showInputMessage="1" showErrorMessage="1" sqref="A207:A211 A140:A142" xr:uid="{00000000-0002-0000-0300-000004000000}">
      <formula1>$A$66:$A$71</formula1>
    </dataValidation>
    <dataValidation type="list" allowBlank="1" showInputMessage="1" showErrorMessage="1" sqref="A149:A150 A218:A219" xr:uid="{00000000-0002-0000-0300-000005000000}">
      <formula1>$A$78:$A$79</formula1>
    </dataValidation>
    <dataValidation type="list" allowBlank="1" showInputMessage="1" showErrorMessage="1" sqref="A154:A155 A223:A224" xr:uid="{00000000-0002-0000-0300-000006000000}">
      <formula1>$A$82:$A$85</formula1>
    </dataValidation>
    <dataValidation type="date" operator="greaterThan" allowBlank="1" showInputMessage="1" showErrorMessage="1" sqref="B181 B98" xr:uid="{00000000-0002-0000-0300-000007000000}">
      <formula1>41275</formula1>
    </dataValidation>
    <dataValidation type="time" operator="greaterThan" allowBlank="1" showInputMessage="1" showErrorMessage="1" sqref="B182 B99" xr:uid="{00000000-0002-0000-0300-000008000000}">
      <formula1>0</formula1>
    </dataValidation>
    <dataValidation type="list" allowBlank="1" showInputMessage="1" showErrorMessage="1" sqref="A236:A240 A167:A171" xr:uid="{00000000-0002-0000-0300-000009000000}">
      <formula1>$A$88:$A$92</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3"/>
  <sheetViews>
    <sheetView topLeftCell="A131" workbookViewId="0">
      <selection activeCell="B208" sqref="B208"/>
    </sheetView>
  </sheetViews>
  <sheetFormatPr defaultColWidth="8.81640625" defaultRowHeight="12.5" x14ac:dyDescent="0.25"/>
  <cols>
    <col min="1" max="1" width="56.08984375" bestFit="1" customWidth="1"/>
    <col min="2" max="2" width="17.453125" customWidth="1"/>
    <col min="3" max="3" width="72.81640625" customWidth="1"/>
    <col min="4" max="4" width="5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21</v>
      </c>
    </row>
    <row r="39" spans="1:1" x14ac:dyDescent="0.25">
      <c r="A39" t="s">
        <v>27</v>
      </c>
    </row>
    <row r="40" spans="1:1" x14ac:dyDescent="0.25">
      <c r="A40" t="s">
        <v>36</v>
      </c>
    </row>
    <row r="42" spans="1:1" ht="13" x14ac:dyDescent="0.3">
      <c r="A42" s="1" t="s">
        <v>82</v>
      </c>
    </row>
    <row r="43" spans="1:1" x14ac:dyDescent="0.25">
      <c r="A43" t="s">
        <v>40</v>
      </c>
    </row>
    <row r="44" spans="1:1" x14ac:dyDescent="0.25">
      <c r="A44" t="s">
        <v>41</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81</v>
      </c>
    </row>
    <row r="65" spans="1:1" x14ac:dyDescent="0.25">
      <c r="A65" t="s">
        <v>63</v>
      </c>
    </row>
    <row r="66" spans="1:1" x14ac:dyDescent="0.25">
      <c r="A66" t="s">
        <v>64</v>
      </c>
    </row>
    <row r="67" spans="1:1" x14ac:dyDescent="0.25">
      <c r="A67" t="s">
        <v>150</v>
      </c>
    </row>
    <row r="69" spans="1:1" ht="13" x14ac:dyDescent="0.3">
      <c r="A69" s="1" t="s">
        <v>85</v>
      </c>
    </row>
    <row r="70" spans="1:1" x14ac:dyDescent="0.25">
      <c r="A70" t="s">
        <v>23</v>
      </c>
    </row>
    <row r="71" spans="1:1" x14ac:dyDescent="0.25">
      <c r="A71" t="s">
        <v>24</v>
      </c>
    </row>
    <row r="72" spans="1:1" x14ac:dyDescent="0.25">
      <c r="A72" t="s">
        <v>29</v>
      </c>
    </row>
    <row r="73" spans="1:1" x14ac:dyDescent="0.25">
      <c r="A73" t="s">
        <v>137</v>
      </c>
    </row>
    <row r="74" spans="1:1" x14ac:dyDescent="0.25">
      <c r="A74" t="s">
        <v>104</v>
      </c>
    </row>
    <row r="75" spans="1:1" x14ac:dyDescent="0.25">
      <c r="A75" t="s">
        <v>30</v>
      </c>
    </row>
    <row r="77" spans="1:1" ht="13" x14ac:dyDescent="0.3">
      <c r="A77" s="1" t="s">
        <v>86</v>
      </c>
    </row>
    <row r="78" spans="1:1" x14ac:dyDescent="0.25">
      <c r="A78" t="s">
        <v>26</v>
      </c>
    </row>
    <row r="79" spans="1:1" x14ac:dyDescent="0.25">
      <c r="A79" t="s">
        <v>72</v>
      </c>
    </row>
    <row r="81" spans="1:1" ht="13" x14ac:dyDescent="0.3">
      <c r="A81" s="1" t="s">
        <v>75</v>
      </c>
    </row>
    <row r="82" spans="1:1" x14ac:dyDescent="0.25">
      <c r="A82" t="s">
        <v>74</v>
      </c>
    </row>
    <row r="83" spans="1:1" x14ac:dyDescent="0.25">
      <c r="A83" t="s">
        <v>83</v>
      </c>
    </row>
    <row r="85" spans="1:1" ht="13" x14ac:dyDescent="0.3">
      <c r="A85" s="1" t="s">
        <v>76</v>
      </c>
    </row>
    <row r="86" spans="1:1" x14ac:dyDescent="0.25">
      <c r="A86" t="s">
        <v>77</v>
      </c>
    </row>
    <row r="87" spans="1:1" x14ac:dyDescent="0.25">
      <c r="A87" t="s">
        <v>78</v>
      </c>
    </row>
    <row r="88" spans="1:1" x14ac:dyDescent="0.25">
      <c r="A88" t="s">
        <v>79</v>
      </c>
    </row>
    <row r="89" spans="1:1" x14ac:dyDescent="0.25">
      <c r="A89" t="s">
        <v>80</v>
      </c>
    </row>
    <row r="91" spans="1:1" ht="13" x14ac:dyDescent="0.3">
      <c r="A91" s="1" t="s">
        <v>89</v>
      </c>
    </row>
    <row r="92" spans="1:1" x14ac:dyDescent="0.25">
      <c r="A92" t="s">
        <v>90</v>
      </c>
    </row>
    <row r="93" spans="1:1" x14ac:dyDescent="0.25">
      <c r="A93" t="s">
        <v>91</v>
      </c>
    </row>
    <row r="94" spans="1:1" x14ac:dyDescent="0.25">
      <c r="A94" t="s">
        <v>92</v>
      </c>
    </row>
    <row r="95" spans="1:1" x14ac:dyDescent="0.25">
      <c r="A95" t="s">
        <v>122</v>
      </c>
    </row>
    <row r="96" spans="1:1" x14ac:dyDescent="0.25">
      <c r="A96" t="s">
        <v>93</v>
      </c>
    </row>
    <row r="98" spans="1:6" x14ac:dyDescent="0.25">
      <c r="A98" s="66"/>
      <c r="B98" s="66"/>
      <c r="C98" s="66"/>
      <c r="D98" s="66"/>
      <c r="E98" s="66"/>
    </row>
    <row r="99" spans="1:6" x14ac:dyDescent="0.25">
      <c r="A99" s="66"/>
      <c r="B99" s="66"/>
      <c r="C99" s="66"/>
      <c r="D99" s="66"/>
      <c r="E99" s="66"/>
    </row>
    <row r="100" spans="1:6" x14ac:dyDescent="0.25">
      <c r="A100" s="67"/>
      <c r="B100" s="67"/>
      <c r="C100" s="67"/>
      <c r="D100" s="67"/>
      <c r="E100" s="67"/>
    </row>
    <row r="101" spans="1:6" ht="13" x14ac:dyDescent="0.3">
      <c r="A101" s="3" t="s">
        <v>65</v>
      </c>
      <c r="B101" s="68" t="s">
        <v>71</v>
      </c>
      <c r="C101" s="68"/>
      <c r="D101" s="68"/>
      <c r="E101" s="4"/>
    </row>
    <row r="102" spans="1:6" ht="13" x14ac:dyDescent="0.3">
      <c r="A102" s="5" t="s">
        <v>95</v>
      </c>
      <c r="B102" s="12">
        <v>41506</v>
      </c>
      <c r="C102" s="6"/>
      <c r="D102" s="6"/>
      <c r="E102" s="7"/>
    </row>
    <row r="103" spans="1:6" ht="13" x14ac:dyDescent="0.3">
      <c r="A103" s="5" t="s">
        <v>102</v>
      </c>
      <c r="B103" s="13">
        <v>4.6527777777777779E-2</v>
      </c>
      <c r="C103" s="6"/>
      <c r="D103" s="6"/>
      <c r="E103" s="7"/>
    </row>
    <row r="104" spans="1:6" ht="13" x14ac:dyDescent="0.3">
      <c r="A104" s="5"/>
      <c r="B104" s="6"/>
      <c r="C104" s="6"/>
      <c r="D104" s="6"/>
      <c r="E104" s="7"/>
    </row>
    <row r="105" spans="1:6" ht="13" x14ac:dyDescent="0.3">
      <c r="A105" s="5" t="s">
        <v>84</v>
      </c>
      <c r="B105" s="6"/>
      <c r="C105" s="6"/>
      <c r="D105" s="6"/>
      <c r="E105" s="7"/>
    </row>
    <row r="106" spans="1:6" ht="13" x14ac:dyDescent="0.3">
      <c r="A106" s="8" t="s">
        <v>0</v>
      </c>
      <c r="B106" s="8" t="s">
        <v>66</v>
      </c>
      <c r="C106" s="5" t="s">
        <v>101</v>
      </c>
      <c r="D106" s="8" t="s">
        <v>67</v>
      </c>
      <c r="E106" s="7"/>
    </row>
    <row r="107" spans="1:6" x14ac:dyDescent="0.25">
      <c r="A107" s="9" t="s">
        <v>1</v>
      </c>
      <c r="B107" s="9">
        <v>900</v>
      </c>
      <c r="C107" s="9"/>
      <c r="D107" s="17"/>
      <c r="E107" s="9"/>
      <c r="F107" s="2"/>
    </row>
    <row r="108" spans="1:6" x14ac:dyDescent="0.25">
      <c r="A108" s="9" t="s">
        <v>3</v>
      </c>
      <c r="B108" s="9">
        <v>136</v>
      </c>
      <c r="C108" s="9"/>
      <c r="D108" s="17"/>
      <c r="E108" s="9"/>
      <c r="F108" s="2"/>
    </row>
    <row r="109" spans="1:6" x14ac:dyDescent="0.25">
      <c r="A109" s="9" t="s">
        <v>4</v>
      </c>
      <c r="B109" s="9">
        <v>146</v>
      </c>
      <c r="C109" s="9"/>
      <c r="D109" s="17"/>
      <c r="E109" s="9"/>
      <c r="F109" s="2"/>
    </row>
    <row r="110" spans="1:6" x14ac:dyDescent="0.25">
      <c r="A110" s="9" t="s">
        <v>5</v>
      </c>
      <c r="B110" s="9">
        <v>0</v>
      </c>
      <c r="C110" s="9"/>
      <c r="D110" s="17"/>
      <c r="E110" s="9"/>
      <c r="F110" s="2"/>
    </row>
    <row r="111" spans="1:6" x14ac:dyDescent="0.25">
      <c r="A111" s="9" t="s">
        <v>16</v>
      </c>
      <c r="B111" s="9">
        <v>0</v>
      </c>
      <c r="C111" s="9"/>
      <c r="D111" s="9"/>
      <c r="E111" s="9"/>
      <c r="F111" s="2"/>
    </row>
    <row r="112" spans="1:6" x14ac:dyDescent="0.25">
      <c r="A112" s="9" t="s">
        <v>6</v>
      </c>
      <c r="B112" s="9">
        <v>10</v>
      </c>
      <c r="C112" s="9"/>
      <c r="D112" s="9"/>
      <c r="E112" s="9"/>
      <c r="F112" s="2"/>
    </row>
    <row r="113" spans="1:6" x14ac:dyDescent="0.25">
      <c r="A113" s="9" t="s">
        <v>8</v>
      </c>
      <c r="B113" s="9">
        <v>402</v>
      </c>
      <c r="C113" s="9"/>
      <c r="D113" s="9"/>
      <c r="E113" s="9"/>
      <c r="F113" s="2"/>
    </row>
    <row r="114" spans="1:6" x14ac:dyDescent="0.25">
      <c r="A114" s="9" t="s">
        <v>10</v>
      </c>
      <c r="B114" s="9">
        <v>100</v>
      </c>
      <c r="C114" s="9"/>
      <c r="D114" s="9"/>
      <c r="E114" s="9"/>
      <c r="F114" s="2"/>
    </row>
    <row r="115" spans="1:6" x14ac:dyDescent="0.25">
      <c r="A115" s="9" t="s">
        <v>11</v>
      </c>
      <c r="B115" s="9">
        <v>59</v>
      </c>
      <c r="C115" s="9"/>
      <c r="D115" s="9"/>
      <c r="E115" s="9"/>
      <c r="F115" s="2"/>
    </row>
    <row r="116" spans="1:6" x14ac:dyDescent="0.25">
      <c r="A116" s="9" t="s">
        <v>12</v>
      </c>
      <c r="B116" s="9">
        <v>20</v>
      </c>
      <c r="C116" s="9"/>
      <c r="D116" s="9"/>
      <c r="E116" s="9"/>
      <c r="F116" s="2"/>
    </row>
    <row r="117" spans="1:6" x14ac:dyDescent="0.25">
      <c r="A117" s="9" t="s">
        <v>13</v>
      </c>
      <c r="B117" s="9">
        <v>-441.92</v>
      </c>
      <c r="C117" s="9"/>
      <c r="D117" s="9"/>
      <c r="E117" s="9"/>
      <c r="F117" s="2"/>
    </row>
    <row r="118" spans="1:6" x14ac:dyDescent="0.25">
      <c r="A118" s="9" t="s">
        <v>17</v>
      </c>
      <c r="B118" s="9">
        <v>103</v>
      </c>
      <c r="C118" s="9"/>
      <c r="D118" s="9"/>
      <c r="E118" s="9"/>
      <c r="F118" s="2"/>
    </row>
    <row r="119" spans="1:6" x14ac:dyDescent="0.25">
      <c r="A119" s="9" t="s">
        <v>22</v>
      </c>
      <c r="B119" s="9">
        <v>0</v>
      </c>
      <c r="C119" s="9"/>
      <c r="D119" s="9"/>
      <c r="E119" s="9"/>
      <c r="F119" s="2"/>
    </row>
    <row r="120" spans="1:6" x14ac:dyDescent="0.25">
      <c r="A120" s="9" t="s">
        <v>14</v>
      </c>
      <c r="B120" s="9">
        <v>836</v>
      </c>
      <c r="C120" s="9"/>
      <c r="D120" s="9"/>
      <c r="E120" s="9"/>
      <c r="F120" s="2"/>
    </row>
    <row r="121" spans="1:6" x14ac:dyDescent="0.25">
      <c r="A121" s="9" t="s">
        <v>15</v>
      </c>
      <c r="B121" s="9">
        <v>20</v>
      </c>
      <c r="C121" s="9"/>
      <c r="D121" s="17"/>
      <c r="E121" s="9"/>
      <c r="F121" s="2"/>
    </row>
    <row r="122" spans="1:6" x14ac:dyDescent="0.25">
      <c r="A122" s="9" t="s">
        <v>9</v>
      </c>
      <c r="B122" s="9">
        <v>550</v>
      </c>
      <c r="C122" s="9"/>
      <c r="D122" s="9"/>
      <c r="E122" s="9"/>
      <c r="F122" s="2"/>
    </row>
    <row r="123" spans="1:6" x14ac:dyDescent="0.25">
      <c r="A123" s="9" t="s">
        <v>28</v>
      </c>
      <c r="B123" s="9">
        <v>0</v>
      </c>
      <c r="C123" s="9"/>
      <c r="D123" s="17"/>
      <c r="E123" s="9"/>
      <c r="F123" s="2"/>
    </row>
    <row r="124" spans="1:6" x14ac:dyDescent="0.25">
      <c r="A124" s="9" t="s">
        <v>153</v>
      </c>
      <c r="B124" s="9">
        <v>40</v>
      </c>
      <c r="C124" s="9"/>
      <c r="D124" s="17"/>
      <c r="E124" s="9"/>
      <c r="F124" s="2"/>
    </row>
    <row r="125" spans="1:6" x14ac:dyDescent="0.25">
      <c r="A125" s="9" t="s">
        <v>32</v>
      </c>
      <c r="B125" s="9">
        <v>0</v>
      </c>
      <c r="C125" s="9"/>
      <c r="D125" s="9"/>
      <c r="E125" s="9"/>
      <c r="F125" s="2"/>
    </row>
    <row r="126" spans="1:6" x14ac:dyDescent="0.25">
      <c r="A126" s="9" t="s">
        <v>33</v>
      </c>
      <c r="B126" s="9">
        <v>0</v>
      </c>
      <c r="C126" s="9"/>
      <c r="D126" s="9"/>
      <c r="E126" s="9"/>
      <c r="F126" s="2"/>
    </row>
    <row r="127" spans="1:6" x14ac:dyDescent="0.25">
      <c r="A127" s="9" t="s">
        <v>34</v>
      </c>
      <c r="B127" s="9">
        <v>60</v>
      </c>
      <c r="C127" s="9"/>
      <c r="D127" s="9"/>
      <c r="E127" s="9"/>
      <c r="F127" s="2"/>
    </row>
    <row r="128" spans="1:6" x14ac:dyDescent="0.25">
      <c r="A128" s="9" t="s">
        <v>35</v>
      </c>
      <c r="B128" s="9">
        <v>0</v>
      </c>
      <c r="C128" s="9"/>
      <c r="D128" s="9"/>
      <c r="E128" s="9"/>
      <c r="F128" s="2"/>
    </row>
    <row r="129" spans="1:6" x14ac:dyDescent="0.25">
      <c r="A129" s="9" t="s">
        <v>39</v>
      </c>
      <c r="B129" s="9">
        <v>120</v>
      </c>
      <c r="C129" s="9"/>
      <c r="D129" s="9" t="s">
        <v>146</v>
      </c>
      <c r="E129" s="9"/>
      <c r="F129" s="2"/>
    </row>
    <row r="130" spans="1:6" x14ac:dyDescent="0.25">
      <c r="A130" s="9" t="s">
        <v>42</v>
      </c>
      <c r="B130" s="9">
        <v>40</v>
      </c>
      <c r="C130" s="9"/>
      <c r="D130" s="9"/>
      <c r="E130" s="9"/>
      <c r="F130" s="2"/>
    </row>
    <row r="131" spans="1:6" x14ac:dyDescent="0.25">
      <c r="A131" s="9" t="s">
        <v>49</v>
      </c>
      <c r="B131" s="9">
        <v>50</v>
      </c>
      <c r="C131" s="9"/>
      <c r="D131" s="9"/>
      <c r="E131" s="9"/>
      <c r="F131" s="2"/>
    </row>
    <row r="132" spans="1:6" x14ac:dyDescent="0.25">
      <c r="A132" s="9" t="s">
        <v>151</v>
      </c>
      <c r="B132" s="9">
        <v>30</v>
      </c>
      <c r="C132" s="9"/>
      <c r="D132" s="9" t="s">
        <v>152</v>
      </c>
      <c r="E132" s="9"/>
      <c r="F132" s="2"/>
    </row>
    <row r="133" spans="1:6" x14ac:dyDescent="0.25">
      <c r="A133" s="9" t="s">
        <v>149</v>
      </c>
      <c r="B133" s="9">
        <v>140</v>
      </c>
      <c r="C133" s="9"/>
      <c r="D133" s="9"/>
      <c r="E133" s="9"/>
      <c r="F133" s="2"/>
    </row>
    <row r="134" spans="1:6" ht="13" x14ac:dyDescent="0.3">
      <c r="A134" s="10" t="s">
        <v>70</v>
      </c>
      <c r="B134" s="7">
        <f>SUM(B107:B133)</f>
        <v>3320.08</v>
      </c>
      <c r="C134" s="7"/>
      <c r="D134" s="7"/>
      <c r="E134" s="7"/>
    </row>
    <row r="135" spans="1:6" x14ac:dyDescent="0.25">
      <c r="A135" s="7"/>
      <c r="B135" s="7"/>
      <c r="C135" s="7"/>
      <c r="D135" s="7"/>
      <c r="E135" s="7"/>
    </row>
    <row r="136" spans="1:6" ht="13" x14ac:dyDescent="0.3">
      <c r="A136" s="8" t="s">
        <v>31</v>
      </c>
      <c r="B136" s="8" t="s">
        <v>66</v>
      </c>
      <c r="C136" s="5" t="s">
        <v>101</v>
      </c>
      <c r="D136" s="8" t="s">
        <v>67</v>
      </c>
      <c r="E136" s="7"/>
    </row>
    <row r="137" spans="1:6" x14ac:dyDescent="0.25">
      <c r="A137" s="9" t="s">
        <v>19</v>
      </c>
      <c r="B137" s="9">
        <v>10</v>
      </c>
      <c r="C137" s="9"/>
      <c r="D137" s="9" t="s">
        <v>154</v>
      </c>
      <c r="E137" s="9"/>
    </row>
    <row r="138" spans="1:6" x14ac:dyDescent="0.25">
      <c r="A138" s="9"/>
      <c r="B138" s="9"/>
      <c r="C138" s="9"/>
      <c r="D138" s="9"/>
      <c r="E138" s="9"/>
    </row>
    <row r="139" spans="1:6" ht="13" x14ac:dyDescent="0.3">
      <c r="A139" s="10" t="s">
        <v>70</v>
      </c>
      <c r="B139" s="7">
        <f>SUM(B137:B138)</f>
        <v>10</v>
      </c>
      <c r="C139" s="7"/>
      <c r="D139" s="7"/>
      <c r="E139" s="7"/>
    </row>
    <row r="140" spans="1:6" x14ac:dyDescent="0.25">
      <c r="A140" s="7"/>
      <c r="B140" s="7"/>
      <c r="C140" s="7"/>
      <c r="D140" s="7"/>
      <c r="E140" s="7"/>
    </row>
    <row r="141" spans="1:6" ht="13" x14ac:dyDescent="0.3">
      <c r="A141" s="8" t="s">
        <v>82</v>
      </c>
      <c r="B141" s="8" t="s">
        <v>66</v>
      </c>
      <c r="C141" s="5" t="s">
        <v>101</v>
      </c>
      <c r="D141" s="8" t="s">
        <v>67</v>
      </c>
      <c r="E141" s="7"/>
    </row>
    <row r="142" spans="1:6" x14ac:dyDescent="0.25">
      <c r="A142" s="9" t="s">
        <v>150</v>
      </c>
      <c r="B142" s="9">
        <v>80</v>
      </c>
      <c r="C142" s="9"/>
      <c r="D142" s="17"/>
      <c r="E142" s="9"/>
    </row>
    <row r="143" spans="1:6" x14ac:dyDescent="0.25">
      <c r="A143" s="9" t="s">
        <v>59</v>
      </c>
      <c r="B143" s="9">
        <v>110</v>
      </c>
      <c r="C143" s="9"/>
      <c r="D143" s="9"/>
      <c r="E143" s="9"/>
    </row>
    <row r="144" spans="1:6" ht="13" x14ac:dyDescent="0.3">
      <c r="A144" s="10" t="s">
        <v>70</v>
      </c>
      <c r="B144" s="7">
        <f>SUM(B142:B143)</f>
        <v>190</v>
      </c>
      <c r="C144" s="7"/>
      <c r="D144" s="7"/>
      <c r="E144" s="7"/>
    </row>
    <row r="145" spans="1:5" x14ac:dyDescent="0.25">
      <c r="A145" s="7"/>
      <c r="B145" s="7"/>
      <c r="C145" s="7"/>
      <c r="D145" s="7"/>
      <c r="E145" s="7"/>
    </row>
    <row r="146" spans="1:5" ht="13" x14ac:dyDescent="0.3">
      <c r="A146" s="8" t="s">
        <v>85</v>
      </c>
      <c r="B146" s="8" t="s">
        <v>66</v>
      </c>
      <c r="C146" s="5" t="s">
        <v>101</v>
      </c>
      <c r="D146" s="8" t="s">
        <v>67</v>
      </c>
      <c r="E146" s="7"/>
    </row>
    <row r="147" spans="1:5" x14ac:dyDescent="0.25">
      <c r="A147" s="9" t="s">
        <v>104</v>
      </c>
      <c r="B147" s="9">
        <v>0</v>
      </c>
      <c r="C147" s="9"/>
      <c r="D147" s="17"/>
      <c r="E147" s="9"/>
    </row>
    <row r="148" spans="1:5" x14ac:dyDescent="0.25">
      <c r="A148" s="9" t="s">
        <v>29</v>
      </c>
      <c r="B148" s="9">
        <v>390</v>
      </c>
      <c r="C148" s="9"/>
      <c r="D148" s="17"/>
      <c r="E148" s="9"/>
    </row>
    <row r="149" spans="1:5" x14ac:dyDescent="0.25">
      <c r="A149" s="9" t="s">
        <v>30</v>
      </c>
      <c r="B149" s="9">
        <v>145</v>
      </c>
      <c r="C149" s="9"/>
      <c r="D149" s="9"/>
      <c r="E149" s="9"/>
    </row>
    <row r="150" spans="1:5" ht="13" x14ac:dyDescent="0.3">
      <c r="A150" s="10" t="s">
        <v>70</v>
      </c>
      <c r="B150" s="7">
        <f>SUM(B147:B149)</f>
        <v>535</v>
      </c>
      <c r="C150" s="7"/>
      <c r="D150" s="7"/>
      <c r="E150" s="7"/>
    </row>
    <row r="151" spans="1:5" ht="13" x14ac:dyDescent="0.3">
      <c r="A151" s="10"/>
      <c r="B151" s="7"/>
      <c r="C151" s="7"/>
      <c r="D151" s="7"/>
      <c r="E151" s="7"/>
    </row>
    <row r="152" spans="1:5" ht="13" x14ac:dyDescent="0.3">
      <c r="A152" s="10" t="s">
        <v>87</v>
      </c>
      <c r="B152" s="7">
        <f>SUM(B134,B139,B144)-B150</f>
        <v>2985.08</v>
      </c>
      <c r="C152" s="7"/>
      <c r="D152" s="7"/>
      <c r="E152" s="7"/>
    </row>
    <row r="153" spans="1:5" ht="13" x14ac:dyDescent="0.3">
      <c r="A153" s="10"/>
      <c r="B153" s="7"/>
      <c r="C153" s="7"/>
      <c r="D153" s="7"/>
      <c r="E153" s="7"/>
    </row>
    <row r="154" spans="1:5" ht="13" x14ac:dyDescent="0.3">
      <c r="A154" s="11" t="s">
        <v>73</v>
      </c>
      <c r="B154" s="7"/>
      <c r="C154" s="7"/>
      <c r="D154" s="7"/>
      <c r="E154" s="7"/>
    </row>
    <row r="155" spans="1:5" ht="13" x14ac:dyDescent="0.3">
      <c r="A155" s="8" t="s">
        <v>75</v>
      </c>
      <c r="B155" s="8" t="s">
        <v>66</v>
      </c>
      <c r="C155" s="5" t="s">
        <v>101</v>
      </c>
      <c r="D155" s="8" t="s">
        <v>67</v>
      </c>
      <c r="E155" s="7"/>
    </row>
    <row r="156" spans="1:5" x14ac:dyDescent="0.25">
      <c r="A156" s="9" t="s">
        <v>74</v>
      </c>
      <c r="B156" s="9">
        <v>4807.2</v>
      </c>
      <c r="C156" s="9"/>
      <c r="D156" s="9" t="s">
        <v>141</v>
      </c>
      <c r="E156" s="9"/>
    </row>
    <row r="157" spans="1:5" x14ac:dyDescent="0.25">
      <c r="A157" s="9"/>
      <c r="B157" s="9"/>
      <c r="C157" s="9"/>
      <c r="D157" s="9"/>
      <c r="E157" s="9"/>
    </row>
    <row r="158" spans="1:5" ht="13" x14ac:dyDescent="0.3">
      <c r="A158" s="10" t="s">
        <v>70</v>
      </c>
      <c r="B158" s="7">
        <f>SUM(B156:B157)</f>
        <v>4807.2</v>
      </c>
      <c r="C158" s="7"/>
      <c r="D158" s="7"/>
      <c r="E158" s="7"/>
    </row>
    <row r="159" spans="1:5" ht="13" x14ac:dyDescent="0.3">
      <c r="A159" s="11"/>
      <c r="B159" s="7"/>
      <c r="C159" s="7"/>
      <c r="D159" s="7"/>
      <c r="E159" s="7"/>
    </row>
    <row r="160" spans="1:5" ht="13" x14ac:dyDescent="0.3">
      <c r="A160" s="8" t="s">
        <v>76</v>
      </c>
      <c r="B160" s="8" t="s">
        <v>66</v>
      </c>
      <c r="C160" s="5" t="s">
        <v>101</v>
      </c>
      <c r="D160" s="8" t="s">
        <v>67</v>
      </c>
      <c r="E160" s="7"/>
    </row>
    <row r="161" spans="1:5" x14ac:dyDescent="0.25">
      <c r="A161" s="9"/>
      <c r="B161" s="9"/>
      <c r="C161" s="9"/>
      <c r="D161" s="9"/>
      <c r="E161" s="9"/>
    </row>
    <row r="162" spans="1:5" x14ac:dyDescent="0.25">
      <c r="A162" s="9"/>
      <c r="B162" s="9"/>
      <c r="C162" s="9"/>
      <c r="D162" s="9"/>
      <c r="E162" s="9"/>
    </row>
    <row r="163" spans="1:5" ht="13" x14ac:dyDescent="0.3">
      <c r="A163" s="10" t="s">
        <v>70</v>
      </c>
      <c r="B163" s="7">
        <f>SUM(B161:B162)</f>
        <v>0</v>
      </c>
      <c r="C163" s="7"/>
      <c r="D163" s="7"/>
      <c r="E163" s="7"/>
    </row>
    <row r="164" spans="1:5" x14ac:dyDescent="0.25">
      <c r="A164" s="7"/>
      <c r="B164" s="7"/>
      <c r="C164" s="7"/>
      <c r="D164" s="7"/>
      <c r="E164" s="7"/>
    </row>
    <row r="165" spans="1:5" ht="13" x14ac:dyDescent="0.3">
      <c r="A165" s="8" t="s">
        <v>86</v>
      </c>
      <c r="B165" s="8" t="s">
        <v>66</v>
      </c>
      <c r="C165" s="5" t="s">
        <v>101</v>
      </c>
      <c r="D165" s="8" t="s">
        <v>67</v>
      </c>
      <c r="E165" s="7"/>
    </row>
    <row r="166" spans="1:5" x14ac:dyDescent="0.25">
      <c r="A166" s="9" t="s">
        <v>26</v>
      </c>
      <c r="B166" s="9">
        <v>0</v>
      </c>
      <c r="C166" s="9"/>
      <c r="D166" s="9" t="s">
        <v>144</v>
      </c>
      <c r="E166" s="9"/>
    </row>
    <row r="167" spans="1:5" x14ac:dyDescent="0.25">
      <c r="A167" s="9"/>
      <c r="B167" s="9"/>
      <c r="C167" s="9"/>
      <c r="D167" s="9"/>
      <c r="E167" s="9"/>
    </row>
    <row r="168" spans="1:5" ht="13" x14ac:dyDescent="0.3">
      <c r="A168" s="10" t="s">
        <v>70</v>
      </c>
      <c r="B168" s="7">
        <f>SUM(B166:B167)</f>
        <v>0</v>
      </c>
      <c r="C168" s="7"/>
      <c r="D168" s="7"/>
      <c r="E168" s="7"/>
    </row>
    <row r="169" spans="1:5" x14ac:dyDescent="0.25">
      <c r="A169" s="7"/>
      <c r="B169" s="7"/>
      <c r="C169" s="7"/>
      <c r="D169" s="7"/>
      <c r="E169" s="7"/>
    </row>
    <row r="170" spans="1:5" ht="13" x14ac:dyDescent="0.3">
      <c r="A170" s="10" t="s">
        <v>88</v>
      </c>
      <c r="B170" s="7">
        <f>SUM(B158,B163)-B168</f>
        <v>4807.2</v>
      </c>
      <c r="C170" s="7"/>
      <c r="D170" s="7"/>
      <c r="E170" s="7"/>
    </row>
    <row r="171" spans="1:5" x14ac:dyDescent="0.25">
      <c r="A171" s="7"/>
      <c r="B171" s="7"/>
      <c r="C171" s="7"/>
      <c r="D171" s="7"/>
      <c r="E171" s="7"/>
    </row>
    <row r="172" spans="1:5" ht="13" x14ac:dyDescent="0.3">
      <c r="A172" s="5" t="s">
        <v>89</v>
      </c>
      <c r="B172" s="7"/>
      <c r="C172" s="7"/>
      <c r="D172" s="7"/>
      <c r="E172" s="7"/>
    </row>
    <row r="173" spans="1:5" ht="13" x14ac:dyDescent="0.3">
      <c r="A173" s="8" t="s">
        <v>94</v>
      </c>
      <c r="B173" s="8" t="s">
        <v>66</v>
      </c>
      <c r="C173" s="5" t="s">
        <v>101</v>
      </c>
      <c r="D173" s="8" t="s">
        <v>67</v>
      </c>
      <c r="E173" s="7"/>
    </row>
    <row r="174" spans="1:5" x14ac:dyDescent="0.25">
      <c r="A174" s="9" t="s">
        <v>90</v>
      </c>
      <c r="B174" s="15">
        <v>27752.98</v>
      </c>
      <c r="C174" s="9"/>
      <c r="D174" s="9"/>
      <c r="E174" s="9"/>
    </row>
    <row r="175" spans="1:5" x14ac:dyDescent="0.25">
      <c r="A175" s="9" t="s">
        <v>91</v>
      </c>
      <c r="B175" s="9">
        <v>4065.56</v>
      </c>
      <c r="C175" s="9"/>
      <c r="D175" s="9"/>
      <c r="E175" s="9"/>
    </row>
    <row r="176" spans="1:5" x14ac:dyDescent="0.25">
      <c r="A176" s="9" t="s">
        <v>92</v>
      </c>
      <c r="B176" s="9">
        <v>40000</v>
      </c>
      <c r="C176" s="9"/>
      <c r="D176" s="9"/>
      <c r="E176" s="9"/>
    </row>
    <row r="177" spans="1:5" x14ac:dyDescent="0.25">
      <c r="A177" s="9" t="s">
        <v>93</v>
      </c>
      <c r="B177" s="9">
        <v>7000</v>
      </c>
      <c r="C177" s="9"/>
      <c r="D177" s="9"/>
      <c r="E177" s="9"/>
    </row>
    <row r="178" spans="1:5" x14ac:dyDescent="0.25">
      <c r="A178" s="9" t="s">
        <v>122</v>
      </c>
      <c r="B178" s="9">
        <v>226</v>
      </c>
      <c r="C178" s="9" t="s">
        <v>147</v>
      </c>
      <c r="D178" s="9"/>
      <c r="E178" s="9"/>
    </row>
    <row r="179" spans="1:5" ht="13" x14ac:dyDescent="0.3">
      <c r="A179" s="10" t="s">
        <v>70</v>
      </c>
      <c r="B179" s="7">
        <f>SUM(B174:B178)</f>
        <v>79044.540000000008</v>
      </c>
      <c r="C179" s="7"/>
      <c r="D179" s="7"/>
      <c r="E179" s="7"/>
    </row>
    <row r="180" spans="1:5" x14ac:dyDescent="0.25">
      <c r="A180" s="7"/>
      <c r="B180" s="7"/>
      <c r="C180" s="7"/>
      <c r="D180" s="7"/>
      <c r="E180" s="7"/>
    </row>
    <row r="181" spans="1:5" ht="13" x14ac:dyDescent="0.3">
      <c r="A181" s="5" t="s">
        <v>133</v>
      </c>
      <c r="B181" s="7">
        <f xml:space="preserve"> B170-B152</f>
        <v>1822.12</v>
      </c>
      <c r="C181" s="7"/>
      <c r="D181" s="7"/>
      <c r="E181" s="7"/>
    </row>
    <row r="182" spans="1:5" ht="13" x14ac:dyDescent="0.3">
      <c r="A182" s="5" t="s">
        <v>129</v>
      </c>
      <c r="B182" s="7">
        <f>SUM(B179,B181)</f>
        <v>80866.66</v>
      </c>
      <c r="C182" s="7"/>
      <c r="D182" s="7"/>
      <c r="E182" s="7"/>
    </row>
    <row r="183" spans="1:5" ht="13" x14ac:dyDescent="0.3">
      <c r="A183" s="5" t="s">
        <v>134</v>
      </c>
      <c r="B183" s="7">
        <f>B182-B251</f>
        <v>1038.7200000000012</v>
      </c>
      <c r="C183" s="7"/>
      <c r="D183" s="7"/>
      <c r="E183" s="7"/>
    </row>
    <row r="184" spans="1:5" x14ac:dyDescent="0.25">
      <c r="A184" s="69"/>
      <c r="B184" s="69"/>
      <c r="C184" s="69"/>
      <c r="D184" s="69"/>
      <c r="E184" s="69"/>
    </row>
    <row r="185" spans="1:5" x14ac:dyDescent="0.25">
      <c r="A185" s="69"/>
      <c r="B185" s="69"/>
      <c r="C185" s="69"/>
      <c r="D185" s="69"/>
      <c r="E185" s="69"/>
    </row>
    <row r="186" spans="1:5" x14ac:dyDescent="0.25">
      <c r="A186" s="69"/>
      <c r="B186" s="69"/>
      <c r="C186" s="69"/>
      <c r="D186" s="69"/>
      <c r="E186" s="69"/>
    </row>
    <row r="187" spans="1:5" ht="13" x14ac:dyDescent="0.3">
      <c r="A187" s="3" t="s">
        <v>98</v>
      </c>
      <c r="B187" s="68" t="s">
        <v>71</v>
      </c>
      <c r="C187" s="68"/>
      <c r="D187" s="68"/>
      <c r="E187" s="4"/>
    </row>
    <row r="188" spans="1:5" ht="13" x14ac:dyDescent="0.3">
      <c r="A188" s="5" t="s">
        <v>95</v>
      </c>
      <c r="B188" s="12">
        <v>41506</v>
      </c>
      <c r="C188" s="6"/>
      <c r="D188" s="6"/>
      <c r="E188" s="7"/>
    </row>
    <row r="189" spans="1:5" ht="13" x14ac:dyDescent="0.3">
      <c r="A189" s="5" t="s">
        <v>102</v>
      </c>
      <c r="B189" s="13">
        <v>4.6527777777777779E-2</v>
      </c>
      <c r="C189" s="6"/>
      <c r="D189" s="6"/>
      <c r="E189" s="7"/>
    </row>
    <row r="190" spans="1:5" ht="13" x14ac:dyDescent="0.3">
      <c r="A190" s="5"/>
      <c r="B190" s="6"/>
      <c r="C190" s="6"/>
      <c r="D190" s="6"/>
      <c r="E190" s="7"/>
    </row>
    <row r="191" spans="1:5" ht="13" x14ac:dyDescent="0.3">
      <c r="A191" s="5" t="s">
        <v>84</v>
      </c>
      <c r="B191" s="6"/>
      <c r="C191" s="6"/>
      <c r="D191" s="6"/>
      <c r="E191" s="7"/>
    </row>
    <row r="192" spans="1:5" ht="13" x14ac:dyDescent="0.3">
      <c r="A192" s="8" t="s">
        <v>0</v>
      </c>
      <c r="B192" s="8" t="s">
        <v>66</v>
      </c>
      <c r="C192" s="8" t="s">
        <v>67</v>
      </c>
      <c r="D192" s="7"/>
      <c r="E192" s="7"/>
    </row>
    <row r="193" spans="1:5" x14ac:dyDescent="0.25">
      <c r="A193" s="9" t="s">
        <v>1</v>
      </c>
      <c r="B193" s="9">
        <v>450</v>
      </c>
      <c r="C193" s="9" t="s">
        <v>103</v>
      </c>
      <c r="D193" s="9"/>
      <c r="E193" s="9"/>
    </row>
    <row r="194" spans="1:5" x14ac:dyDescent="0.25">
      <c r="A194" s="9" t="s">
        <v>3</v>
      </c>
      <c r="B194" s="9">
        <v>0</v>
      </c>
      <c r="C194" s="9" t="s">
        <v>103</v>
      </c>
      <c r="D194" s="9"/>
      <c r="E194" s="9"/>
    </row>
    <row r="195" spans="1:5" x14ac:dyDescent="0.25">
      <c r="A195" s="9" t="s">
        <v>2</v>
      </c>
      <c r="B195" s="9">
        <v>0</v>
      </c>
      <c r="C195" s="9" t="s">
        <v>103</v>
      </c>
      <c r="D195" s="9"/>
      <c r="E195" s="9"/>
    </row>
    <row r="196" spans="1:5" x14ac:dyDescent="0.25">
      <c r="A196" s="9" t="s">
        <v>5</v>
      </c>
      <c r="B196" s="9">
        <v>0</v>
      </c>
      <c r="C196" s="9" t="s">
        <v>103</v>
      </c>
      <c r="D196" s="9"/>
      <c r="E196" s="9"/>
    </row>
    <row r="197" spans="1:5" x14ac:dyDescent="0.25">
      <c r="A197" s="9" t="s">
        <v>4</v>
      </c>
      <c r="B197" s="9">
        <v>0</v>
      </c>
      <c r="C197" s="9" t="s">
        <v>103</v>
      </c>
      <c r="D197" s="9"/>
      <c r="E197" s="9"/>
    </row>
    <row r="198" spans="1:5" x14ac:dyDescent="0.25">
      <c r="A198" s="9" t="s">
        <v>14</v>
      </c>
      <c r="B198" s="9">
        <v>0</v>
      </c>
      <c r="C198" s="9" t="s">
        <v>103</v>
      </c>
      <c r="D198" s="9"/>
      <c r="E198" s="9"/>
    </row>
    <row r="199" spans="1:5" x14ac:dyDescent="0.25">
      <c r="A199" s="9" t="s">
        <v>42</v>
      </c>
      <c r="B199" s="9">
        <v>0</v>
      </c>
      <c r="C199" s="9"/>
      <c r="D199" s="9"/>
      <c r="E199" s="9"/>
    </row>
    <row r="200" spans="1:5" x14ac:dyDescent="0.25">
      <c r="A200" s="9" t="s">
        <v>39</v>
      </c>
      <c r="B200" s="9">
        <v>0</v>
      </c>
      <c r="C200" s="9"/>
      <c r="D200" s="9"/>
      <c r="E200" s="9"/>
    </row>
    <row r="201" spans="1:5" ht="13" x14ac:dyDescent="0.3">
      <c r="A201" s="10" t="s">
        <v>70</v>
      </c>
      <c r="B201" s="7">
        <f>SUM(B193:B200)</f>
        <v>450</v>
      </c>
      <c r="C201" s="7"/>
      <c r="D201" s="7"/>
      <c r="E201" s="7"/>
    </row>
    <row r="202" spans="1:5" x14ac:dyDescent="0.25">
      <c r="A202" s="7"/>
      <c r="B202" s="7"/>
      <c r="C202" s="7"/>
      <c r="D202" s="7"/>
      <c r="E202" s="7"/>
    </row>
    <row r="203" spans="1:5" ht="13" x14ac:dyDescent="0.3">
      <c r="A203" s="8" t="s">
        <v>31</v>
      </c>
      <c r="B203" s="8" t="s">
        <v>66</v>
      </c>
      <c r="C203" s="8" t="s">
        <v>67</v>
      </c>
      <c r="D203" s="7"/>
      <c r="E203" s="7"/>
    </row>
    <row r="204" spans="1:5" x14ac:dyDescent="0.25">
      <c r="A204" s="9"/>
      <c r="B204" s="9"/>
      <c r="C204" s="9"/>
      <c r="D204" s="9"/>
      <c r="E204" s="9"/>
    </row>
    <row r="205" spans="1:5" x14ac:dyDescent="0.25">
      <c r="A205" s="9"/>
      <c r="B205" s="9"/>
      <c r="C205" s="9"/>
      <c r="D205" s="9"/>
      <c r="E205" s="9"/>
    </row>
    <row r="206" spans="1:5" ht="13" x14ac:dyDescent="0.3">
      <c r="A206" s="10" t="s">
        <v>70</v>
      </c>
      <c r="B206" s="7">
        <f>SUM(B204:B205)</f>
        <v>0</v>
      </c>
      <c r="C206" s="7"/>
      <c r="D206" s="7"/>
      <c r="E206" s="7"/>
    </row>
    <row r="207" spans="1:5" x14ac:dyDescent="0.25">
      <c r="A207" s="7"/>
      <c r="B207" s="7"/>
      <c r="C207" s="7"/>
      <c r="D207" s="7"/>
      <c r="E207" s="7"/>
    </row>
    <row r="208" spans="1:5" ht="13" x14ac:dyDescent="0.3">
      <c r="A208" s="8" t="s">
        <v>82</v>
      </c>
      <c r="B208" s="8" t="s">
        <v>66</v>
      </c>
      <c r="C208" s="8" t="s">
        <v>67</v>
      </c>
      <c r="D208" s="7"/>
      <c r="E208" s="7"/>
    </row>
    <row r="209" spans="1:5" x14ac:dyDescent="0.25">
      <c r="A209" s="9"/>
      <c r="B209" s="9"/>
      <c r="C209" s="9"/>
      <c r="D209" s="9"/>
      <c r="E209" s="9"/>
    </row>
    <row r="210" spans="1:5" x14ac:dyDescent="0.25">
      <c r="A210" s="9"/>
      <c r="B210" s="9"/>
      <c r="C210" s="9"/>
      <c r="D210" s="9"/>
      <c r="E210" s="9"/>
    </row>
    <row r="211" spans="1:5" ht="13" x14ac:dyDescent="0.3">
      <c r="A211" s="10" t="s">
        <v>70</v>
      </c>
      <c r="B211" s="7">
        <f>SUM(B209:B210)</f>
        <v>0</v>
      </c>
      <c r="C211" s="7"/>
      <c r="D211" s="7"/>
      <c r="E211" s="7"/>
    </row>
    <row r="212" spans="1:5" x14ac:dyDescent="0.25">
      <c r="A212" s="7"/>
      <c r="B212" s="7"/>
      <c r="C212" s="7"/>
      <c r="D212" s="7"/>
      <c r="E212" s="7"/>
    </row>
    <row r="213" spans="1:5" ht="13" x14ac:dyDescent="0.3">
      <c r="A213" s="8" t="s">
        <v>85</v>
      </c>
      <c r="B213" s="8" t="s">
        <v>66</v>
      </c>
      <c r="C213" s="8" t="s">
        <v>67</v>
      </c>
      <c r="D213" s="7"/>
      <c r="E213" s="7"/>
    </row>
    <row r="214" spans="1:5" x14ac:dyDescent="0.25">
      <c r="A214" s="9" t="s">
        <v>24</v>
      </c>
      <c r="B214" s="9">
        <v>0</v>
      </c>
      <c r="C214" s="9"/>
      <c r="D214" s="9"/>
      <c r="E214" s="9"/>
    </row>
    <row r="215" spans="1:5" x14ac:dyDescent="0.25">
      <c r="A215" s="9" t="s">
        <v>104</v>
      </c>
      <c r="B215" s="9">
        <v>0</v>
      </c>
      <c r="C215" s="9"/>
      <c r="D215" s="9"/>
      <c r="E215" s="9"/>
    </row>
    <row r="216" spans="1:5" x14ac:dyDescent="0.25">
      <c r="A216" s="9" t="s">
        <v>137</v>
      </c>
      <c r="B216" s="9">
        <v>518.4</v>
      </c>
      <c r="C216" s="9"/>
      <c r="D216" s="9"/>
      <c r="E216" s="9"/>
    </row>
    <row r="217" spans="1:5" x14ac:dyDescent="0.25">
      <c r="A217" s="9" t="s">
        <v>29</v>
      </c>
      <c r="B217" s="9">
        <v>520</v>
      </c>
      <c r="C217" s="9"/>
      <c r="D217" s="9"/>
      <c r="E217" s="9"/>
    </row>
    <row r="218" spans="1:5" x14ac:dyDescent="0.25">
      <c r="A218" s="9" t="s">
        <v>30</v>
      </c>
      <c r="B218" s="9">
        <v>195</v>
      </c>
      <c r="C218" s="9"/>
      <c r="D218" s="9"/>
      <c r="E218" s="9"/>
    </row>
    <row r="219" spans="1:5" ht="13" x14ac:dyDescent="0.3">
      <c r="A219" s="10" t="s">
        <v>70</v>
      </c>
      <c r="B219" s="7">
        <f>SUM(B214:B218)</f>
        <v>1233.4000000000001</v>
      </c>
      <c r="C219" s="7"/>
      <c r="D219" s="7"/>
      <c r="E219" s="7"/>
    </row>
    <row r="220" spans="1:5" ht="13" x14ac:dyDescent="0.3">
      <c r="A220" s="10"/>
      <c r="B220" s="7"/>
      <c r="C220" s="7"/>
      <c r="D220" s="7"/>
      <c r="E220" s="7"/>
    </row>
    <row r="221" spans="1:5" ht="13" x14ac:dyDescent="0.3">
      <c r="A221" s="10" t="s">
        <v>87</v>
      </c>
      <c r="B221" s="7">
        <f>SUM(B201,B206,B211) - B219</f>
        <v>-783.40000000000009</v>
      </c>
      <c r="C221" s="7"/>
      <c r="D221" s="7"/>
      <c r="E221" s="7"/>
    </row>
    <row r="222" spans="1:5" ht="13" x14ac:dyDescent="0.3">
      <c r="A222" s="10"/>
      <c r="B222" s="7"/>
      <c r="C222" s="7"/>
      <c r="D222" s="7"/>
      <c r="E222" s="7"/>
    </row>
    <row r="223" spans="1:5" ht="13" x14ac:dyDescent="0.3">
      <c r="A223" s="11" t="s">
        <v>73</v>
      </c>
      <c r="B223" s="7"/>
      <c r="C223" s="7"/>
      <c r="D223" s="7"/>
      <c r="E223" s="7"/>
    </row>
    <row r="224" spans="1:5" ht="13" x14ac:dyDescent="0.3">
      <c r="A224" s="8" t="s">
        <v>75</v>
      </c>
      <c r="B224" s="8" t="s">
        <v>66</v>
      </c>
      <c r="C224" s="8" t="s">
        <v>67</v>
      </c>
      <c r="D224" s="7"/>
      <c r="E224" s="7"/>
    </row>
    <row r="225" spans="1:5" x14ac:dyDescent="0.25">
      <c r="A225" s="9"/>
      <c r="B225" s="9"/>
      <c r="C225" s="9"/>
      <c r="D225" s="9"/>
      <c r="E225" s="9"/>
    </row>
    <row r="226" spans="1:5" x14ac:dyDescent="0.25">
      <c r="A226" s="9"/>
      <c r="B226" s="9"/>
      <c r="C226" s="9"/>
      <c r="D226" s="9"/>
      <c r="E226" s="9"/>
    </row>
    <row r="227" spans="1:5" ht="13" x14ac:dyDescent="0.3">
      <c r="A227" s="10" t="s">
        <v>70</v>
      </c>
      <c r="B227" s="7">
        <f>SUM(B225:B226)</f>
        <v>0</v>
      </c>
      <c r="C227" s="7"/>
      <c r="D227" s="7"/>
      <c r="E227" s="7"/>
    </row>
    <row r="228" spans="1:5" ht="13" x14ac:dyDescent="0.3">
      <c r="A228" s="11"/>
      <c r="B228" s="7"/>
      <c r="C228" s="7"/>
      <c r="D228" s="7"/>
      <c r="E228" s="7"/>
    </row>
    <row r="229" spans="1:5" ht="13" x14ac:dyDescent="0.3">
      <c r="A229" s="8" t="s">
        <v>76</v>
      </c>
      <c r="B229" s="8" t="s">
        <v>66</v>
      </c>
      <c r="C229" s="8" t="s">
        <v>67</v>
      </c>
      <c r="D229" s="7"/>
      <c r="E229" s="7"/>
    </row>
    <row r="230" spans="1:5" x14ac:dyDescent="0.25">
      <c r="A230" s="9"/>
      <c r="B230" s="9"/>
      <c r="C230" s="9"/>
      <c r="D230" s="9"/>
      <c r="E230" s="9"/>
    </row>
    <row r="231" spans="1:5" x14ac:dyDescent="0.25">
      <c r="A231" s="9"/>
      <c r="B231" s="9"/>
      <c r="C231" s="9"/>
      <c r="D231" s="9"/>
      <c r="E231" s="9"/>
    </row>
    <row r="232" spans="1:5" ht="13" x14ac:dyDescent="0.3">
      <c r="A232" s="10" t="s">
        <v>70</v>
      </c>
      <c r="B232" s="7">
        <f>SUM(B230:B231)</f>
        <v>0</v>
      </c>
      <c r="C232" s="7"/>
      <c r="D232" s="7"/>
      <c r="E232" s="7"/>
    </row>
    <row r="233" spans="1:5" x14ac:dyDescent="0.25">
      <c r="A233" s="7"/>
      <c r="B233" s="7"/>
      <c r="C233" s="7"/>
      <c r="D233" s="7"/>
      <c r="E233" s="7"/>
    </row>
    <row r="234" spans="1:5" ht="13" x14ac:dyDescent="0.3">
      <c r="A234" s="8" t="s">
        <v>86</v>
      </c>
      <c r="B234" s="8" t="s">
        <v>66</v>
      </c>
      <c r="C234" s="8" t="s">
        <v>67</v>
      </c>
      <c r="D234" s="7"/>
      <c r="E234" s="7"/>
    </row>
    <row r="235" spans="1:5" x14ac:dyDescent="0.25">
      <c r="A235" s="9" t="s">
        <v>26</v>
      </c>
      <c r="B235" s="9">
        <v>0</v>
      </c>
      <c r="C235" s="9" t="s">
        <v>144</v>
      </c>
      <c r="D235" s="9"/>
      <c r="E235" s="9"/>
    </row>
    <row r="236" spans="1:5" x14ac:dyDescent="0.25">
      <c r="A236" s="9"/>
      <c r="B236" s="9"/>
      <c r="C236" s="9"/>
      <c r="D236" s="9"/>
      <c r="E236" s="9"/>
    </row>
    <row r="237" spans="1:5" ht="13" x14ac:dyDescent="0.3">
      <c r="A237" s="10" t="s">
        <v>70</v>
      </c>
      <c r="B237" s="7">
        <f>SUM(B235:B236)</f>
        <v>0</v>
      </c>
      <c r="C237" s="7"/>
      <c r="D237" s="7"/>
      <c r="E237" s="7"/>
    </row>
    <row r="238" spans="1:5" x14ac:dyDescent="0.25">
      <c r="A238" s="7"/>
      <c r="B238" s="7"/>
      <c r="C238" s="7"/>
      <c r="D238" s="7"/>
      <c r="E238" s="7"/>
    </row>
    <row r="239" spans="1:5" ht="13" x14ac:dyDescent="0.3">
      <c r="A239" s="10" t="s">
        <v>88</v>
      </c>
      <c r="B239" s="7">
        <f>SUM(B227,B232) - B237</f>
        <v>0</v>
      </c>
      <c r="C239" s="7"/>
      <c r="D239" s="7"/>
      <c r="E239" s="7"/>
    </row>
    <row r="240" spans="1:5" x14ac:dyDescent="0.25">
      <c r="A240" s="7"/>
      <c r="B240" s="7"/>
      <c r="C240" s="7"/>
      <c r="D240" s="7"/>
      <c r="E240" s="7"/>
    </row>
    <row r="241" spans="1:5" ht="13" x14ac:dyDescent="0.3">
      <c r="A241" s="5" t="s">
        <v>89</v>
      </c>
      <c r="B241" s="7"/>
      <c r="C241" s="7"/>
      <c r="D241" s="7"/>
      <c r="E241" s="7"/>
    </row>
    <row r="242" spans="1:5" ht="13" x14ac:dyDescent="0.3">
      <c r="A242" s="8" t="s">
        <v>94</v>
      </c>
      <c r="B242" s="8" t="s">
        <v>66</v>
      </c>
      <c r="C242" s="8" t="s">
        <v>67</v>
      </c>
      <c r="D242" s="7"/>
      <c r="E242" s="7"/>
    </row>
    <row r="243" spans="1:5" x14ac:dyDescent="0.25">
      <c r="A243" s="9" t="s">
        <v>90</v>
      </c>
      <c r="B243" s="15">
        <v>27752.98</v>
      </c>
      <c r="C243" s="9"/>
      <c r="D243" s="9"/>
      <c r="E243" s="9"/>
    </row>
    <row r="244" spans="1:5" x14ac:dyDescent="0.25">
      <c r="A244" s="9" t="s">
        <v>91</v>
      </c>
      <c r="B244" s="9">
        <v>4065.56</v>
      </c>
      <c r="C244" s="9"/>
      <c r="D244" s="9"/>
      <c r="E244" s="9"/>
    </row>
    <row r="245" spans="1:5" x14ac:dyDescent="0.25">
      <c r="A245" s="9" t="s">
        <v>92</v>
      </c>
      <c r="B245" s="9">
        <v>40000</v>
      </c>
      <c r="C245" s="9"/>
      <c r="D245" s="9"/>
      <c r="E245" s="9"/>
    </row>
    <row r="246" spans="1:5" x14ac:dyDescent="0.25">
      <c r="A246" s="9" t="s">
        <v>93</v>
      </c>
      <c r="B246" s="9">
        <v>7000</v>
      </c>
      <c r="C246" s="9"/>
      <c r="D246" s="9"/>
      <c r="E246" s="9"/>
    </row>
    <row r="247" spans="1:5" x14ac:dyDescent="0.25">
      <c r="A247" s="9" t="s">
        <v>122</v>
      </c>
      <c r="B247" s="9">
        <v>226</v>
      </c>
      <c r="C247" s="9" t="s">
        <v>147</v>
      </c>
      <c r="D247" s="9"/>
      <c r="E247" s="9"/>
    </row>
    <row r="248" spans="1:5" ht="13" x14ac:dyDescent="0.3">
      <c r="A248" s="10" t="s">
        <v>70</v>
      </c>
      <c r="B248" s="7">
        <f>SUM(B243:B247)</f>
        <v>79044.540000000008</v>
      </c>
      <c r="C248" s="7"/>
      <c r="D248" s="7"/>
      <c r="E248" s="7"/>
    </row>
    <row r="249" spans="1:5" x14ac:dyDescent="0.25">
      <c r="A249" s="7"/>
      <c r="B249" s="7"/>
      <c r="C249" s="7"/>
      <c r="D249" s="7"/>
      <c r="E249" s="7"/>
    </row>
    <row r="250" spans="1:5" ht="13" x14ac:dyDescent="0.3">
      <c r="A250" s="5" t="s">
        <v>99</v>
      </c>
      <c r="B250" s="7">
        <f xml:space="preserve"> B239-B221</f>
        <v>783.40000000000009</v>
      </c>
      <c r="C250" s="7"/>
      <c r="D250" s="7"/>
      <c r="E250" s="7"/>
    </row>
    <row r="251" spans="1:5" ht="13" x14ac:dyDescent="0.3">
      <c r="A251" s="5" t="s">
        <v>100</v>
      </c>
      <c r="B251" s="7">
        <f>SUM(B248,B250)</f>
        <v>79827.94</v>
      </c>
      <c r="C251" s="7"/>
      <c r="D251" s="7"/>
      <c r="E251" s="7"/>
    </row>
    <row r="252" spans="1:5" ht="13" x14ac:dyDescent="0.3">
      <c r="A252" s="5" t="s">
        <v>108</v>
      </c>
      <c r="B252" s="7">
        <v>76783.78</v>
      </c>
      <c r="C252" s="7" t="s">
        <v>145</v>
      </c>
      <c r="D252" s="7"/>
      <c r="E252" s="7"/>
    </row>
    <row r="253" spans="1:5" ht="13" x14ac:dyDescent="0.3">
      <c r="A253" s="5" t="s">
        <v>110</v>
      </c>
      <c r="B253" s="7">
        <f xml:space="preserve"> B251 - B252</f>
        <v>3044.1600000000035</v>
      </c>
      <c r="C253" s="14" t="s">
        <v>148</v>
      </c>
      <c r="D253" s="7"/>
      <c r="E253" s="7"/>
    </row>
  </sheetData>
  <mergeCells count="4">
    <mergeCell ref="A98:E100"/>
    <mergeCell ref="B101:D101"/>
    <mergeCell ref="A184:E186"/>
    <mergeCell ref="B187:D187"/>
  </mergeCells>
  <phoneticPr fontId="2" type="noConversion"/>
  <dataValidations count="10">
    <dataValidation type="list" allowBlank="1" showInputMessage="1" showErrorMessage="1" sqref="A243:A247 A174:A178" xr:uid="{00000000-0002-0000-0400-000000000000}">
      <formula1>$A$92:$A$96</formula1>
    </dataValidation>
    <dataValidation type="time" operator="greaterThan" allowBlank="1" showInputMessage="1" showErrorMessage="1" sqref="B189 B103" xr:uid="{00000000-0002-0000-0400-000001000000}">
      <formula1>0</formula1>
    </dataValidation>
    <dataValidation type="date" operator="greaterThan" allowBlank="1" showInputMessage="1" showErrorMessage="1" sqref="B188 B102" xr:uid="{00000000-0002-0000-0400-000002000000}">
      <formula1>41275</formula1>
    </dataValidation>
    <dataValidation type="list" allowBlank="1" showInputMessage="1" showErrorMessage="1" sqref="A161:A162 A230:A231" xr:uid="{00000000-0002-0000-0400-000003000000}">
      <formula1>$A$86:$A$89</formula1>
    </dataValidation>
    <dataValidation type="list" allowBlank="1" showInputMessage="1" showErrorMessage="1" sqref="A156:A157 A225:A226" xr:uid="{00000000-0002-0000-0400-000004000000}">
      <formula1>$A$82:$A$83</formula1>
    </dataValidation>
    <dataValidation type="list" allowBlank="1" showInputMessage="1" showErrorMessage="1" sqref="A214:A218 A147:A149" xr:uid="{00000000-0002-0000-0400-000005000000}">
      <formula1>$A$70:$A$75</formula1>
    </dataValidation>
    <dataValidation type="list" allowBlank="1" showInputMessage="1" showErrorMessage="1" sqref="A209:A210 A142:A143" xr:uid="{00000000-0002-0000-0400-000006000000}">
      <formula1>$A$43:$A$67</formula1>
    </dataValidation>
    <dataValidation type="list" allowBlank="1" showInputMessage="1" showErrorMessage="1" sqref="A204:A205 A137:A138" xr:uid="{00000000-0002-0000-0400-000007000000}">
      <formula1>$A$34:$A$40</formula1>
    </dataValidation>
    <dataValidation type="list" allowBlank="1" showInputMessage="1" showErrorMessage="1" sqref="A193:A200 A107:A133" xr:uid="{00000000-0002-0000-0400-000008000000}">
      <formula1>$A$3:$A$31</formula1>
    </dataValidation>
    <dataValidation type="list" allowBlank="1" showInputMessage="1" showErrorMessage="1" sqref="A166:A167 A235:A236" xr:uid="{00000000-0002-0000-0400-000009000000}">
      <formula1>$A$78:$A$79</formula1>
    </dataValidation>
  </dataValidation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5"/>
  <sheetViews>
    <sheetView topLeftCell="A94" workbookViewId="0">
      <selection activeCell="B193" sqref="B193"/>
    </sheetView>
  </sheetViews>
  <sheetFormatPr defaultColWidth="8.81640625" defaultRowHeight="12.5" x14ac:dyDescent="0.25"/>
  <cols>
    <col min="1" max="1" width="56.08984375" bestFit="1" customWidth="1"/>
    <col min="2" max="2" width="17.453125" customWidth="1"/>
    <col min="3" max="3" width="72.81640625" customWidth="1"/>
    <col min="4" max="4" width="5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21</v>
      </c>
    </row>
    <row r="39" spans="1:1" x14ac:dyDescent="0.25">
      <c r="A39" t="s">
        <v>27</v>
      </c>
    </row>
    <row r="40" spans="1:1" x14ac:dyDescent="0.25">
      <c r="A40" t="s">
        <v>36</v>
      </c>
    </row>
    <row r="42" spans="1:1" ht="13" x14ac:dyDescent="0.3">
      <c r="A42" s="1" t="s">
        <v>82</v>
      </c>
    </row>
    <row r="43" spans="1:1" x14ac:dyDescent="0.25">
      <c r="A43" t="s">
        <v>40</v>
      </c>
    </row>
    <row r="44" spans="1:1" x14ac:dyDescent="0.25">
      <c r="A44" t="s">
        <v>160</v>
      </c>
    </row>
    <row r="45" spans="1:1" x14ac:dyDescent="0.25">
      <c r="A45" t="s">
        <v>41</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81</v>
      </c>
    </row>
    <row r="66" spans="1:1" x14ac:dyDescent="0.25">
      <c r="A66" t="s">
        <v>63</v>
      </c>
    </row>
    <row r="67" spans="1:1" x14ac:dyDescent="0.25">
      <c r="A67" t="s">
        <v>64</v>
      </c>
    </row>
    <row r="68" spans="1:1" x14ac:dyDescent="0.25">
      <c r="A68" t="s">
        <v>161</v>
      </c>
    </row>
    <row r="69" spans="1:1" x14ac:dyDescent="0.25">
      <c r="A69" t="s">
        <v>150</v>
      </c>
    </row>
    <row r="71" spans="1:1" ht="13" x14ac:dyDescent="0.3">
      <c r="A71" s="1" t="s">
        <v>85</v>
      </c>
    </row>
    <row r="72" spans="1:1" x14ac:dyDescent="0.25">
      <c r="A72" t="s">
        <v>23</v>
      </c>
    </row>
    <row r="73" spans="1:1" x14ac:dyDescent="0.25">
      <c r="A73" t="s">
        <v>24</v>
      </c>
    </row>
    <row r="74" spans="1:1" x14ac:dyDescent="0.25">
      <c r="A74" t="s">
        <v>29</v>
      </c>
    </row>
    <row r="75" spans="1:1" x14ac:dyDescent="0.25">
      <c r="A75" t="s">
        <v>137</v>
      </c>
    </row>
    <row r="76" spans="1:1" x14ac:dyDescent="0.25">
      <c r="A76" t="s">
        <v>104</v>
      </c>
    </row>
    <row r="77" spans="1:1" x14ac:dyDescent="0.25">
      <c r="A77" t="s">
        <v>155</v>
      </c>
    </row>
    <row r="78" spans="1:1" x14ac:dyDescent="0.25">
      <c r="A78" t="s">
        <v>162</v>
      </c>
    </row>
    <row r="79" spans="1:1" x14ac:dyDescent="0.25">
      <c r="A79" t="s">
        <v>30</v>
      </c>
    </row>
    <row r="81" spans="1:1" ht="13" x14ac:dyDescent="0.3">
      <c r="A81" s="1" t="s">
        <v>86</v>
      </c>
    </row>
    <row r="82" spans="1:1" x14ac:dyDescent="0.25">
      <c r="A82" t="s">
        <v>26</v>
      </c>
    </row>
    <row r="83" spans="1:1" x14ac:dyDescent="0.25">
      <c r="A83" t="s">
        <v>157</v>
      </c>
    </row>
    <row r="84" spans="1:1" x14ac:dyDescent="0.25">
      <c r="A84" t="s">
        <v>72</v>
      </c>
    </row>
    <row r="86" spans="1:1" ht="13" x14ac:dyDescent="0.3">
      <c r="A86" s="1" t="s">
        <v>75</v>
      </c>
    </row>
    <row r="87" spans="1:1" x14ac:dyDescent="0.25">
      <c r="A87" t="s">
        <v>74</v>
      </c>
    </row>
    <row r="88" spans="1:1" x14ac:dyDescent="0.25">
      <c r="A88" t="s">
        <v>83</v>
      </c>
    </row>
    <row r="90" spans="1:1" ht="13" x14ac:dyDescent="0.3">
      <c r="A90" s="1" t="s">
        <v>76</v>
      </c>
    </row>
    <row r="91" spans="1:1" x14ac:dyDescent="0.25">
      <c r="A91" t="s">
        <v>77</v>
      </c>
    </row>
    <row r="92" spans="1:1" x14ac:dyDescent="0.25">
      <c r="A92" t="s">
        <v>78</v>
      </c>
    </row>
    <row r="93" spans="1:1" x14ac:dyDescent="0.25">
      <c r="A93" t="s">
        <v>79</v>
      </c>
    </row>
    <row r="94" spans="1:1" x14ac:dyDescent="0.25">
      <c r="A94" t="s">
        <v>80</v>
      </c>
    </row>
    <row r="96" spans="1:1" ht="13" x14ac:dyDescent="0.3">
      <c r="A96" s="1" t="s">
        <v>89</v>
      </c>
    </row>
    <row r="97" spans="1:6" x14ac:dyDescent="0.25">
      <c r="A97" t="s">
        <v>90</v>
      </c>
    </row>
    <row r="98" spans="1:6" x14ac:dyDescent="0.25">
      <c r="A98" t="s">
        <v>91</v>
      </c>
    </row>
    <row r="99" spans="1:6" x14ac:dyDescent="0.25">
      <c r="A99" t="s">
        <v>92</v>
      </c>
    </row>
    <row r="100" spans="1:6" x14ac:dyDescent="0.25">
      <c r="A100" t="s">
        <v>122</v>
      </c>
    </row>
    <row r="101" spans="1:6" x14ac:dyDescent="0.25">
      <c r="A101" t="s">
        <v>93</v>
      </c>
    </row>
    <row r="103" spans="1:6" x14ac:dyDescent="0.25">
      <c r="A103" s="66"/>
      <c r="B103" s="66"/>
      <c r="C103" s="66"/>
      <c r="D103" s="66"/>
      <c r="E103" s="66"/>
    </row>
    <row r="104" spans="1:6" x14ac:dyDescent="0.25">
      <c r="A104" s="66"/>
      <c r="B104" s="66"/>
      <c r="C104" s="66"/>
      <c r="D104" s="66"/>
      <c r="E104" s="66"/>
    </row>
    <row r="105" spans="1:6" x14ac:dyDescent="0.25">
      <c r="A105" s="67"/>
      <c r="B105" s="67"/>
      <c r="C105" s="67"/>
      <c r="D105" s="67"/>
      <c r="E105" s="67"/>
    </row>
    <row r="106" spans="1:6" ht="13" x14ac:dyDescent="0.3">
      <c r="A106" s="3" t="s">
        <v>65</v>
      </c>
      <c r="B106" s="68" t="s">
        <v>71</v>
      </c>
      <c r="C106" s="68"/>
      <c r="D106" s="68"/>
      <c r="E106" s="4"/>
    </row>
    <row r="107" spans="1:6" ht="13" x14ac:dyDescent="0.3">
      <c r="A107" s="5" t="s">
        <v>95</v>
      </c>
      <c r="B107" s="12">
        <v>41546</v>
      </c>
      <c r="C107" s="6"/>
      <c r="D107" s="6"/>
      <c r="E107" s="7"/>
    </row>
    <row r="108" spans="1:6" ht="13" x14ac:dyDescent="0.3">
      <c r="A108" s="5" t="s">
        <v>102</v>
      </c>
      <c r="B108" s="13">
        <v>0.96388888888888891</v>
      </c>
      <c r="C108" s="6"/>
      <c r="D108" s="6"/>
      <c r="E108" s="7"/>
    </row>
    <row r="109" spans="1:6" ht="13" x14ac:dyDescent="0.3">
      <c r="A109" s="5"/>
      <c r="B109" s="6"/>
      <c r="C109" s="6"/>
      <c r="D109" s="6"/>
      <c r="E109" s="7"/>
    </row>
    <row r="110" spans="1:6" ht="13" x14ac:dyDescent="0.3">
      <c r="A110" s="5" t="s">
        <v>84</v>
      </c>
      <c r="B110" s="6"/>
      <c r="C110" s="6"/>
      <c r="D110" s="6"/>
      <c r="E110" s="7"/>
    </row>
    <row r="111" spans="1:6" ht="13" x14ac:dyDescent="0.3">
      <c r="A111" s="8" t="s">
        <v>0</v>
      </c>
      <c r="B111" s="8" t="s">
        <v>66</v>
      </c>
      <c r="C111" s="5" t="s">
        <v>101</v>
      </c>
      <c r="D111" s="8" t="s">
        <v>67</v>
      </c>
      <c r="E111" s="7"/>
    </row>
    <row r="112" spans="1:6" x14ac:dyDescent="0.25">
      <c r="A112" s="9" t="s">
        <v>1</v>
      </c>
      <c r="B112" s="9">
        <v>1350</v>
      </c>
      <c r="C112" s="9"/>
      <c r="D112" s="17"/>
      <c r="E112" s="9"/>
      <c r="F112" s="2"/>
    </row>
    <row r="113" spans="1:6" x14ac:dyDescent="0.25">
      <c r="A113" s="9" t="s">
        <v>3</v>
      </c>
      <c r="B113" s="9">
        <v>479</v>
      </c>
      <c r="C113" s="9"/>
      <c r="D113" s="17"/>
      <c r="E113" s="9"/>
      <c r="F113" s="2"/>
    </row>
    <row r="114" spans="1:6" x14ac:dyDescent="0.25">
      <c r="A114" s="9" t="s">
        <v>4</v>
      </c>
      <c r="B114" s="9">
        <v>474</v>
      </c>
      <c r="C114" s="9"/>
      <c r="D114" s="17"/>
      <c r="E114" s="9"/>
      <c r="F114" s="2"/>
    </row>
    <row r="115" spans="1:6" x14ac:dyDescent="0.25">
      <c r="A115" s="9" t="s">
        <v>5</v>
      </c>
      <c r="B115" s="9">
        <v>9.81</v>
      </c>
      <c r="C115" s="9"/>
      <c r="D115" s="17"/>
      <c r="E115" s="9"/>
      <c r="F115" s="2"/>
    </row>
    <row r="116" spans="1:6" x14ac:dyDescent="0.25">
      <c r="A116" s="9" t="s">
        <v>16</v>
      </c>
      <c r="B116" s="9">
        <v>0</v>
      </c>
      <c r="C116" s="9"/>
      <c r="D116" s="9"/>
      <c r="E116" s="9"/>
      <c r="F116" s="2"/>
    </row>
    <row r="117" spans="1:6" x14ac:dyDescent="0.25">
      <c r="A117" s="9" t="s">
        <v>6</v>
      </c>
      <c r="B117" s="9">
        <v>10</v>
      </c>
      <c r="C117" s="9"/>
      <c r="D117" s="9"/>
      <c r="E117" s="9"/>
      <c r="F117" s="2"/>
    </row>
    <row r="118" spans="1:6" x14ac:dyDescent="0.25">
      <c r="A118" s="9" t="s">
        <v>8</v>
      </c>
      <c r="B118" s="9">
        <v>402</v>
      </c>
      <c r="C118" s="9"/>
      <c r="D118" s="9"/>
      <c r="E118" s="9"/>
      <c r="F118" s="2"/>
    </row>
    <row r="119" spans="1:6" x14ac:dyDescent="0.25">
      <c r="A119" s="9" t="s">
        <v>10</v>
      </c>
      <c r="B119" s="9">
        <v>100</v>
      </c>
      <c r="C119" s="9"/>
      <c r="D119" s="9"/>
      <c r="E119" s="9"/>
      <c r="F119" s="2"/>
    </row>
    <row r="120" spans="1:6" x14ac:dyDescent="0.25">
      <c r="A120" s="9" t="s">
        <v>11</v>
      </c>
      <c r="B120" s="9">
        <v>59</v>
      </c>
      <c r="C120" s="9"/>
      <c r="D120" s="9"/>
      <c r="E120" s="9"/>
      <c r="F120" s="2"/>
    </row>
    <row r="121" spans="1:6" x14ac:dyDescent="0.25">
      <c r="A121" s="9" t="s">
        <v>12</v>
      </c>
      <c r="B121" s="9">
        <v>20</v>
      </c>
      <c r="C121" s="9"/>
      <c r="D121" s="9"/>
      <c r="E121" s="9"/>
      <c r="F121" s="2"/>
    </row>
    <row r="122" spans="1:6" x14ac:dyDescent="0.25">
      <c r="A122" s="9" t="s">
        <v>13</v>
      </c>
      <c r="B122" s="9">
        <v>-361.36</v>
      </c>
      <c r="C122" s="9"/>
      <c r="D122" s="9"/>
      <c r="E122" s="9"/>
      <c r="F122" s="2"/>
    </row>
    <row r="123" spans="1:6" x14ac:dyDescent="0.25">
      <c r="A123" s="9" t="s">
        <v>17</v>
      </c>
      <c r="B123" s="9">
        <v>0</v>
      </c>
      <c r="C123" s="9"/>
      <c r="D123" s="9"/>
      <c r="E123" s="9"/>
      <c r="F123" s="2"/>
    </row>
    <row r="124" spans="1:6" x14ac:dyDescent="0.25">
      <c r="A124" s="9" t="s">
        <v>22</v>
      </c>
      <c r="B124" s="9">
        <v>0</v>
      </c>
      <c r="C124" s="9"/>
      <c r="D124" s="9"/>
      <c r="E124" s="9"/>
      <c r="F124" s="2"/>
    </row>
    <row r="125" spans="1:6" x14ac:dyDescent="0.25">
      <c r="A125" s="9" t="s">
        <v>14</v>
      </c>
      <c r="B125" s="9">
        <v>875</v>
      </c>
      <c r="C125" s="9"/>
      <c r="D125" s="9"/>
      <c r="E125" s="9"/>
      <c r="F125" s="2"/>
    </row>
    <row r="126" spans="1:6" x14ac:dyDescent="0.25">
      <c r="A126" s="9" t="s">
        <v>15</v>
      </c>
      <c r="B126" s="9"/>
      <c r="C126" s="9"/>
      <c r="D126" s="17"/>
      <c r="E126" s="9"/>
      <c r="F126" s="2"/>
    </row>
    <row r="127" spans="1:6" x14ac:dyDescent="0.25">
      <c r="A127" s="9" t="s">
        <v>9</v>
      </c>
      <c r="B127" s="9">
        <v>550</v>
      </c>
      <c r="C127" s="9"/>
      <c r="D127" s="9"/>
      <c r="E127" s="9"/>
      <c r="F127" s="2"/>
    </row>
    <row r="128" spans="1:6" x14ac:dyDescent="0.25">
      <c r="A128" s="9" t="s">
        <v>28</v>
      </c>
      <c r="B128" s="9">
        <v>60</v>
      </c>
      <c r="C128" s="9"/>
      <c r="D128" s="17" t="s">
        <v>158</v>
      </c>
      <c r="E128" s="9"/>
      <c r="F128" s="2"/>
    </row>
    <row r="129" spans="1:6" x14ac:dyDescent="0.25">
      <c r="A129" s="9" t="s">
        <v>153</v>
      </c>
      <c r="B129" s="9">
        <v>10</v>
      </c>
      <c r="C129" s="9"/>
      <c r="D129" s="17"/>
      <c r="E129" s="9"/>
      <c r="F129" s="2"/>
    </row>
    <row r="130" spans="1:6" x14ac:dyDescent="0.25">
      <c r="A130" s="9" t="s">
        <v>32</v>
      </c>
      <c r="B130" s="9">
        <v>0</v>
      </c>
      <c r="C130" s="9"/>
      <c r="D130" s="9"/>
      <c r="E130" s="9"/>
      <c r="F130" s="2"/>
    </row>
    <row r="131" spans="1:6" x14ac:dyDescent="0.25">
      <c r="A131" s="9" t="s">
        <v>33</v>
      </c>
      <c r="B131" s="9">
        <v>0</v>
      </c>
      <c r="C131" s="9"/>
      <c r="D131" s="9"/>
      <c r="E131" s="9"/>
      <c r="F131" s="2"/>
    </row>
    <row r="132" spans="1:6" x14ac:dyDescent="0.25">
      <c r="A132" s="9" t="s">
        <v>34</v>
      </c>
      <c r="B132" s="9">
        <v>0</v>
      </c>
      <c r="C132" s="9"/>
      <c r="D132" s="9"/>
      <c r="E132" s="9"/>
      <c r="F132" s="2"/>
    </row>
    <row r="133" spans="1:6" x14ac:dyDescent="0.25">
      <c r="A133" s="9" t="s">
        <v>35</v>
      </c>
      <c r="B133" s="9">
        <v>0</v>
      </c>
      <c r="C133" s="9"/>
      <c r="D133" s="9"/>
      <c r="E133" s="9"/>
      <c r="F133" s="2"/>
    </row>
    <row r="134" spans="1:6" x14ac:dyDescent="0.25">
      <c r="A134" s="9" t="s">
        <v>39</v>
      </c>
      <c r="B134" s="9">
        <v>100</v>
      </c>
      <c r="C134" s="9"/>
      <c r="D134" s="9" t="s">
        <v>146</v>
      </c>
      <c r="E134" s="9"/>
      <c r="F134" s="2">
        <v>0</v>
      </c>
    </row>
    <row r="135" spans="1:6" x14ac:dyDescent="0.25">
      <c r="A135" s="9" t="s">
        <v>42</v>
      </c>
      <c r="B135" s="9">
        <v>60</v>
      </c>
      <c r="C135" s="9"/>
      <c r="D135" s="9" t="s">
        <v>159</v>
      </c>
      <c r="E135" s="9"/>
      <c r="F135" s="2"/>
    </row>
    <row r="136" spans="1:6" x14ac:dyDescent="0.25">
      <c r="A136" s="9" t="s">
        <v>49</v>
      </c>
      <c r="B136" s="9">
        <v>80</v>
      </c>
      <c r="C136" s="9"/>
      <c r="D136" s="9"/>
      <c r="E136" s="9"/>
      <c r="F136" s="2"/>
    </row>
    <row r="137" spans="1:6" x14ac:dyDescent="0.25">
      <c r="A137" s="9" t="s">
        <v>151</v>
      </c>
      <c r="B137" s="9">
        <v>0</v>
      </c>
      <c r="C137" s="9"/>
      <c r="D137" s="9"/>
      <c r="E137" s="9"/>
      <c r="F137" s="2"/>
    </row>
    <row r="138" spans="1:6" x14ac:dyDescent="0.25">
      <c r="A138" s="9" t="s">
        <v>149</v>
      </c>
      <c r="B138" s="9">
        <v>190</v>
      </c>
      <c r="C138" s="9"/>
      <c r="D138" s="9"/>
      <c r="E138" s="9"/>
      <c r="F138" s="2"/>
    </row>
    <row r="139" spans="1:6" ht="13" x14ac:dyDescent="0.3">
      <c r="A139" s="10" t="s">
        <v>70</v>
      </c>
      <c r="B139" s="7">
        <f>SUM(B112:B138)</f>
        <v>4467.45</v>
      </c>
      <c r="C139" s="7"/>
      <c r="D139" s="7"/>
      <c r="E139" s="7"/>
    </row>
    <row r="140" spans="1:6" x14ac:dyDescent="0.25">
      <c r="A140" s="7"/>
      <c r="B140" s="7"/>
      <c r="C140" s="7"/>
      <c r="D140" s="7"/>
      <c r="E140" s="7"/>
    </row>
    <row r="141" spans="1:6" ht="13" x14ac:dyDescent="0.3">
      <c r="A141" s="8" t="s">
        <v>31</v>
      </c>
      <c r="B141" s="8" t="s">
        <v>66</v>
      </c>
      <c r="C141" s="5" t="s">
        <v>101</v>
      </c>
      <c r="D141" s="8" t="s">
        <v>67</v>
      </c>
      <c r="E141" s="7"/>
    </row>
    <row r="142" spans="1:6" x14ac:dyDescent="0.25">
      <c r="A142" s="9" t="s">
        <v>19</v>
      </c>
      <c r="B142" s="9">
        <v>0</v>
      </c>
      <c r="C142" s="9"/>
      <c r="D142" s="9"/>
      <c r="E142" s="9"/>
    </row>
    <row r="143" spans="1:6" x14ac:dyDescent="0.25">
      <c r="A143" s="9"/>
      <c r="B143" s="9"/>
      <c r="C143" s="9"/>
      <c r="D143" s="9"/>
      <c r="E143" s="9"/>
    </row>
    <row r="144" spans="1:6" ht="13" x14ac:dyDescent="0.3">
      <c r="A144" s="10" t="s">
        <v>70</v>
      </c>
      <c r="B144" s="7">
        <f>SUM(B142:B143)</f>
        <v>0</v>
      </c>
      <c r="C144" s="7"/>
      <c r="D144" s="7"/>
      <c r="E144" s="7"/>
    </row>
    <row r="145" spans="1:5" x14ac:dyDescent="0.25">
      <c r="A145" s="7"/>
      <c r="B145" s="7"/>
      <c r="C145" s="7"/>
      <c r="D145" s="7"/>
      <c r="E145" s="7"/>
    </row>
    <row r="146" spans="1:5" ht="13" x14ac:dyDescent="0.3">
      <c r="A146" s="8" t="s">
        <v>82</v>
      </c>
      <c r="B146" s="8" t="s">
        <v>66</v>
      </c>
      <c r="C146" s="5" t="s">
        <v>101</v>
      </c>
      <c r="D146" s="8" t="s">
        <v>67</v>
      </c>
      <c r="E146" s="7"/>
    </row>
    <row r="147" spans="1:5" x14ac:dyDescent="0.25">
      <c r="A147" s="9" t="s">
        <v>150</v>
      </c>
      <c r="B147" s="9">
        <v>120</v>
      </c>
      <c r="C147" s="9"/>
      <c r="D147" s="17"/>
      <c r="E147" s="9"/>
    </row>
    <row r="148" spans="1:5" x14ac:dyDescent="0.25">
      <c r="A148" s="9" t="s">
        <v>160</v>
      </c>
      <c r="B148" s="9">
        <v>0</v>
      </c>
      <c r="C148" s="9"/>
      <c r="D148" s="17"/>
      <c r="E148" s="9"/>
    </row>
    <row r="149" spans="1:5" x14ac:dyDescent="0.25">
      <c r="A149" s="9" t="s">
        <v>161</v>
      </c>
      <c r="B149" s="9">
        <v>32</v>
      </c>
      <c r="C149" s="9"/>
      <c r="D149" s="17"/>
      <c r="E149" s="9"/>
    </row>
    <row r="150" spans="1:5" x14ac:dyDescent="0.25">
      <c r="A150" s="9" t="s">
        <v>52</v>
      </c>
      <c r="B150" s="9">
        <v>5</v>
      </c>
      <c r="C150" s="9"/>
      <c r="D150" s="17"/>
      <c r="E150" s="9"/>
    </row>
    <row r="151" spans="1:5" x14ac:dyDescent="0.25">
      <c r="A151" s="9" t="s">
        <v>47</v>
      </c>
      <c r="B151" s="9">
        <v>20</v>
      </c>
      <c r="C151" s="9"/>
      <c r="D151" s="17"/>
      <c r="E151" s="9"/>
    </row>
    <row r="152" spans="1:5" x14ac:dyDescent="0.25">
      <c r="A152" s="9" t="s">
        <v>59</v>
      </c>
      <c r="B152" s="9">
        <v>110</v>
      </c>
      <c r="C152" s="9"/>
      <c r="D152" s="9"/>
      <c r="E152" s="9"/>
    </row>
    <row r="153" spans="1:5" ht="13" x14ac:dyDescent="0.3">
      <c r="A153" s="10" t="s">
        <v>70</v>
      </c>
      <c r="B153" s="7">
        <f>SUM(B147:B152)</f>
        <v>287</v>
      </c>
      <c r="C153" s="7"/>
      <c r="D153" s="7"/>
      <c r="E153" s="7"/>
    </row>
    <row r="154" spans="1:5" x14ac:dyDescent="0.25">
      <c r="A154" s="7"/>
      <c r="B154" s="7"/>
      <c r="C154" s="7"/>
      <c r="D154" s="7"/>
      <c r="E154" s="7"/>
    </row>
    <row r="155" spans="1:5" ht="13" x14ac:dyDescent="0.3">
      <c r="A155" s="8" t="s">
        <v>85</v>
      </c>
      <c r="B155" s="8" t="s">
        <v>66</v>
      </c>
      <c r="C155" s="5" t="s">
        <v>101</v>
      </c>
      <c r="D155" s="8" t="s">
        <v>67</v>
      </c>
      <c r="E155" s="7"/>
    </row>
    <row r="156" spans="1:5" x14ac:dyDescent="0.25">
      <c r="A156" s="9" t="s">
        <v>104</v>
      </c>
      <c r="B156" s="9">
        <v>0</v>
      </c>
      <c r="C156" s="9"/>
      <c r="D156" s="17"/>
      <c r="E156" s="9"/>
    </row>
    <row r="157" spans="1:5" x14ac:dyDescent="0.25">
      <c r="A157" s="9" t="s">
        <v>162</v>
      </c>
      <c r="B157" s="9">
        <v>110</v>
      </c>
      <c r="C157" s="9"/>
      <c r="D157" s="17" t="s">
        <v>163</v>
      </c>
      <c r="E157" s="9"/>
    </row>
    <row r="158" spans="1:5" x14ac:dyDescent="0.25">
      <c r="A158" s="9" t="s">
        <v>29</v>
      </c>
      <c r="B158" s="9">
        <v>260</v>
      </c>
      <c r="C158" s="9"/>
      <c r="D158" s="17"/>
      <c r="E158" s="9"/>
    </row>
    <row r="159" spans="1:5" x14ac:dyDescent="0.25">
      <c r="A159" s="9" t="s">
        <v>30</v>
      </c>
      <c r="B159" s="9">
        <v>155</v>
      </c>
      <c r="C159" s="9"/>
      <c r="D159" s="9"/>
      <c r="E159" s="9"/>
    </row>
    <row r="160" spans="1:5" ht="13" x14ac:dyDescent="0.3">
      <c r="A160" s="10" t="s">
        <v>70</v>
      </c>
      <c r="B160" s="7">
        <f>SUM(B156:B159)</f>
        <v>525</v>
      </c>
      <c r="C160" s="7"/>
      <c r="D160" s="7"/>
      <c r="E160" s="7"/>
    </row>
    <row r="161" spans="1:5" ht="13" x14ac:dyDescent="0.3">
      <c r="A161" s="10"/>
      <c r="B161" s="7"/>
      <c r="C161" s="7"/>
      <c r="D161" s="7"/>
      <c r="E161" s="7"/>
    </row>
    <row r="162" spans="1:5" ht="13" x14ac:dyDescent="0.3">
      <c r="A162" s="10" t="s">
        <v>87</v>
      </c>
      <c r="B162" s="7">
        <f>SUM(B139,B144,B153)-B160</f>
        <v>4229.45</v>
      </c>
      <c r="C162" s="7"/>
      <c r="D162" s="7"/>
      <c r="E162" s="7"/>
    </row>
    <row r="163" spans="1:5" ht="13" x14ac:dyDescent="0.3">
      <c r="A163" s="10"/>
      <c r="B163" s="7"/>
      <c r="C163" s="7"/>
      <c r="D163" s="7"/>
      <c r="E163" s="7"/>
    </row>
    <row r="164" spans="1:5" ht="13" x14ac:dyDescent="0.3">
      <c r="A164" s="11" t="s">
        <v>73</v>
      </c>
      <c r="B164" s="7"/>
      <c r="C164" s="7"/>
      <c r="D164" s="7"/>
      <c r="E164" s="7"/>
    </row>
    <row r="165" spans="1:5" ht="13" x14ac:dyDescent="0.3">
      <c r="A165" s="8" t="s">
        <v>75</v>
      </c>
      <c r="B165" s="8" t="s">
        <v>66</v>
      </c>
      <c r="C165" s="5" t="s">
        <v>101</v>
      </c>
      <c r="D165" s="8" t="s">
        <v>67</v>
      </c>
      <c r="E165" s="7"/>
    </row>
    <row r="166" spans="1:5" x14ac:dyDescent="0.25">
      <c r="A166" s="9" t="s">
        <v>74</v>
      </c>
      <c r="B166" s="9">
        <v>0</v>
      </c>
      <c r="C166" s="9"/>
      <c r="D166" s="9" t="s">
        <v>141</v>
      </c>
      <c r="E166" s="9"/>
    </row>
    <row r="167" spans="1:5" x14ac:dyDescent="0.25">
      <c r="A167" s="9"/>
      <c r="B167" s="9"/>
      <c r="C167" s="9"/>
      <c r="D167" s="9"/>
      <c r="E167" s="9"/>
    </row>
    <row r="168" spans="1:5" ht="13" x14ac:dyDescent="0.3">
      <c r="A168" s="10" t="s">
        <v>70</v>
      </c>
      <c r="B168" s="7">
        <f>SUM(B166:B167)</f>
        <v>0</v>
      </c>
      <c r="C168" s="7"/>
      <c r="D168" s="7"/>
      <c r="E168" s="7"/>
    </row>
    <row r="169" spans="1:5" ht="13" x14ac:dyDescent="0.3">
      <c r="A169" s="11"/>
      <c r="B169" s="7"/>
      <c r="C169" s="7"/>
      <c r="D169" s="7"/>
      <c r="E169" s="7"/>
    </row>
    <row r="170" spans="1:5" ht="13" x14ac:dyDescent="0.3">
      <c r="A170" s="8" t="s">
        <v>76</v>
      </c>
      <c r="B170" s="8" t="s">
        <v>66</v>
      </c>
      <c r="C170" s="5" t="s">
        <v>101</v>
      </c>
      <c r="D170" s="8" t="s">
        <v>67</v>
      </c>
      <c r="E170" s="7"/>
    </row>
    <row r="171" spans="1:5" x14ac:dyDescent="0.25">
      <c r="A171" s="9"/>
      <c r="B171" s="9"/>
      <c r="C171" s="9"/>
      <c r="D171" s="9"/>
      <c r="E171" s="9"/>
    </row>
    <row r="172" spans="1:5" x14ac:dyDescent="0.25">
      <c r="A172" s="9"/>
      <c r="B172" s="9"/>
      <c r="C172" s="9"/>
      <c r="D172" s="9"/>
      <c r="E172" s="9"/>
    </row>
    <row r="173" spans="1:5" ht="13" x14ac:dyDescent="0.3">
      <c r="A173" s="10" t="s">
        <v>70</v>
      </c>
      <c r="B173" s="7">
        <f>SUM(B171:B172)</f>
        <v>0</v>
      </c>
      <c r="C173" s="7"/>
      <c r="D173" s="7"/>
      <c r="E173" s="7"/>
    </row>
    <row r="174" spans="1:5" x14ac:dyDescent="0.25">
      <c r="A174" s="7"/>
      <c r="B174" s="7"/>
      <c r="C174" s="7"/>
      <c r="D174" s="7"/>
      <c r="E174" s="7"/>
    </row>
    <row r="175" spans="1:5" ht="13" x14ac:dyDescent="0.3">
      <c r="A175" s="8" t="s">
        <v>86</v>
      </c>
      <c r="B175" s="8" t="s">
        <v>66</v>
      </c>
      <c r="C175" s="5" t="s">
        <v>101</v>
      </c>
      <c r="D175" s="8" t="s">
        <v>67</v>
      </c>
      <c r="E175" s="7"/>
    </row>
    <row r="176" spans="1:5" x14ac:dyDescent="0.25">
      <c r="A176" s="9" t="s">
        <v>26</v>
      </c>
      <c r="B176" s="9">
        <v>117.93</v>
      </c>
      <c r="C176" s="9"/>
      <c r="D176" s="9" t="s">
        <v>156</v>
      </c>
      <c r="E176" s="9"/>
    </row>
    <row r="177" spans="1:5" x14ac:dyDescent="0.25">
      <c r="A177" s="9"/>
      <c r="B177" s="9"/>
      <c r="C177" s="9"/>
      <c r="D177" s="9"/>
      <c r="E177" s="9"/>
    </row>
    <row r="178" spans="1:5" ht="13" x14ac:dyDescent="0.3">
      <c r="A178" s="10" t="s">
        <v>70</v>
      </c>
      <c r="B178" s="7">
        <f>SUM(B176:B177)</f>
        <v>117.93</v>
      </c>
      <c r="C178" s="7"/>
      <c r="D178" s="7"/>
      <c r="E178" s="7"/>
    </row>
    <row r="179" spans="1:5" x14ac:dyDescent="0.25">
      <c r="A179" s="7"/>
      <c r="B179" s="7"/>
      <c r="C179" s="7"/>
      <c r="D179" s="7"/>
      <c r="E179" s="7"/>
    </row>
    <row r="180" spans="1:5" ht="13" x14ac:dyDescent="0.3">
      <c r="A180" s="10" t="s">
        <v>88</v>
      </c>
      <c r="B180" s="7">
        <f>SUM(B168,B173)-B178</f>
        <v>-117.93</v>
      </c>
      <c r="C180" s="7"/>
      <c r="D180" s="7"/>
      <c r="E180" s="7"/>
    </row>
    <row r="181" spans="1:5" x14ac:dyDescent="0.25">
      <c r="A181" s="7"/>
      <c r="B181" s="7"/>
      <c r="C181" s="7"/>
      <c r="D181" s="7"/>
      <c r="E181" s="7"/>
    </row>
    <row r="182" spans="1:5" ht="13" x14ac:dyDescent="0.3">
      <c r="A182" s="5" t="s">
        <v>89</v>
      </c>
      <c r="B182" s="7"/>
      <c r="C182" s="7"/>
      <c r="D182" s="7"/>
      <c r="E182" s="7"/>
    </row>
    <row r="183" spans="1:5" ht="13" x14ac:dyDescent="0.3">
      <c r="A183" s="8" t="s">
        <v>94</v>
      </c>
      <c r="B183" s="8" t="s">
        <v>66</v>
      </c>
      <c r="C183" s="5" t="s">
        <v>101</v>
      </c>
      <c r="D183" s="8" t="s">
        <v>67</v>
      </c>
      <c r="E183" s="7"/>
    </row>
    <row r="184" spans="1:5" x14ac:dyDescent="0.25">
      <c r="A184" s="9" t="s">
        <v>90</v>
      </c>
      <c r="B184" s="15">
        <v>34671.26</v>
      </c>
      <c r="C184" s="9"/>
      <c r="D184" s="9"/>
      <c r="E184" s="9"/>
    </row>
    <row r="185" spans="1:5" x14ac:dyDescent="0.25">
      <c r="A185" s="9" t="s">
        <v>91</v>
      </c>
      <c r="B185" s="9">
        <v>3766.96</v>
      </c>
      <c r="C185" s="9"/>
      <c r="D185" s="9"/>
      <c r="E185" s="9"/>
    </row>
    <row r="186" spans="1:5" x14ac:dyDescent="0.25">
      <c r="A186" s="9" t="s">
        <v>92</v>
      </c>
      <c r="B186" s="9">
        <v>40000</v>
      </c>
      <c r="C186" s="9"/>
      <c r="D186" s="9"/>
      <c r="E186" s="9"/>
    </row>
    <row r="187" spans="1:5" x14ac:dyDescent="0.25">
      <c r="A187" s="9" t="s">
        <v>93</v>
      </c>
      <c r="B187" s="9">
        <v>7000</v>
      </c>
      <c r="C187" s="9"/>
      <c r="D187" s="9"/>
      <c r="E187" s="9"/>
    </row>
    <row r="188" spans="1:5" x14ac:dyDescent="0.25">
      <c r="A188" s="9" t="s">
        <v>122</v>
      </c>
      <c r="B188" s="9">
        <v>226</v>
      </c>
      <c r="C188" s="9"/>
      <c r="D188" s="9" t="s">
        <v>147</v>
      </c>
      <c r="E188" s="9"/>
    </row>
    <row r="189" spans="1:5" ht="13" x14ac:dyDescent="0.3">
      <c r="A189" s="10" t="s">
        <v>70</v>
      </c>
      <c r="B189" s="7">
        <f>SUM(B184:B188)</f>
        <v>85664.22</v>
      </c>
      <c r="C189" s="7"/>
      <c r="D189" s="7"/>
      <c r="E189" s="7"/>
    </row>
    <row r="190" spans="1:5" x14ac:dyDescent="0.25">
      <c r="A190" s="7"/>
      <c r="B190" s="7"/>
      <c r="C190" s="7"/>
      <c r="D190" s="7"/>
      <c r="E190" s="7"/>
    </row>
    <row r="191" spans="1:5" ht="13" x14ac:dyDescent="0.3">
      <c r="A191" s="5" t="s">
        <v>133</v>
      </c>
      <c r="B191" s="7">
        <f xml:space="preserve"> B180-B162</f>
        <v>-4347.38</v>
      </c>
      <c r="C191" s="7"/>
      <c r="D191" s="7"/>
      <c r="E191" s="7"/>
    </row>
    <row r="192" spans="1:5" ht="13" x14ac:dyDescent="0.3">
      <c r="A192" s="5" t="s">
        <v>129</v>
      </c>
      <c r="B192" s="7">
        <f>SUM(B189,B191)</f>
        <v>81316.84</v>
      </c>
      <c r="C192" s="7"/>
      <c r="D192" s="7"/>
      <c r="E192" s="7"/>
    </row>
    <row r="193" spans="1:5" ht="38" x14ac:dyDescent="0.3">
      <c r="A193" s="5" t="s">
        <v>134</v>
      </c>
      <c r="B193" s="7">
        <f>B192-B263</f>
        <v>643.79999999998836</v>
      </c>
      <c r="C193" s="7"/>
      <c r="D193" s="14" t="s">
        <v>164</v>
      </c>
      <c r="E193" s="7"/>
    </row>
    <row r="194" spans="1:5" x14ac:dyDescent="0.25">
      <c r="A194" s="69"/>
      <c r="B194" s="69"/>
      <c r="C194" s="69"/>
      <c r="D194" s="69"/>
      <c r="E194" s="69"/>
    </row>
    <row r="195" spans="1:5" x14ac:dyDescent="0.25">
      <c r="A195" s="69"/>
      <c r="B195" s="69"/>
      <c r="C195" s="69"/>
      <c r="D195" s="69"/>
      <c r="E195" s="69"/>
    </row>
    <row r="196" spans="1:5" x14ac:dyDescent="0.25">
      <c r="A196" s="69"/>
      <c r="B196" s="69"/>
      <c r="C196" s="69"/>
      <c r="D196" s="69"/>
      <c r="E196" s="69"/>
    </row>
    <row r="197" spans="1:5" ht="13" x14ac:dyDescent="0.3">
      <c r="A197" s="3" t="s">
        <v>98</v>
      </c>
      <c r="B197" s="68" t="s">
        <v>71</v>
      </c>
      <c r="C197" s="68"/>
      <c r="D197" s="68"/>
      <c r="E197" s="4"/>
    </row>
    <row r="198" spans="1:5" ht="13" x14ac:dyDescent="0.3">
      <c r="A198" s="5" t="s">
        <v>95</v>
      </c>
      <c r="B198" s="12">
        <v>41546</v>
      </c>
      <c r="C198" s="6"/>
      <c r="D198" s="6"/>
      <c r="E198" s="7"/>
    </row>
    <row r="199" spans="1:5" ht="13" x14ac:dyDescent="0.3">
      <c r="A199" s="5" t="s">
        <v>102</v>
      </c>
      <c r="B199" s="13">
        <v>0.96388888888888891</v>
      </c>
      <c r="C199" s="6"/>
      <c r="D199" s="6"/>
      <c r="E199" s="7"/>
    </row>
    <row r="200" spans="1:5" ht="13" x14ac:dyDescent="0.3">
      <c r="A200" s="5"/>
      <c r="B200" s="6"/>
      <c r="C200" s="6"/>
      <c r="D200" s="6"/>
      <c r="E200" s="7"/>
    </row>
    <row r="201" spans="1:5" ht="13" x14ac:dyDescent="0.3">
      <c r="A201" s="5" t="s">
        <v>84</v>
      </c>
      <c r="B201" s="6"/>
      <c r="C201" s="6"/>
      <c r="D201" s="6"/>
      <c r="E201" s="7"/>
    </row>
    <row r="202" spans="1:5" ht="13" x14ac:dyDescent="0.3">
      <c r="A202" s="8" t="s">
        <v>0</v>
      </c>
      <c r="B202" s="8" t="s">
        <v>66</v>
      </c>
      <c r="C202" s="8" t="s">
        <v>67</v>
      </c>
      <c r="D202" s="7"/>
      <c r="E202" s="7"/>
    </row>
    <row r="203" spans="1:5" x14ac:dyDescent="0.25">
      <c r="A203" s="9" t="s">
        <v>1</v>
      </c>
      <c r="B203" s="9">
        <v>900</v>
      </c>
      <c r="C203" s="9" t="s">
        <v>103</v>
      </c>
      <c r="D203" s="9"/>
      <c r="E203" s="9"/>
    </row>
    <row r="204" spans="1:5" x14ac:dyDescent="0.25">
      <c r="A204" s="9" t="s">
        <v>3</v>
      </c>
      <c r="B204" s="9">
        <v>0</v>
      </c>
      <c r="C204" s="9" t="s">
        <v>103</v>
      </c>
      <c r="D204" s="9"/>
      <c r="E204" s="9"/>
    </row>
    <row r="205" spans="1:5" x14ac:dyDescent="0.25">
      <c r="A205" s="9" t="s">
        <v>2</v>
      </c>
      <c r="B205" s="9">
        <v>0</v>
      </c>
      <c r="C205" s="9" t="s">
        <v>103</v>
      </c>
      <c r="D205" s="9"/>
      <c r="E205" s="9"/>
    </row>
    <row r="206" spans="1:5" x14ac:dyDescent="0.25">
      <c r="A206" s="9" t="s">
        <v>5</v>
      </c>
      <c r="B206" s="9">
        <v>0</v>
      </c>
      <c r="C206" s="9" t="s">
        <v>103</v>
      </c>
      <c r="D206" s="9"/>
      <c r="E206" s="9"/>
    </row>
    <row r="207" spans="1:5" x14ac:dyDescent="0.25">
      <c r="A207" s="9" t="s">
        <v>4</v>
      </c>
      <c r="B207" s="9">
        <v>0</v>
      </c>
      <c r="C207" s="9" t="s">
        <v>103</v>
      </c>
      <c r="D207" s="9"/>
      <c r="E207" s="9"/>
    </row>
    <row r="208" spans="1:5" x14ac:dyDescent="0.25">
      <c r="A208" s="9" t="s">
        <v>14</v>
      </c>
      <c r="B208" s="9">
        <v>0</v>
      </c>
      <c r="C208" s="9" t="s">
        <v>103</v>
      </c>
      <c r="D208" s="9"/>
      <c r="E208" s="9"/>
    </row>
    <row r="209" spans="1:5" x14ac:dyDescent="0.25">
      <c r="A209" s="9" t="s">
        <v>42</v>
      </c>
      <c r="B209" s="9">
        <v>0</v>
      </c>
      <c r="C209" s="9"/>
      <c r="D209" s="9"/>
      <c r="E209" s="9"/>
    </row>
    <row r="210" spans="1:5" x14ac:dyDescent="0.25">
      <c r="A210" s="9" t="s">
        <v>149</v>
      </c>
      <c r="B210" s="9">
        <v>140</v>
      </c>
      <c r="C210" s="9"/>
      <c r="D210" s="9"/>
      <c r="E210" s="9"/>
    </row>
    <row r="211" spans="1:5" x14ac:dyDescent="0.25">
      <c r="A211" s="9" t="s">
        <v>39</v>
      </c>
      <c r="B211" s="9">
        <v>0</v>
      </c>
      <c r="C211" s="9"/>
      <c r="D211" s="9"/>
      <c r="E211" s="9"/>
    </row>
    <row r="212" spans="1:5" ht="13" x14ac:dyDescent="0.3">
      <c r="A212" s="10" t="s">
        <v>70</v>
      </c>
      <c r="B212" s="7">
        <f>SUM(B203:B211)</f>
        <v>1040</v>
      </c>
      <c r="C212" s="7"/>
      <c r="D212" s="7"/>
      <c r="E212" s="7"/>
    </row>
    <row r="213" spans="1:5" x14ac:dyDescent="0.25">
      <c r="A213" s="7"/>
      <c r="B213" s="7"/>
      <c r="C213" s="7"/>
      <c r="D213" s="7"/>
      <c r="E213" s="7"/>
    </row>
    <row r="214" spans="1:5" ht="13" x14ac:dyDescent="0.3">
      <c r="A214" s="8" t="s">
        <v>31</v>
      </c>
      <c r="B214" s="8" t="s">
        <v>66</v>
      </c>
      <c r="C214" s="8" t="s">
        <v>67</v>
      </c>
      <c r="D214" s="7"/>
      <c r="E214" s="7"/>
    </row>
    <row r="215" spans="1:5" x14ac:dyDescent="0.25">
      <c r="A215" s="9"/>
      <c r="B215" s="9"/>
      <c r="C215" s="9"/>
      <c r="D215" s="9"/>
      <c r="E215" s="9"/>
    </row>
    <row r="216" spans="1:5" x14ac:dyDescent="0.25">
      <c r="A216" s="9"/>
      <c r="B216" s="9"/>
      <c r="C216" s="9"/>
      <c r="D216" s="9"/>
      <c r="E216" s="9"/>
    </row>
    <row r="217" spans="1:5" ht="13" x14ac:dyDescent="0.3">
      <c r="A217" s="10" t="s">
        <v>70</v>
      </c>
      <c r="B217" s="7">
        <f>SUM(B215:B216)</f>
        <v>0</v>
      </c>
      <c r="C217" s="7"/>
      <c r="D217" s="7"/>
      <c r="E217" s="7"/>
    </row>
    <row r="218" spans="1:5" x14ac:dyDescent="0.25">
      <c r="A218" s="7"/>
      <c r="B218" s="7"/>
      <c r="C218" s="7"/>
      <c r="D218" s="7"/>
      <c r="E218" s="7"/>
    </row>
    <row r="219" spans="1:5" ht="13" x14ac:dyDescent="0.3">
      <c r="A219" s="8" t="s">
        <v>82</v>
      </c>
      <c r="B219" s="8" t="s">
        <v>66</v>
      </c>
      <c r="C219" s="8" t="s">
        <v>67</v>
      </c>
      <c r="D219" s="7"/>
      <c r="E219" s="7"/>
    </row>
    <row r="220" spans="1:5" x14ac:dyDescent="0.25">
      <c r="A220" s="9" t="s">
        <v>150</v>
      </c>
      <c r="B220" s="9">
        <v>120</v>
      </c>
      <c r="C220" s="9"/>
      <c r="D220" s="9"/>
      <c r="E220" s="9"/>
    </row>
    <row r="221" spans="1:5" x14ac:dyDescent="0.25">
      <c r="A221" s="9"/>
      <c r="B221" s="9"/>
      <c r="C221" s="9"/>
      <c r="D221" s="9"/>
      <c r="E221" s="9"/>
    </row>
    <row r="222" spans="1:5" ht="13" x14ac:dyDescent="0.3">
      <c r="A222" s="10" t="s">
        <v>70</v>
      </c>
      <c r="B222" s="7">
        <f>SUM(B220:B221)</f>
        <v>120</v>
      </c>
      <c r="C222" s="7"/>
      <c r="D222" s="7"/>
      <c r="E222" s="7"/>
    </row>
    <row r="223" spans="1:5" x14ac:dyDescent="0.25">
      <c r="A223" s="7"/>
      <c r="B223" s="7"/>
      <c r="C223" s="7"/>
      <c r="D223" s="7"/>
      <c r="E223" s="7"/>
    </row>
    <row r="224" spans="1:5" ht="13" x14ac:dyDescent="0.3">
      <c r="A224" s="8" t="s">
        <v>85</v>
      </c>
      <c r="B224" s="8" t="s">
        <v>66</v>
      </c>
      <c r="C224" s="8" t="s">
        <v>67</v>
      </c>
      <c r="D224" s="7"/>
      <c r="E224" s="7"/>
    </row>
    <row r="225" spans="1:5" x14ac:dyDescent="0.25">
      <c r="A225" s="9" t="s">
        <v>155</v>
      </c>
      <c r="B225" s="9">
        <v>135</v>
      </c>
      <c r="C225" s="9"/>
      <c r="D225" s="9"/>
      <c r="E225" s="9"/>
    </row>
    <row r="226" spans="1:5" x14ac:dyDescent="0.25">
      <c r="A226" s="9" t="s">
        <v>104</v>
      </c>
      <c r="B226" s="9">
        <v>0</v>
      </c>
      <c r="C226" s="9"/>
      <c r="D226" s="9"/>
      <c r="E226" s="9"/>
    </row>
    <row r="227" spans="1:5" x14ac:dyDescent="0.25">
      <c r="A227" s="9" t="s">
        <v>137</v>
      </c>
      <c r="B227" s="9">
        <v>441.92</v>
      </c>
      <c r="C227" s="9"/>
      <c r="D227" s="9"/>
      <c r="E227" s="9"/>
    </row>
    <row r="228" spans="1:5" x14ac:dyDescent="0.25">
      <c r="A228" s="9" t="s">
        <v>29</v>
      </c>
      <c r="B228" s="9">
        <v>390</v>
      </c>
      <c r="C228" s="9"/>
      <c r="D228" s="9"/>
      <c r="E228" s="9"/>
    </row>
    <row r="229" spans="1:5" x14ac:dyDescent="0.25">
      <c r="A229" s="9" t="s">
        <v>30</v>
      </c>
      <c r="B229" s="9">
        <v>145</v>
      </c>
      <c r="C229" s="9"/>
      <c r="D229" s="9"/>
      <c r="E229" s="9"/>
    </row>
    <row r="230" spans="1:5" ht="13" x14ac:dyDescent="0.3">
      <c r="A230" s="10" t="s">
        <v>70</v>
      </c>
      <c r="B230" s="7">
        <f>SUM(B225:B229)</f>
        <v>1111.92</v>
      </c>
      <c r="C230" s="7"/>
      <c r="D230" s="7"/>
      <c r="E230" s="7"/>
    </row>
    <row r="231" spans="1:5" ht="13" x14ac:dyDescent="0.3">
      <c r="A231" s="10"/>
      <c r="B231" s="7"/>
      <c r="C231" s="7"/>
      <c r="D231" s="7"/>
      <c r="E231" s="7"/>
    </row>
    <row r="232" spans="1:5" ht="13" x14ac:dyDescent="0.3">
      <c r="A232" s="10" t="s">
        <v>87</v>
      </c>
      <c r="B232" s="7">
        <f>SUM(B212,B217,B222) - B230</f>
        <v>48.079999999999927</v>
      </c>
      <c r="C232" s="7"/>
      <c r="D232" s="7"/>
      <c r="E232" s="7"/>
    </row>
    <row r="233" spans="1:5" ht="13" x14ac:dyDescent="0.3">
      <c r="A233" s="10"/>
      <c r="B233" s="7"/>
      <c r="C233" s="7"/>
      <c r="D233" s="7"/>
      <c r="E233" s="7"/>
    </row>
    <row r="234" spans="1:5" ht="13" x14ac:dyDescent="0.3">
      <c r="A234" s="11" t="s">
        <v>73</v>
      </c>
      <c r="B234" s="7"/>
      <c r="C234" s="7"/>
      <c r="D234" s="7"/>
      <c r="E234" s="7"/>
    </row>
    <row r="235" spans="1:5" ht="13" x14ac:dyDescent="0.3">
      <c r="A235" s="8" t="s">
        <v>75</v>
      </c>
      <c r="B235" s="8" t="s">
        <v>66</v>
      </c>
      <c r="C235" s="8" t="s">
        <v>67</v>
      </c>
      <c r="D235" s="7"/>
      <c r="E235" s="7"/>
    </row>
    <row r="236" spans="1:5" x14ac:dyDescent="0.25">
      <c r="A236" s="9"/>
      <c r="B236" s="9"/>
      <c r="C236" s="9"/>
      <c r="D236" s="9"/>
      <c r="E236" s="9"/>
    </row>
    <row r="237" spans="1:5" x14ac:dyDescent="0.25">
      <c r="A237" s="9"/>
      <c r="B237" s="9"/>
      <c r="C237" s="9"/>
      <c r="D237" s="9"/>
      <c r="E237" s="9"/>
    </row>
    <row r="238" spans="1:5" ht="13" x14ac:dyDescent="0.3">
      <c r="A238" s="10" t="s">
        <v>70</v>
      </c>
      <c r="B238" s="7">
        <f>SUM(B236:B237)</f>
        <v>0</v>
      </c>
      <c r="C238" s="7"/>
      <c r="D238" s="7"/>
      <c r="E238" s="7"/>
    </row>
    <row r="239" spans="1:5" ht="13" x14ac:dyDescent="0.3">
      <c r="A239" s="11"/>
      <c r="B239" s="7"/>
      <c r="C239" s="7"/>
      <c r="D239" s="7"/>
      <c r="E239" s="7"/>
    </row>
    <row r="240" spans="1:5" ht="13" x14ac:dyDescent="0.3">
      <c r="A240" s="8" t="s">
        <v>76</v>
      </c>
      <c r="B240" s="8" t="s">
        <v>66</v>
      </c>
      <c r="C240" s="8" t="s">
        <v>67</v>
      </c>
      <c r="D240" s="7"/>
      <c r="E240" s="7"/>
    </row>
    <row r="241" spans="1:5" x14ac:dyDescent="0.25">
      <c r="A241" s="9"/>
      <c r="B241" s="9"/>
      <c r="C241" s="9"/>
      <c r="D241" s="9"/>
      <c r="E241" s="9"/>
    </row>
    <row r="242" spans="1:5" x14ac:dyDescent="0.25">
      <c r="A242" s="9"/>
      <c r="B242" s="9"/>
      <c r="C242" s="9"/>
      <c r="D242" s="9"/>
      <c r="E242" s="9"/>
    </row>
    <row r="243" spans="1:5" ht="13" x14ac:dyDescent="0.3">
      <c r="A243" s="10" t="s">
        <v>70</v>
      </c>
      <c r="B243" s="7">
        <f>SUM(B241:B242)</f>
        <v>0</v>
      </c>
      <c r="C243" s="7"/>
      <c r="D243" s="7"/>
      <c r="E243" s="7"/>
    </row>
    <row r="244" spans="1:5" x14ac:dyDescent="0.25">
      <c r="A244" s="7"/>
      <c r="B244" s="7"/>
      <c r="C244" s="7"/>
      <c r="D244" s="7"/>
      <c r="E244" s="7"/>
    </row>
    <row r="245" spans="1:5" ht="13" x14ac:dyDescent="0.3">
      <c r="A245" s="8" t="s">
        <v>86</v>
      </c>
      <c r="B245" s="8" t="s">
        <v>66</v>
      </c>
      <c r="C245" s="8" t="s">
        <v>67</v>
      </c>
      <c r="D245" s="7"/>
      <c r="E245" s="7"/>
    </row>
    <row r="246" spans="1:5" x14ac:dyDescent="0.25">
      <c r="A246" s="9" t="s">
        <v>26</v>
      </c>
      <c r="B246" s="9">
        <v>117.93</v>
      </c>
      <c r="C246" s="9" t="s">
        <v>156</v>
      </c>
      <c r="D246" s="9"/>
      <c r="E246" s="9"/>
    </row>
    <row r="247" spans="1:5" x14ac:dyDescent="0.25">
      <c r="A247" s="9" t="s">
        <v>157</v>
      </c>
      <c r="B247" s="9">
        <v>4825.17</v>
      </c>
      <c r="C247" s="9"/>
      <c r="D247" s="9"/>
      <c r="E247" s="9"/>
    </row>
    <row r="248" spans="1:5" x14ac:dyDescent="0.25">
      <c r="A248" s="9"/>
      <c r="B248" s="9"/>
      <c r="C248" s="9"/>
      <c r="D248" s="9"/>
      <c r="E248" s="9"/>
    </row>
    <row r="249" spans="1:5" ht="13" x14ac:dyDescent="0.3">
      <c r="A249" s="10" t="s">
        <v>70</v>
      </c>
      <c r="B249" s="7">
        <f>SUM(B246:B248)</f>
        <v>4943.1000000000004</v>
      </c>
      <c r="C249" s="7"/>
      <c r="D249" s="7"/>
      <c r="E249" s="7"/>
    </row>
    <row r="250" spans="1:5" x14ac:dyDescent="0.25">
      <c r="A250" s="7"/>
      <c r="B250" s="7"/>
      <c r="C250" s="7"/>
      <c r="D250" s="7"/>
      <c r="E250" s="7"/>
    </row>
    <row r="251" spans="1:5" ht="13" x14ac:dyDescent="0.3">
      <c r="A251" s="10" t="s">
        <v>88</v>
      </c>
      <c r="B251" s="7">
        <f>SUM(B238,B243) - B249</f>
        <v>-4943.1000000000004</v>
      </c>
      <c r="C251" s="7"/>
      <c r="D251" s="7"/>
      <c r="E251" s="7"/>
    </row>
    <row r="252" spans="1:5" x14ac:dyDescent="0.25">
      <c r="A252" s="7"/>
      <c r="B252" s="7"/>
      <c r="C252" s="7"/>
      <c r="D252" s="7"/>
      <c r="E252" s="7"/>
    </row>
    <row r="253" spans="1:5" ht="13" x14ac:dyDescent="0.3">
      <c r="A253" s="5" t="s">
        <v>89</v>
      </c>
      <c r="B253" s="7"/>
      <c r="C253" s="7"/>
      <c r="D253" s="7"/>
      <c r="E253" s="7"/>
    </row>
    <row r="254" spans="1:5" ht="13" x14ac:dyDescent="0.3">
      <c r="A254" s="8" t="s">
        <v>94</v>
      </c>
      <c r="B254" s="8" t="s">
        <v>66</v>
      </c>
      <c r="C254" s="8" t="s">
        <v>67</v>
      </c>
      <c r="D254" s="7"/>
      <c r="E254" s="7"/>
    </row>
    <row r="255" spans="1:5" x14ac:dyDescent="0.25">
      <c r="A255" s="9" t="s">
        <v>90</v>
      </c>
      <c r="B255" s="15">
        <v>34671.26</v>
      </c>
      <c r="C255" s="9"/>
      <c r="D255" s="9"/>
      <c r="E255" s="9"/>
    </row>
    <row r="256" spans="1:5" x14ac:dyDescent="0.25">
      <c r="A256" s="9" t="s">
        <v>91</v>
      </c>
      <c r="B256" s="9">
        <v>3766.96</v>
      </c>
      <c r="C256" s="9"/>
      <c r="D256" s="9"/>
      <c r="E256" s="9"/>
    </row>
    <row r="257" spans="1:5" x14ac:dyDescent="0.25">
      <c r="A257" s="9" t="s">
        <v>92</v>
      </c>
      <c r="B257" s="9">
        <v>40000</v>
      </c>
      <c r="C257" s="9"/>
      <c r="D257" s="9"/>
      <c r="E257" s="9"/>
    </row>
    <row r="258" spans="1:5" x14ac:dyDescent="0.25">
      <c r="A258" s="9" t="s">
        <v>93</v>
      </c>
      <c r="B258" s="9">
        <v>7000</v>
      </c>
      <c r="C258" s="9"/>
      <c r="D258" s="9"/>
      <c r="E258" s="9"/>
    </row>
    <row r="259" spans="1:5" x14ac:dyDescent="0.25">
      <c r="A259" s="9" t="s">
        <v>122</v>
      </c>
      <c r="B259" s="9">
        <v>226</v>
      </c>
      <c r="C259" s="9" t="s">
        <v>147</v>
      </c>
      <c r="D259" s="9"/>
      <c r="E259" s="9"/>
    </row>
    <row r="260" spans="1:5" ht="13" x14ac:dyDescent="0.3">
      <c r="A260" s="10" t="s">
        <v>70</v>
      </c>
      <c r="B260" s="7">
        <f>SUM(B255:B259)</f>
        <v>85664.22</v>
      </c>
      <c r="C260" s="7"/>
      <c r="D260" s="7"/>
      <c r="E260" s="7"/>
    </row>
    <row r="261" spans="1:5" x14ac:dyDescent="0.25">
      <c r="A261" s="7"/>
      <c r="B261" s="7"/>
      <c r="C261" s="7"/>
      <c r="D261" s="7"/>
      <c r="E261" s="7"/>
    </row>
    <row r="262" spans="1:5" ht="13" x14ac:dyDescent="0.3">
      <c r="A262" s="5" t="s">
        <v>99</v>
      </c>
      <c r="B262" s="7">
        <f xml:space="preserve"> B251-B232</f>
        <v>-4991.18</v>
      </c>
      <c r="C262" s="7"/>
      <c r="D262" s="7"/>
      <c r="E262" s="7"/>
    </row>
    <row r="263" spans="1:5" ht="13" x14ac:dyDescent="0.3">
      <c r="A263" s="5" t="s">
        <v>100</v>
      </c>
      <c r="B263" s="7">
        <f>SUM(B260,B262)</f>
        <v>80673.040000000008</v>
      </c>
      <c r="C263" s="7"/>
      <c r="D263" s="7"/>
      <c r="E263" s="7"/>
    </row>
    <row r="264" spans="1:5" ht="13" x14ac:dyDescent="0.3">
      <c r="A264" s="5" t="s">
        <v>108</v>
      </c>
      <c r="B264" s="7">
        <v>79827.94</v>
      </c>
      <c r="C264" s="7" t="s">
        <v>169</v>
      </c>
      <c r="D264" s="7"/>
      <c r="E264" s="7"/>
    </row>
    <row r="265" spans="1:5" ht="200.5" x14ac:dyDescent="0.3">
      <c r="A265" s="5" t="s">
        <v>110</v>
      </c>
      <c r="B265" s="7">
        <f xml:space="preserve"> B263 - B264</f>
        <v>845.10000000000582</v>
      </c>
      <c r="C265" s="14" t="s">
        <v>165</v>
      </c>
      <c r="D265" s="7"/>
      <c r="E265" s="7"/>
    </row>
  </sheetData>
  <mergeCells count="4">
    <mergeCell ref="A103:E105"/>
    <mergeCell ref="B106:D106"/>
    <mergeCell ref="A194:E196"/>
    <mergeCell ref="B197:D197"/>
  </mergeCells>
  <phoneticPr fontId="2" type="noConversion"/>
  <dataValidations count="10">
    <dataValidation type="list" allowBlank="1" showInputMessage="1" showErrorMessage="1" sqref="A176:A177 A246:A248" xr:uid="{00000000-0002-0000-0500-000000000000}">
      <formula1>$A$82:$A$84</formula1>
    </dataValidation>
    <dataValidation type="list" allowBlank="1" showInputMessage="1" showErrorMessage="1" sqref="A203:A211 A112:A138" xr:uid="{00000000-0002-0000-0500-000001000000}">
      <formula1>$A$3:$A$31</formula1>
    </dataValidation>
    <dataValidation type="list" allowBlank="1" showInputMessage="1" showErrorMessage="1" sqref="A215:A216 A142:A143" xr:uid="{00000000-0002-0000-0500-000002000000}">
      <formula1>$A$34:$A$40</formula1>
    </dataValidation>
    <dataValidation type="list" allowBlank="1" showInputMessage="1" showErrorMessage="1" sqref="A220:A221 A147:A152" xr:uid="{00000000-0002-0000-0500-000003000000}">
      <formula1>$A$43:$A$69</formula1>
    </dataValidation>
    <dataValidation type="list" allowBlank="1" showInputMessage="1" showErrorMessage="1" sqref="A225:A229 A156:A159" xr:uid="{00000000-0002-0000-0500-000004000000}">
      <formula1>$A$72:$A$79</formula1>
    </dataValidation>
    <dataValidation type="list" allowBlank="1" showInputMessage="1" showErrorMessage="1" sqref="A166:A167 A236:A237" xr:uid="{00000000-0002-0000-0500-000005000000}">
      <formula1>$A$87:$A$88</formula1>
    </dataValidation>
    <dataValidation type="list" allowBlank="1" showInputMessage="1" showErrorMessage="1" sqref="A171:A172 A241:A242" xr:uid="{00000000-0002-0000-0500-000006000000}">
      <formula1>$A$91:$A$94</formula1>
    </dataValidation>
    <dataValidation type="date" operator="greaterThan" allowBlank="1" showInputMessage="1" showErrorMessage="1" sqref="B198 B107" xr:uid="{00000000-0002-0000-0500-000007000000}">
      <formula1>41275</formula1>
    </dataValidation>
    <dataValidation type="time" operator="greaterThan" allowBlank="1" showInputMessage="1" showErrorMessage="1" sqref="B199 B108" xr:uid="{00000000-0002-0000-0500-000008000000}">
      <formula1>0</formula1>
    </dataValidation>
    <dataValidation type="list" allowBlank="1" showInputMessage="1" showErrorMessage="1" sqref="A255:A259 A184:A188" xr:uid="{00000000-0002-0000-0500-000009000000}">
      <formula1>$A$97:$A$101</formula1>
    </dataValidation>
  </dataValidation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71"/>
  <sheetViews>
    <sheetView topLeftCell="A112" workbookViewId="0">
      <selection activeCell="B128" sqref="B128"/>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21</v>
      </c>
    </row>
    <row r="39" spans="1:1" x14ac:dyDescent="0.25">
      <c r="A39" t="s">
        <v>175</v>
      </c>
    </row>
    <row r="40" spans="1:1" x14ac:dyDescent="0.25">
      <c r="A40" t="s">
        <v>173</v>
      </c>
    </row>
    <row r="41" spans="1:1" x14ac:dyDescent="0.25">
      <c r="A41" t="s">
        <v>27</v>
      </c>
    </row>
    <row r="42" spans="1:1" x14ac:dyDescent="0.25">
      <c r="A42" t="s">
        <v>36</v>
      </c>
    </row>
    <row r="44" spans="1:1" ht="13" x14ac:dyDescent="0.3">
      <c r="A44" s="1" t="s">
        <v>82</v>
      </c>
    </row>
    <row r="45" spans="1:1" x14ac:dyDescent="0.25">
      <c r="A45" t="s">
        <v>40</v>
      </c>
    </row>
    <row r="46" spans="1:1" x14ac:dyDescent="0.25">
      <c r="A46" t="s">
        <v>160</v>
      </c>
    </row>
    <row r="47" spans="1:1" x14ac:dyDescent="0.25">
      <c r="A47" t="s">
        <v>41</v>
      </c>
    </row>
    <row r="48" spans="1:1" x14ac:dyDescent="0.25">
      <c r="A48" t="s">
        <v>43</v>
      </c>
    </row>
    <row r="49" spans="1:1" x14ac:dyDescent="0.25">
      <c r="A49" t="s">
        <v>44</v>
      </c>
    </row>
    <row r="50" spans="1:1" x14ac:dyDescent="0.25">
      <c r="A50" t="s">
        <v>45</v>
      </c>
    </row>
    <row r="51" spans="1:1" x14ac:dyDescent="0.25">
      <c r="A51" t="s">
        <v>46</v>
      </c>
    </row>
    <row r="52" spans="1:1" x14ac:dyDescent="0.25">
      <c r="A52" t="s">
        <v>47</v>
      </c>
    </row>
    <row r="53" spans="1:1" x14ac:dyDescent="0.25">
      <c r="A53" t="s">
        <v>48</v>
      </c>
    </row>
    <row r="54" spans="1:1" x14ac:dyDescent="0.25">
      <c r="A54" t="s">
        <v>50</v>
      </c>
    </row>
    <row r="55" spans="1:1" x14ac:dyDescent="0.25">
      <c r="A55" t="s">
        <v>51</v>
      </c>
    </row>
    <row r="56" spans="1:1" x14ac:dyDescent="0.25">
      <c r="A56" t="s">
        <v>52</v>
      </c>
    </row>
    <row r="57" spans="1:1" x14ac:dyDescent="0.25">
      <c r="A57" t="s">
        <v>53</v>
      </c>
    </row>
    <row r="58" spans="1:1" x14ac:dyDescent="0.25">
      <c r="A58" t="s">
        <v>54</v>
      </c>
    </row>
    <row r="59" spans="1:1" x14ac:dyDescent="0.25">
      <c r="A59" t="s">
        <v>55</v>
      </c>
    </row>
    <row r="60" spans="1:1" x14ac:dyDescent="0.25">
      <c r="A60" t="s">
        <v>56</v>
      </c>
    </row>
    <row r="61" spans="1:1" x14ac:dyDescent="0.25">
      <c r="A61" t="s">
        <v>57</v>
      </c>
    </row>
    <row r="62" spans="1:1" x14ac:dyDescent="0.25">
      <c r="A62" t="s">
        <v>58</v>
      </c>
    </row>
    <row r="63" spans="1:1" x14ac:dyDescent="0.25">
      <c r="A63" t="s">
        <v>59</v>
      </c>
    </row>
    <row r="64" spans="1:1" x14ac:dyDescent="0.25">
      <c r="A64" t="s">
        <v>60</v>
      </c>
    </row>
    <row r="65" spans="1:1" x14ac:dyDescent="0.25">
      <c r="A65" t="s">
        <v>61</v>
      </c>
    </row>
    <row r="66" spans="1:1" x14ac:dyDescent="0.25">
      <c r="A66" t="s">
        <v>62</v>
      </c>
    </row>
    <row r="67" spans="1:1" x14ac:dyDescent="0.25">
      <c r="A67" t="s">
        <v>81</v>
      </c>
    </row>
    <row r="68" spans="1:1" x14ac:dyDescent="0.25">
      <c r="A68" t="s">
        <v>63</v>
      </c>
    </row>
    <row r="69" spans="1:1" x14ac:dyDescent="0.25">
      <c r="A69" t="s">
        <v>64</v>
      </c>
    </row>
    <row r="70" spans="1:1" x14ac:dyDescent="0.25">
      <c r="A70" t="s">
        <v>161</v>
      </c>
    </row>
    <row r="71" spans="1:1" x14ac:dyDescent="0.25">
      <c r="A71" t="s">
        <v>177</v>
      </c>
    </row>
    <row r="72" spans="1:1" x14ac:dyDescent="0.25">
      <c r="A72" t="s">
        <v>150</v>
      </c>
    </row>
    <row r="74" spans="1:1" ht="13" x14ac:dyDescent="0.3">
      <c r="A74" s="1" t="s">
        <v>85</v>
      </c>
    </row>
    <row r="75" spans="1:1" x14ac:dyDescent="0.25">
      <c r="A75" t="s">
        <v>23</v>
      </c>
    </row>
    <row r="76" spans="1:1" x14ac:dyDescent="0.25">
      <c r="A76" t="s">
        <v>24</v>
      </c>
    </row>
    <row r="77" spans="1:1" x14ac:dyDescent="0.25">
      <c r="A77" t="s">
        <v>29</v>
      </c>
    </row>
    <row r="78" spans="1:1" x14ac:dyDescent="0.25">
      <c r="A78" t="s">
        <v>137</v>
      </c>
    </row>
    <row r="79" spans="1:1" x14ac:dyDescent="0.25">
      <c r="A79" t="s">
        <v>104</v>
      </c>
    </row>
    <row r="80" spans="1:1" x14ac:dyDescent="0.25">
      <c r="A80" t="s">
        <v>155</v>
      </c>
    </row>
    <row r="81" spans="1:1" x14ac:dyDescent="0.25">
      <c r="A81" t="s">
        <v>162</v>
      </c>
    </row>
    <row r="82" spans="1:1" x14ac:dyDescent="0.25">
      <c r="A82" t="s">
        <v>30</v>
      </c>
    </row>
    <row r="84" spans="1:1" ht="13" x14ac:dyDescent="0.3">
      <c r="A84" s="1" t="s">
        <v>86</v>
      </c>
    </row>
    <row r="85" spans="1:1" x14ac:dyDescent="0.25">
      <c r="A85" t="s">
        <v>26</v>
      </c>
    </row>
    <row r="86" spans="1:1" x14ac:dyDescent="0.25">
      <c r="A86" t="s">
        <v>157</v>
      </c>
    </row>
    <row r="87" spans="1:1" x14ac:dyDescent="0.25">
      <c r="A87" t="s">
        <v>72</v>
      </c>
    </row>
    <row r="89" spans="1:1" ht="13" x14ac:dyDescent="0.3">
      <c r="A89" s="1" t="s">
        <v>75</v>
      </c>
    </row>
    <row r="90" spans="1:1" x14ac:dyDescent="0.25">
      <c r="A90" t="s">
        <v>74</v>
      </c>
    </row>
    <row r="91" spans="1:1" x14ac:dyDescent="0.25">
      <c r="A91" t="s">
        <v>83</v>
      </c>
    </row>
    <row r="93" spans="1:1" ht="13" x14ac:dyDescent="0.3">
      <c r="A93" s="1" t="s">
        <v>76</v>
      </c>
    </row>
    <row r="94" spans="1:1" x14ac:dyDescent="0.25">
      <c r="A94" t="s">
        <v>77</v>
      </c>
    </row>
    <row r="95" spans="1:1" x14ac:dyDescent="0.25">
      <c r="A95" t="s">
        <v>78</v>
      </c>
    </row>
    <row r="96" spans="1:1" x14ac:dyDescent="0.25">
      <c r="A96" t="s">
        <v>79</v>
      </c>
    </row>
    <row r="97" spans="1:5" x14ac:dyDescent="0.25">
      <c r="A97" t="s">
        <v>80</v>
      </c>
    </row>
    <row r="99" spans="1:5" ht="13" x14ac:dyDescent="0.3">
      <c r="A99" s="1" t="s">
        <v>89</v>
      </c>
    </row>
    <row r="100" spans="1:5" x14ac:dyDescent="0.25">
      <c r="A100" t="s">
        <v>90</v>
      </c>
    </row>
    <row r="101" spans="1:5" x14ac:dyDescent="0.25">
      <c r="A101" t="s">
        <v>91</v>
      </c>
    </row>
    <row r="102" spans="1:5" x14ac:dyDescent="0.25">
      <c r="A102" t="s">
        <v>92</v>
      </c>
    </row>
    <row r="103" spans="1:5" x14ac:dyDescent="0.25">
      <c r="A103" t="s">
        <v>122</v>
      </c>
    </row>
    <row r="104" spans="1:5" x14ac:dyDescent="0.25">
      <c r="A104" t="s">
        <v>93</v>
      </c>
    </row>
    <row r="106" spans="1:5" x14ac:dyDescent="0.25">
      <c r="A106" s="66"/>
      <c r="B106" s="66"/>
      <c r="C106" s="66"/>
      <c r="D106" s="66"/>
      <c r="E106" s="66"/>
    </row>
    <row r="107" spans="1:5" x14ac:dyDescent="0.25">
      <c r="A107" s="66"/>
      <c r="B107" s="66"/>
      <c r="C107" s="66"/>
      <c r="D107" s="66"/>
      <c r="E107" s="66"/>
    </row>
    <row r="108" spans="1:5" x14ac:dyDescent="0.25">
      <c r="A108" s="67"/>
      <c r="B108" s="67"/>
      <c r="C108" s="67"/>
      <c r="D108" s="67"/>
      <c r="E108" s="67"/>
    </row>
    <row r="109" spans="1:5" ht="13" x14ac:dyDescent="0.3">
      <c r="A109" s="3" t="s">
        <v>172</v>
      </c>
      <c r="B109" s="68" t="s">
        <v>71</v>
      </c>
      <c r="C109" s="68"/>
      <c r="D109" s="68"/>
      <c r="E109" s="4"/>
    </row>
    <row r="110" spans="1:5" ht="13" x14ac:dyDescent="0.3">
      <c r="A110" s="5" t="s">
        <v>95</v>
      </c>
      <c r="B110" s="12">
        <v>41587</v>
      </c>
      <c r="C110" s="6"/>
      <c r="D110" s="6"/>
      <c r="E110" s="7"/>
    </row>
    <row r="111" spans="1:5" ht="13" x14ac:dyDescent="0.3">
      <c r="A111" s="5" t="s">
        <v>102</v>
      </c>
      <c r="B111" s="13">
        <v>1.5972222222222224E-2</v>
      </c>
      <c r="C111" s="6"/>
      <c r="D111" s="6"/>
      <c r="E111" s="7"/>
    </row>
    <row r="112" spans="1:5" ht="13" x14ac:dyDescent="0.3">
      <c r="A112" s="5"/>
      <c r="B112" s="6"/>
      <c r="C112" s="6"/>
      <c r="D112" s="6"/>
      <c r="E112" s="7"/>
    </row>
    <row r="113" spans="1:6" ht="13" x14ac:dyDescent="0.3">
      <c r="A113" s="5" t="s">
        <v>84</v>
      </c>
      <c r="B113" s="6"/>
      <c r="C113" s="6"/>
      <c r="D113" s="6"/>
      <c r="E113" s="7"/>
    </row>
    <row r="114" spans="1:6" ht="13" x14ac:dyDescent="0.3">
      <c r="A114" s="8" t="s">
        <v>0</v>
      </c>
      <c r="B114" s="8" t="s">
        <v>66</v>
      </c>
      <c r="C114" s="5" t="s">
        <v>101</v>
      </c>
      <c r="D114" s="8" t="s">
        <v>67</v>
      </c>
      <c r="E114" s="7"/>
    </row>
    <row r="115" spans="1:6" x14ac:dyDescent="0.25">
      <c r="A115" s="9" t="s">
        <v>1</v>
      </c>
      <c r="B115" s="9">
        <v>2250</v>
      </c>
      <c r="C115" s="9"/>
      <c r="D115" s="17"/>
      <c r="E115" s="9"/>
      <c r="F115" s="2"/>
    </row>
    <row r="116" spans="1:6" x14ac:dyDescent="0.25">
      <c r="A116" s="9" t="s">
        <v>3</v>
      </c>
      <c r="B116" s="9">
        <v>702.33</v>
      </c>
      <c r="C116" s="9"/>
      <c r="D116" s="17"/>
      <c r="E116" s="9"/>
      <c r="F116" s="2"/>
    </row>
    <row r="117" spans="1:6" x14ac:dyDescent="0.25">
      <c r="A117" s="9" t="s">
        <v>4</v>
      </c>
      <c r="B117" s="9">
        <v>311.31</v>
      </c>
      <c r="C117" s="9"/>
      <c r="D117" s="17"/>
      <c r="E117" s="9"/>
      <c r="F117" s="2"/>
    </row>
    <row r="118" spans="1:6" x14ac:dyDescent="0.25">
      <c r="A118" s="9" t="s">
        <v>5</v>
      </c>
      <c r="B118" s="9">
        <v>0</v>
      </c>
      <c r="C118" s="9"/>
      <c r="D118" s="17"/>
      <c r="E118" s="9"/>
      <c r="F118" s="2"/>
    </row>
    <row r="119" spans="1:6" x14ac:dyDescent="0.25">
      <c r="A119" s="9" t="s">
        <v>16</v>
      </c>
      <c r="B119" s="9">
        <v>0</v>
      </c>
      <c r="C119" s="9"/>
      <c r="D119" s="9"/>
      <c r="E119" s="9"/>
      <c r="F119" s="2"/>
    </row>
    <row r="120" spans="1:6" x14ac:dyDescent="0.25">
      <c r="A120" s="9" t="s">
        <v>6</v>
      </c>
      <c r="B120" s="9">
        <v>10</v>
      </c>
      <c r="C120" s="9"/>
      <c r="D120" s="9"/>
      <c r="E120" s="9"/>
      <c r="F120" s="2"/>
    </row>
    <row r="121" spans="1:6" x14ac:dyDescent="0.25">
      <c r="A121" s="9" t="s">
        <v>7</v>
      </c>
      <c r="B121" s="9">
        <v>220</v>
      </c>
      <c r="C121" s="9"/>
      <c r="D121" s="9"/>
      <c r="E121" s="9"/>
      <c r="F121" s="2"/>
    </row>
    <row r="122" spans="1:6" x14ac:dyDescent="0.25">
      <c r="A122" s="9" t="s">
        <v>8</v>
      </c>
      <c r="B122" s="9">
        <v>402</v>
      </c>
      <c r="C122" s="9"/>
      <c r="D122" s="9"/>
      <c r="E122" s="9"/>
      <c r="F122" s="2"/>
    </row>
    <row r="123" spans="1:6" x14ac:dyDescent="0.25">
      <c r="A123" s="9" t="s">
        <v>10</v>
      </c>
      <c r="B123" s="9">
        <v>100</v>
      </c>
      <c r="C123" s="9"/>
      <c r="D123" s="9"/>
      <c r="E123" s="9"/>
      <c r="F123" s="2"/>
    </row>
    <row r="124" spans="1:6" x14ac:dyDescent="0.25">
      <c r="A124" s="9" t="s">
        <v>11</v>
      </c>
      <c r="B124" s="9">
        <v>59</v>
      </c>
      <c r="C124" s="9"/>
      <c r="D124" s="9"/>
      <c r="E124" s="9"/>
      <c r="F124" s="2"/>
    </row>
    <row r="125" spans="1:6" x14ac:dyDescent="0.25">
      <c r="A125" s="9" t="s">
        <v>12</v>
      </c>
      <c r="B125" s="9">
        <v>20</v>
      </c>
      <c r="C125" s="9"/>
      <c r="D125" s="9"/>
      <c r="E125" s="9"/>
      <c r="F125" s="2"/>
    </row>
    <row r="126" spans="1:6" x14ac:dyDescent="0.25">
      <c r="A126" s="9" t="s">
        <v>13</v>
      </c>
      <c r="B126" s="9">
        <v>-205</v>
      </c>
      <c r="C126" s="9"/>
      <c r="D126" s="9"/>
      <c r="E126" s="9"/>
      <c r="F126" s="2"/>
    </row>
    <row r="127" spans="1:6" x14ac:dyDescent="0.25">
      <c r="A127" s="9" t="s">
        <v>17</v>
      </c>
      <c r="B127" s="9">
        <v>104</v>
      </c>
      <c r="C127" s="9"/>
      <c r="D127" s="9"/>
      <c r="E127" s="9"/>
      <c r="F127" s="2"/>
    </row>
    <row r="128" spans="1:6" x14ac:dyDescent="0.25">
      <c r="A128" s="9" t="s">
        <v>22</v>
      </c>
      <c r="B128" s="9">
        <v>30</v>
      </c>
      <c r="C128" s="9"/>
      <c r="D128" s="9"/>
      <c r="E128" s="9"/>
      <c r="F128" s="2"/>
    </row>
    <row r="129" spans="1:6" x14ac:dyDescent="0.25">
      <c r="A129" s="9" t="s">
        <v>14</v>
      </c>
      <c r="B129" s="9">
        <v>860</v>
      </c>
      <c r="C129" s="9"/>
      <c r="D129" s="9"/>
      <c r="E129" s="9"/>
      <c r="F129" s="2"/>
    </row>
    <row r="130" spans="1:6" x14ac:dyDescent="0.25">
      <c r="A130" s="9" t="s">
        <v>15</v>
      </c>
      <c r="B130" s="9">
        <v>30</v>
      </c>
      <c r="C130" s="9"/>
      <c r="D130" s="17" t="s">
        <v>174</v>
      </c>
      <c r="E130" s="9"/>
      <c r="F130" s="2"/>
    </row>
    <row r="131" spans="1:6" x14ac:dyDescent="0.25">
      <c r="A131" s="9" t="s">
        <v>9</v>
      </c>
      <c r="B131" s="9">
        <v>700</v>
      </c>
      <c r="C131" s="9"/>
      <c r="D131" s="9"/>
      <c r="E131" s="9"/>
      <c r="F131" s="2"/>
    </row>
    <row r="132" spans="1:6" x14ac:dyDescent="0.25">
      <c r="A132" s="9" t="s">
        <v>28</v>
      </c>
      <c r="B132" s="9">
        <v>0</v>
      </c>
      <c r="C132" s="9"/>
      <c r="D132" s="17"/>
      <c r="E132" s="9"/>
      <c r="F132" s="2"/>
    </row>
    <row r="133" spans="1:6" x14ac:dyDescent="0.25">
      <c r="A133" s="9" t="s">
        <v>153</v>
      </c>
      <c r="B133" s="9">
        <v>60</v>
      </c>
      <c r="C133" s="9"/>
      <c r="D133" s="17"/>
      <c r="E133" s="9"/>
      <c r="F133" s="2"/>
    </row>
    <row r="134" spans="1:6" x14ac:dyDescent="0.25">
      <c r="A134" s="9" t="s">
        <v>32</v>
      </c>
      <c r="B134" s="9">
        <v>100</v>
      </c>
      <c r="C134" s="9"/>
      <c r="D134" s="9"/>
      <c r="E134" s="9"/>
      <c r="F134" s="2"/>
    </row>
    <row r="135" spans="1:6" x14ac:dyDescent="0.25">
      <c r="A135" s="9" t="s">
        <v>33</v>
      </c>
      <c r="B135" s="9">
        <v>50</v>
      </c>
      <c r="C135" s="9"/>
      <c r="D135" s="9"/>
      <c r="E135" s="9"/>
      <c r="F135" s="2"/>
    </row>
    <row r="136" spans="1:6" x14ac:dyDescent="0.25">
      <c r="A136" s="9" t="s">
        <v>34</v>
      </c>
      <c r="B136" s="9">
        <v>70</v>
      </c>
      <c r="C136" s="9"/>
      <c r="D136" s="9"/>
      <c r="E136" s="9"/>
      <c r="F136" s="2"/>
    </row>
    <row r="137" spans="1:6" x14ac:dyDescent="0.25">
      <c r="A137" s="9" t="s">
        <v>35</v>
      </c>
      <c r="B137" s="9">
        <v>40</v>
      </c>
      <c r="C137" s="9"/>
      <c r="D137" s="9"/>
      <c r="E137" s="9"/>
      <c r="F137" s="2"/>
    </row>
    <row r="138" spans="1:6" x14ac:dyDescent="0.25">
      <c r="A138" s="9" t="s">
        <v>39</v>
      </c>
      <c r="B138" s="9">
        <v>200</v>
      </c>
      <c r="C138" s="9"/>
      <c r="D138" s="9" t="s">
        <v>146</v>
      </c>
      <c r="E138" s="9"/>
      <c r="F138" s="2"/>
    </row>
    <row r="139" spans="1:6" x14ac:dyDescent="0.25">
      <c r="A139" s="9" t="s">
        <v>42</v>
      </c>
      <c r="B139" s="9">
        <v>60</v>
      </c>
      <c r="C139" s="9"/>
      <c r="D139" s="9"/>
      <c r="E139" s="9"/>
      <c r="F139" s="2"/>
    </row>
    <row r="140" spans="1:6" x14ac:dyDescent="0.25">
      <c r="A140" s="9" t="s">
        <v>49</v>
      </c>
      <c r="B140" s="9">
        <v>130</v>
      </c>
      <c r="C140" s="9"/>
      <c r="D140" s="9"/>
      <c r="E140" s="9"/>
      <c r="F140" s="2"/>
    </row>
    <row r="141" spans="1:6" x14ac:dyDescent="0.25">
      <c r="A141" s="9" t="s">
        <v>151</v>
      </c>
      <c r="B141" s="9">
        <v>0</v>
      </c>
      <c r="C141" s="9"/>
      <c r="D141" s="9"/>
      <c r="E141" s="9"/>
      <c r="F141" s="2"/>
    </row>
    <row r="142" spans="1:6" x14ac:dyDescent="0.25">
      <c r="A142" s="9" t="s">
        <v>149</v>
      </c>
      <c r="B142" s="9">
        <v>190</v>
      </c>
      <c r="C142" s="9"/>
      <c r="D142" s="9"/>
      <c r="E142" s="9"/>
      <c r="F142" s="2"/>
    </row>
    <row r="143" spans="1:6" ht="38" x14ac:dyDescent="0.3">
      <c r="A143" s="10" t="s">
        <v>70</v>
      </c>
      <c r="B143" s="7">
        <f>SUM(B115:B142)</f>
        <v>6493.6399999999994</v>
      </c>
      <c r="C143" s="7"/>
      <c r="D143" s="14" t="s">
        <v>179</v>
      </c>
      <c r="E143" s="7"/>
    </row>
    <row r="144" spans="1:6" x14ac:dyDescent="0.25">
      <c r="A144" s="7"/>
      <c r="B144" s="7"/>
      <c r="C144" s="7"/>
      <c r="D144" s="7"/>
      <c r="E144" s="7"/>
    </row>
    <row r="145" spans="1:5" ht="13" x14ac:dyDescent="0.3">
      <c r="A145" s="8" t="s">
        <v>31</v>
      </c>
      <c r="B145" s="8" t="s">
        <v>66</v>
      </c>
      <c r="C145" s="5" t="s">
        <v>101</v>
      </c>
      <c r="D145" s="8" t="s">
        <v>67</v>
      </c>
      <c r="E145" s="7"/>
    </row>
    <row r="146" spans="1:5" x14ac:dyDescent="0.25">
      <c r="A146" s="9" t="s">
        <v>19</v>
      </c>
      <c r="B146" s="9">
        <v>0</v>
      </c>
      <c r="C146" s="9"/>
      <c r="D146" s="9"/>
      <c r="E146" s="9"/>
    </row>
    <row r="147" spans="1:5" x14ac:dyDescent="0.25">
      <c r="A147" s="9" t="s">
        <v>173</v>
      </c>
      <c r="B147" s="9">
        <v>50</v>
      </c>
      <c r="C147" s="9"/>
      <c r="D147" s="9"/>
      <c r="E147" s="9"/>
    </row>
    <row r="148" spans="1:5" x14ac:dyDescent="0.25">
      <c r="A148" s="9" t="s">
        <v>175</v>
      </c>
      <c r="B148" s="9">
        <v>30</v>
      </c>
      <c r="C148" s="9"/>
      <c r="D148" s="9" t="s">
        <v>176</v>
      </c>
      <c r="E148" s="9"/>
    </row>
    <row r="149" spans="1:5" x14ac:dyDescent="0.25">
      <c r="A149" s="9"/>
      <c r="B149" s="9"/>
      <c r="C149" s="9"/>
      <c r="D149" s="9"/>
      <c r="E149" s="9"/>
    </row>
    <row r="150" spans="1:5" ht="13" x14ac:dyDescent="0.3">
      <c r="A150" s="10" t="s">
        <v>70</v>
      </c>
      <c r="B150" s="7">
        <f>SUM(B146:B149)</f>
        <v>80</v>
      </c>
      <c r="C150" s="7"/>
      <c r="D150" s="7"/>
      <c r="E150" s="7"/>
    </row>
    <row r="151" spans="1:5" x14ac:dyDescent="0.25">
      <c r="A151" s="7"/>
      <c r="B151" s="7"/>
      <c r="C151" s="7"/>
      <c r="D151" s="7"/>
      <c r="E151" s="7"/>
    </row>
    <row r="152" spans="1:5" ht="13" x14ac:dyDescent="0.3">
      <c r="A152" s="8" t="s">
        <v>82</v>
      </c>
      <c r="B152" s="8" t="s">
        <v>66</v>
      </c>
      <c r="C152" s="5" t="s">
        <v>101</v>
      </c>
      <c r="D152" s="8" t="s">
        <v>67</v>
      </c>
      <c r="E152" s="7"/>
    </row>
    <row r="153" spans="1:5" x14ac:dyDescent="0.25">
      <c r="A153" s="9" t="s">
        <v>150</v>
      </c>
      <c r="B153" s="9">
        <v>138</v>
      </c>
      <c r="C153" s="9"/>
      <c r="D153" s="17"/>
      <c r="E153" s="9"/>
    </row>
    <row r="154" spans="1:5" x14ac:dyDescent="0.25">
      <c r="A154" s="9" t="s">
        <v>160</v>
      </c>
      <c r="B154" s="9">
        <v>0</v>
      </c>
      <c r="C154" s="9"/>
      <c r="D154" s="17"/>
      <c r="E154" s="9"/>
    </row>
    <row r="155" spans="1:5" x14ac:dyDescent="0.25">
      <c r="A155" s="9" t="s">
        <v>161</v>
      </c>
      <c r="B155" s="9">
        <v>70</v>
      </c>
      <c r="C155" s="9"/>
      <c r="D155" s="17"/>
      <c r="E155" s="9"/>
    </row>
    <row r="156" spans="1:5" x14ac:dyDescent="0.25">
      <c r="A156" s="9" t="s">
        <v>52</v>
      </c>
      <c r="B156" s="9">
        <v>0</v>
      </c>
      <c r="C156" s="9"/>
      <c r="D156" s="17"/>
      <c r="E156" s="9"/>
    </row>
    <row r="157" spans="1:5" x14ac:dyDescent="0.25">
      <c r="A157" s="9" t="s">
        <v>47</v>
      </c>
      <c r="B157" s="9">
        <v>20</v>
      </c>
      <c r="C157" s="9"/>
      <c r="D157" s="17"/>
      <c r="E157" s="9"/>
    </row>
    <row r="158" spans="1:5" ht="25" x14ac:dyDescent="0.25">
      <c r="A158" s="9" t="s">
        <v>177</v>
      </c>
      <c r="B158" s="9">
        <v>1500</v>
      </c>
      <c r="C158" s="9"/>
      <c r="D158" s="17" t="s">
        <v>178</v>
      </c>
      <c r="E158" s="9"/>
    </row>
    <row r="159" spans="1:5" ht="13" x14ac:dyDescent="0.3">
      <c r="A159" s="10" t="s">
        <v>70</v>
      </c>
      <c r="B159" s="7">
        <f>SUM(B153:B158)</f>
        <v>1728</v>
      </c>
      <c r="C159" s="7"/>
      <c r="D159" s="7"/>
      <c r="E159" s="7"/>
    </row>
    <row r="160" spans="1:5" x14ac:dyDescent="0.25">
      <c r="A160" s="7"/>
      <c r="B160" s="7"/>
      <c r="C160" s="7"/>
      <c r="D160" s="7"/>
      <c r="E160" s="7"/>
    </row>
    <row r="161" spans="1:5" ht="13" x14ac:dyDescent="0.3">
      <c r="A161" s="8" t="s">
        <v>85</v>
      </c>
      <c r="B161" s="8" t="s">
        <v>66</v>
      </c>
      <c r="C161" s="5" t="s">
        <v>101</v>
      </c>
      <c r="D161" s="8" t="s">
        <v>67</v>
      </c>
      <c r="E161" s="7"/>
    </row>
    <row r="162" spans="1:5" x14ac:dyDescent="0.25">
      <c r="A162" s="9" t="s">
        <v>104</v>
      </c>
      <c r="B162" s="9">
        <v>0</v>
      </c>
      <c r="C162" s="9"/>
      <c r="D162" s="17"/>
      <c r="E162" s="9"/>
    </row>
    <row r="163" spans="1:5" x14ac:dyDescent="0.25">
      <c r="A163" s="9" t="s">
        <v>162</v>
      </c>
      <c r="B163" s="9">
        <v>0</v>
      </c>
      <c r="C163" s="9"/>
      <c r="D163" s="17" t="s">
        <v>163</v>
      </c>
      <c r="E163" s="9"/>
    </row>
    <row r="164" spans="1:5" x14ac:dyDescent="0.25">
      <c r="A164" s="9" t="s">
        <v>29</v>
      </c>
      <c r="B164" s="9">
        <v>195</v>
      </c>
      <c r="C164" s="9"/>
      <c r="D164" s="17"/>
      <c r="E164" s="9"/>
    </row>
    <row r="165" spans="1:5" x14ac:dyDescent="0.25">
      <c r="A165" s="9" t="s">
        <v>30</v>
      </c>
      <c r="B165" s="9">
        <v>125</v>
      </c>
      <c r="C165" s="9"/>
      <c r="D165" s="9"/>
      <c r="E165" s="9"/>
    </row>
    <row r="166" spans="1:5" ht="13" x14ac:dyDescent="0.3">
      <c r="A166" s="10" t="s">
        <v>70</v>
      </c>
      <c r="B166" s="7">
        <f>SUM(B162:B165)</f>
        <v>320</v>
      </c>
      <c r="C166" s="7"/>
      <c r="D166" s="7"/>
      <c r="E166" s="7"/>
    </row>
    <row r="167" spans="1:5" ht="13" x14ac:dyDescent="0.3">
      <c r="A167" s="10"/>
      <c r="B167" s="7"/>
      <c r="C167" s="7"/>
      <c r="D167" s="7"/>
      <c r="E167" s="7"/>
    </row>
    <row r="168" spans="1:5" ht="13" x14ac:dyDescent="0.3">
      <c r="A168" s="10" t="s">
        <v>87</v>
      </c>
      <c r="B168" s="7">
        <f>SUM(B143,B150,B159)-B166</f>
        <v>7981.6399999999994</v>
      </c>
      <c r="C168" s="7"/>
      <c r="D168" s="7"/>
      <c r="E168" s="7"/>
    </row>
    <row r="169" spans="1:5" ht="13" x14ac:dyDescent="0.3">
      <c r="A169" s="10"/>
      <c r="B169" s="7"/>
      <c r="C169" s="7"/>
      <c r="D169" s="7"/>
      <c r="E169" s="7"/>
    </row>
    <row r="170" spans="1:5" ht="13" x14ac:dyDescent="0.3">
      <c r="A170" s="11" t="s">
        <v>73</v>
      </c>
      <c r="B170" s="7"/>
      <c r="C170" s="7"/>
      <c r="D170" s="7"/>
      <c r="E170" s="7"/>
    </row>
    <row r="171" spans="1:5" ht="13" x14ac:dyDescent="0.3">
      <c r="A171" s="8" t="s">
        <v>75</v>
      </c>
      <c r="B171" s="8" t="s">
        <v>66</v>
      </c>
      <c r="C171" s="5" t="s">
        <v>101</v>
      </c>
      <c r="D171" s="8" t="s">
        <v>67</v>
      </c>
      <c r="E171" s="7"/>
    </row>
    <row r="172" spans="1:5" x14ac:dyDescent="0.25">
      <c r="A172" s="9" t="s">
        <v>74</v>
      </c>
      <c r="B172" s="9">
        <v>4825.17</v>
      </c>
      <c r="C172" s="9"/>
      <c r="D172" s="9"/>
      <c r="E172" s="9"/>
    </row>
    <row r="173" spans="1:5" x14ac:dyDescent="0.25">
      <c r="A173" s="9"/>
      <c r="B173" s="9"/>
      <c r="C173" s="9"/>
      <c r="D173" s="9"/>
      <c r="E173" s="9"/>
    </row>
    <row r="174" spans="1:5" ht="13" x14ac:dyDescent="0.3">
      <c r="A174" s="10" t="s">
        <v>70</v>
      </c>
      <c r="B174" s="7">
        <f>SUM(B172:B173)</f>
        <v>4825.17</v>
      </c>
      <c r="C174" s="7"/>
      <c r="D174" s="7"/>
      <c r="E174" s="7"/>
    </row>
    <row r="175" spans="1:5" ht="13" x14ac:dyDescent="0.3">
      <c r="A175" s="11"/>
      <c r="B175" s="7"/>
      <c r="C175" s="7"/>
      <c r="D175" s="7"/>
      <c r="E175" s="7"/>
    </row>
    <row r="176" spans="1:5" ht="13" x14ac:dyDescent="0.3">
      <c r="A176" s="8" t="s">
        <v>76</v>
      </c>
      <c r="B176" s="8" t="s">
        <v>66</v>
      </c>
      <c r="C176" s="5" t="s">
        <v>101</v>
      </c>
      <c r="D176" s="8" t="s">
        <v>67</v>
      </c>
      <c r="E176" s="7"/>
    </row>
    <row r="177" spans="1:5" x14ac:dyDescent="0.25">
      <c r="A177" s="9"/>
      <c r="B177" s="9"/>
      <c r="C177" s="9"/>
      <c r="D177" s="9"/>
      <c r="E177" s="9"/>
    </row>
    <row r="178" spans="1:5" x14ac:dyDescent="0.25">
      <c r="A178" s="9"/>
      <c r="B178" s="9"/>
      <c r="C178" s="9"/>
      <c r="D178" s="9"/>
      <c r="E178" s="9"/>
    </row>
    <row r="179" spans="1:5" ht="13" x14ac:dyDescent="0.3">
      <c r="A179" s="10" t="s">
        <v>70</v>
      </c>
      <c r="B179" s="7">
        <f>SUM(B177:B178)</f>
        <v>0</v>
      </c>
      <c r="C179" s="7"/>
      <c r="D179" s="7"/>
      <c r="E179" s="7"/>
    </row>
    <row r="180" spans="1:5" x14ac:dyDescent="0.25">
      <c r="A180" s="7"/>
      <c r="B180" s="7"/>
      <c r="C180" s="7"/>
      <c r="D180" s="7"/>
      <c r="E180" s="7"/>
    </row>
    <row r="181" spans="1:5" ht="13" x14ac:dyDescent="0.3">
      <c r="A181" s="8" t="s">
        <v>86</v>
      </c>
      <c r="B181" s="8" t="s">
        <v>66</v>
      </c>
      <c r="C181" s="5" t="s">
        <v>101</v>
      </c>
      <c r="D181" s="8" t="s">
        <v>67</v>
      </c>
      <c r="E181" s="7"/>
    </row>
    <row r="182" spans="1:5" x14ac:dyDescent="0.25">
      <c r="A182" s="9" t="s">
        <v>26</v>
      </c>
      <c r="B182" s="9">
        <v>831.33</v>
      </c>
      <c r="C182" s="9"/>
      <c r="D182" s="9" t="s">
        <v>167</v>
      </c>
      <c r="E182" s="9"/>
    </row>
    <row r="183" spans="1:5" x14ac:dyDescent="0.25">
      <c r="A183" s="9"/>
      <c r="B183" s="9"/>
      <c r="C183" s="9"/>
      <c r="D183" s="9"/>
      <c r="E183" s="9"/>
    </row>
    <row r="184" spans="1:5" ht="13" x14ac:dyDescent="0.3">
      <c r="A184" s="10" t="s">
        <v>70</v>
      </c>
      <c r="B184" s="7">
        <f>SUM(B182:B183)</f>
        <v>831.33</v>
      </c>
      <c r="C184" s="7"/>
      <c r="D184" s="7"/>
      <c r="E184" s="7"/>
    </row>
    <row r="185" spans="1:5" x14ac:dyDescent="0.25">
      <c r="A185" s="7"/>
      <c r="B185" s="7"/>
      <c r="C185" s="7"/>
      <c r="D185" s="7"/>
      <c r="E185" s="7"/>
    </row>
    <row r="186" spans="1:5" ht="13" x14ac:dyDescent="0.3">
      <c r="A186" s="10" t="s">
        <v>88</v>
      </c>
      <c r="B186" s="7">
        <f>SUM(B174,B179)-B184</f>
        <v>3993.84</v>
      </c>
      <c r="C186" s="7"/>
      <c r="D186" s="7"/>
      <c r="E186" s="7"/>
    </row>
    <row r="187" spans="1:5" x14ac:dyDescent="0.25">
      <c r="A187" s="7"/>
      <c r="B187" s="7"/>
      <c r="C187" s="7"/>
      <c r="D187" s="7"/>
      <c r="E187" s="7"/>
    </row>
    <row r="188" spans="1:5" ht="13" x14ac:dyDescent="0.3">
      <c r="A188" s="5" t="s">
        <v>89</v>
      </c>
      <c r="B188" s="7"/>
      <c r="C188" s="7"/>
      <c r="D188" s="7"/>
      <c r="E188" s="7"/>
    </row>
    <row r="189" spans="1:5" ht="13" x14ac:dyDescent="0.3">
      <c r="A189" s="8" t="s">
        <v>94</v>
      </c>
      <c r="B189" s="8" t="s">
        <v>66</v>
      </c>
      <c r="C189" s="5" t="s">
        <v>101</v>
      </c>
      <c r="D189" s="8" t="s">
        <v>67</v>
      </c>
      <c r="E189" s="7"/>
    </row>
    <row r="190" spans="1:5" x14ac:dyDescent="0.25">
      <c r="A190" s="9" t="s">
        <v>90</v>
      </c>
      <c r="B190" s="15">
        <v>14857.43</v>
      </c>
      <c r="C190" s="9"/>
      <c r="D190" s="9"/>
      <c r="E190" s="9"/>
    </row>
    <row r="191" spans="1:5" x14ac:dyDescent="0.25">
      <c r="A191" s="9" t="s">
        <v>91</v>
      </c>
      <c r="B191" s="9">
        <v>2871.09</v>
      </c>
      <c r="C191" s="9"/>
      <c r="D191" s="9"/>
      <c r="E191" s="9"/>
    </row>
    <row r="192" spans="1:5" x14ac:dyDescent="0.25">
      <c r="A192" s="9" t="s">
        <v>92</v>
      </c>
      <c r="B192" s="9">
        <v>40000</v>
      </c>
      <c r="C192" s="9"/>
      <c r="D192" s="9"/>
      <c r="E192" s="9"/>
    </row>
    <row r="193" spans="1:5" x14ac:dyDescent="0.25">
      <c r="A193" s="9" t="s">
        <v>93</v>
      </c>
      <c r="B193" s="9">
        <v>27000</v>
      </c>
      <c r="C193" s="9"/>
      <c r="D193" s="9"/>
      <c r="E193" s="9"/>
    </row>
    <row r="194" spans="1:5" x14ac:dyDescent="0.25">
      <c r="A194" s="9" t="s">
        <v>122</v>
      </c>
      <c r="B194" s="9">
        <v>251</v>
      </c>
      <c r="C194" s="9"/>
      <c r="D194" s="9" t="s">
        <v>168</v>
      </c>
      <c r="E194" s="9"/>
    </row>
    <row r="195" spans="1:5" ht="13" x14ac:dyDescent="0.3">
      <c r="A195" s="10" t="s">
        <v>70</v>
      </c>
      <c r="B195" s="7">
        <f>SUM(B190:B194)</f>
        <v>84979.520000000004</v>
      </c>
      <c r="C195" s="7"/>
      <c r="D195" s="7"/>
      <c r="E195" s="7"/>
    </row>
    <row r="196" spans="1:5" x14ac:dyDescent="0.25">
      <c r="A196" s="7"/>
      <c r="B196" s="7"/>
      <c r="C196" s="7"/>
      <c r="D196" s="7"/>
      <c r="E196" s="7"/>
    </row>
    <row r="197" spans="1:5" ht="13" x14ac:dyDescent="0.3">
      <c r="A197" s="5" t="s">
        <v>133</v>
      </c>
      <c r="B197" s="7">
        <f xml:space="preserve"> B186-B168</f>
        <v>-3987.7999999999993</v>
      </c>
      <c r="C197" s="7"/>
      <c r="D197" s="7"/>
      <c r="E197" s="7"/>
    </row>
    <row r="198" spans="1:5" ht="13" x14ac:dyDescent="0.3">
      <c r="A198" s="5" t="s">
        <v>129</v>
      </c>
      <c r="B198" s="7">
        <f>SUM(B195,B197)</f>
        <v>80991.72</v>
      </c>
      <c r="C198" s="7"/>
      <c r="D198" s="7"/>
      <c r="E198" s="7"/>
    </row>
    <row r="199" spans="1:5" ht="227" x14ac:dyDescent="0.3">
      <c r="A199" s="5" t="s">
        <v>134</v>
      </c>
      <c r="B199" s="7">
        <f>B198-B269</f>
        <v>-908.2100000000064</v>
      </c>
      <c r="C199" s="7"/>
      <c r="D199" s="14" t="s">
        <v>180</v>
      </c>
      <c r="E199" s="7"/>
    </row>
    <row r="200" spans="1:5" x14ac:dyDescent="0.25">
      <c r="A200" s="69"/>
      <c r="B200" s="69"/>
      <c r="C200" s="69"/>
      <c r="D200" s="69"/>
      <c r="E200" s="69"/>
    </row>
    <row r="201" spans="1:5" x14ac:dyDescent="0.25">
      <c r="A201" s="69"/>
      <c r="B201" s="69"/>
      <c r="C201" s="69"/>
      <c r="D201" s="69"/>
      <c r="E201" s="69"/>
    </row>
    <row r="202" spans="1:5" x14ac:dyDescent="0.25">
      <c r="A202" s="69"/>
      <c r="B202" s="69"/>
      <c r="C202" s="69"/>
      <c r="D202" s="69"/>
      <c r="E202" s="69"/>
    </row>
    <row r="203" spans="1:5" ht="13" x14ac:dyDescent="0.3">
      <c r="A203" s="3" t="s">
        <v>166</v>
      </c>
      <c r="B203" s="68" t="s">
        <v>71</v>
      </c>
      <c r="C203" s="68"/>
      <c r="D203" s="68"/>
      <c r="E203" s="4"/>
    </row>
    <row r="204" spans="1:5" ht="13" x14ac:dyDescent="0.3">
      <c r="A204" s="5" t="s">
        <v>95</v>
      </c>
      <c r="B204" s="12">
        <v>41587</v>
      </c>
      <c r="C204" s="6"/>
      <c r="D204" s="6"/>
      <c r="E204" s="7"/>
    </row>
    <row r="205" spans="1:5" ht="13" x14ac:dyDescent="0.3">
      <c r="A205" s="5" t="s">
        <v>102</v>
      </c>
      <c r="B205" s="13">
        <v>1.5972222222222224E-2</v>
      </c>
      <c r="C205" s="6"/>
      <c r="D205" s="6"/>
      <c r="E205" s="7"/>
    </row>
    <row r="206" spans="1:5" ht="13" x14ac:dyDescent="0.3">
      <c r="A206" s="5"/>
      <c r="B206" s="6"/>
      <c r="C206" s="6"/>
      <c r="D206" s="6"/>
      <c r="E206" s="7"/>
    </row>
    <row r="207" spans="1:5" ht="13" x14ac:dyDescent="0.3">
      <c r="A207" s="5" t="s">
        <v>84</v>
      </c>
      <c r="B207" s="6"/>
      <c r="C207" s="6"/>
      <c r="D207" s="6"/>
      <c r="E207" s="7"/>
    </row>
    <row r="208" spans="1:5" ht="13" x14ac:dyDescent="0.3">
      <c r="A208" s="8" t="s">
        <v>0</v>
      </c>
      <c r="B208" s="8" t="s">
        <v>66</v>
      </c>
      <c r="C208" s="8" t="s">
        <v>67</v>
      </c>
      <c r="D208" s="7"/>
      <c r="E208" s="7"/>
    </row>
    <row r="209" spans="1:5" x14ac:dyDescent="0.25">
      <c r="A209" s="9" t="s">
        <v>1</v>
      </c>
      <c r="B209" s="9">
        <v>1800</v>
      </c>
      <c r="C209" s="9" t="s">
        <v>103</v>
      </c>
      <c r="D209" s="9"/>
      <c r="E209" s="9"/>
    </row>
    <row r="210" spans="1:5" x14ac:dyDescent="0.25">
      <c r="A210" s="9" t="s">
        <v>3</v>
      </c>
      <c r="B210" s="9">
        <v>702.33</v>
      </c>
      <c r="C210" s="9" t="s">
        <v>103</v>
      </c>
      <c r="D210" s="9"/>
      <c r="E210" s="9"/>
    </row>
    <row r="211" spans="1:5" x14ac:dyDescent="0.25">
      <c r="A211" s="9" t="s">
        <v>2</v>
      </c>
      <c r="B211" s="9">
        <v>0</v>
      </c>
      <c r="C211" s="9" t="s">
        <v>103</v>
      </c>
      <c r="D211" s="9"/>
      <c r="E211" s="9"/>
    </row>
    <row r="212" spans="1:5" x14ac:dyDescent="0.25">
      <c r="A212" s="9" t="s">
        <v>5</v>
      </c>
      <c r="B212" s="9">
        <v>0</v>
      </c>
      <c r="C212" s="9" t="s">
        <v>103</v>
      </c>
      <c r="D212" s="9"/>
      <c r="E212" s="9"/>
    </row>
    <row r="213" spans="1:5" x14ac:dyDescent="0.25">
      <c r="A213" s="9" t="s">
        <v>4</v>
      </c>
      <c r="B213" s="9">
        <v>311.31</v>
      </c>
      <c r="C213" s="9" t="s">
        <v>103</v>
      </c>
      <c r="D213" s="9"/>
      <c r="E213" s="9"/>
    </row>
    <row r="214" spans="1:5" x14ac:dyDescent="0.25">
      <c r="A214" s="9" t="s">
        <v>14</v>
      </c>
      <c r="B214" s="9">
        <v>0</v>
      </c>
      <c r="C214" s="9" t="s">
        <v>103</v>
      </c>
      <c r="D214" s="9"/>
      <c r="E214" s="9"/>
    </row>
    <row r="215" spans="1:5" x14ac:dyDescent="0.25">
      <c r="A215" s="9" t="s">
        <v>42</v>
      </c>
      <c r="B215" s="9">
        <v>30</v>
      </c>
      <c r="C215" s="9"/>
      <c r="D215" s="9"/>
      <c r="E215" s="9"/>
    </row>
    <row r="216" spans="1:5" x14ac:dyDescent="0.25">
      <c r="A216" s="9" t="s">
        <v>149</v>
      </c>
      <c r="B216" s="9">
        <v>0</v>
      </c>
      <c r="C216" s="9"/>
      <c r="D216" s="9"/>
      <c r="E216" s="9"/>
    </row>
    <row r="217" spans="1:5" x14ac:dyDescent="0.25">
      <c r="A217" s="9" t="s">
        <v>39</v>
      </c>
      <c r="B217" s="9">
        <v>50</v>
      </c>
      <c r="C217" s="9"/>
      <c r="D217" s="9"/>
      <c r="E217" s="9"/>
    </row>
    <row r="218" spans="1:5" ht="13" x14ac:dyDescent="0.3">
      <c r="A218" s="10" t="s">
        <v>70</v>
      </c>
      <c r="B218" s="7">
        <f>SUM(B209:B217)</f>
        <v>2893.64</v>
      </c>
      <c r="C218" s="7"/>
      <c r="D218" s="7"/>
      <c r="E218" s="7"/>
    </row>
    <row r="219" spans="1:5" x14ac:dyDescent="0.25">
      <c r="A219" s="7"/>
      <c r="B219" s="7"/>
      <c r="C219" s="7"/>
      <c r="D219" s="7"/>
      <c r="E219" s="7"/>
    </row>
    <row r="220" spans="1:5" ht="13" x14ac:dyDescent="0.3">
      <c r="A220" s="8" t="s">
        <v>31</v>
      </c>
      <c r="B220" s="8" t="s">
        <v>66</v>
      </c>
      <c r="C220" s="8" t="s">
        <v>67</v>
      </c>
      <c r="D220" s="7"/>
      <c r="E220" s="7"/>
    </row>
    <row r="221" spans="1:5" x14ac:dyDescent="0.25">
      <c r="A221" s="9"/>
      <c r="B221" s="9"/>
      <c r="C221" s="9"/>
      <c r="D221" s="9"/>
      <c r="E221" s="9"/>
    </row>
    <row r="222" spans="1:5" x14ac:dyDescent="0.25">
      <c r="A222" s="9"/>
      <c r="B222" s="9"/>
      <c r="C222" s="9"/>
      <c r="D222" s="9"/>
      <c r="E222" s="9"/>
    </row>
    <row r="223" spans="1:5" ht="13" x14ac:dyDescent="0.3">
      <c r="A223" s="10" t="s">
        <v>70</v>
      </c>
      <c r="B223" s="7">
        <f>SUM(B221:B222)</f>
        <v>0</v>
      </c>
      <c r="C223" s="7"/>
      <c r="D223" s="7"/>
      <c r="E223" s="7"/>
    </row>
    <row r="224" spans="1:5" x14ac:dyDescent="0.25">
      <c r="A224" s="7"/>
      <c r="B224" s="7"/>
      <c r="C224" s="7"/>
      <c r="D224" s="7"/>
      <c r="E224" s="7"/>
    </row>
    <row r="225" spans="1:5" ht="13" x14ac:dyDescent="0.3">
      <c r="A225" s="8" t="s">
        <v>82</v>
      </c>
      <c r="B225" s="8" t="s">
        <v>66</v>
      </c>
      <c r="C225" s="8" t="s">
        <v>67</v>
      </c>
      <c r="D225" s="7"/>
      <c r="E225" s="7"/>
    </row>
    <row r="226" spans="1:5" x14ac:dyDescent="0.25">
      <c r="A226" s="9" t="s">
        <v>150</v>
      </c>
      <c r="B226" s="9">
        <v>138</v>
      </c>
      <c r="C226" s="9"/>
      <c r="D226" s="9"/>
      <c r="E226" s="9"/>
    </row>
    <row r="227" spans="1:5" x14ac:dyDescent="0.25">
      <c r="A227" s="9"/>
      <c r="B227" s="9"/>
      <c r="C227" s="9"/>
      <c r="D227" s="9"/>
      <c r="E227" s="9"/>
    </row>
    <row r="228" spans="1:5" ht="13" x14ac:dyDescent="0.3">
      <c r="A228" s="10" t="s">
        <v>70</v>
      </c>
      <c r="B228" s="7">
        <f>SUM(B226:B227)</f>
        <v>138</v>
      </c>
      <c r="C228" s="7"/>
      <c r="D228" s="7"/>
      <c r="E228" s="7"/>
    </row>
    <row r="229" spans="1:5" x14ac:dyDescent="0.25">
      <c r="A229" s="7"/>
      <c r="B229" s="7"/>
      <c r="C229" s="7"/>
      <c r="D229" s="7"/>
      <c r="E229" s="7"/>
    </row>
    <row r="230" spans="1:5" ht="13" x14ac:dyDescent="0.3">
      <c r="A230" s="8" t="s">
        <v>85</v>
      </c>
      <c r="B230" s="8" t="s">
        <v>66</v>
      </c>
      <c r="C230" s="8" t="s">
        <v>67</v>
      </c>
      <c r="D230" s="7"/>
      <c r="E230" s="7"/>
    </row>
    <row r="231" spans="1:5" x14ac:dyDescent="0.25">
      <c r="A231" s="9" t="s">
        <v>155</v>
      </c>
      <c r="B231" s="9">
        <v>0</v>
      </c>
      <c r="C231" s="9"/>
      <c r="D231" s="9"/>
      <c r="E231" s="9"/>
    </row>
    <row r="232" spans="1:5" x14ac:dyDescent="0.25">
      <c r="A232" s="9" t="s">
        <v>104</v>
      </c>
      <c r="B232" s="9">
        <v>0</v>
      </c>
      <c r="C232" s="9"/>
      <c r="D232" s="9"/>
      <c r="E232" s="9"/>
    </row>
    <row r="233" spans="1:5" x14ac:dyDescent="0.25">
      <c r="A233" s="9" t="s">
        <v>137</v>
      </c>
      <c r="B233" s="9">
        <v>283.38</v>
      </c>
      <c r="C233" s="9"/>
      <c r="D233" s="9"/>
      <c r="E233" s="9"/>
    </row>
    <row r="234" spans="1:5" x14ac:dyDescent="0.25">
      <c r="A234" s="9" t="s">
        <v>29</v>
      </c>
      <c r="B234" s="9">
        <v>325</v>
      </c>
      <c r="C234" s="9"/>
      <c r="D234" s="9"/>
      <c r="E234" s="9"/>
    </row>
    <row r="235" spans="1:5" x14ac:dyDescent="0.25">
      <c r="A235" s="9" t="s">
        <v>30</v>
      </c>
      <c r="B235" s="9">
        <v>175</v>
      </c>
      <c r="C235" s="9"/>
      <c r="D235" s="9"/>
      <c r="E235" s="9"/>
    </row>
    <row r="236" spans="1:5" ht="13" x14ac:dyDescent="0.3">
      <c r="A236" s="10" t="s">
        <v>70</v>
      </c>
      <c r="B236" s="7">
        <f>SUM(B231:B235)</f>
        <v>783.38</v>
      </c>
      <c r="C236" s="7"/>
      <c r="D236" s="7"/>
      <c r="E236" s="7"/>
    </row>
    <row r="237" spans="1:5" ht="13" x14ac:dyDescent="0.3">
      <c r="A237" s="10"/>
      <c r="B237" s="7"/>
      <c r="C237" s="7"/>
      <c r="D237" s="7"/>
      <c r="E237" s="7"/>
    </row>
    <row r="238" spans="1:5" ht="13" x14ac:dyDescent="0.3">
      <c r="A238" s="10" t="s">
        <v>87</v>
      </c>
      <c r="B238" s="7">
        <f>SUM(B218,B223,B228) - B236</f>
        <v>2248.2599999999998</v>
      </c>
      <c r="C238" s="7"/>
      <c r="D238" s="7"/>
      <c r="E238" s="7"/>
    </row>
    <row r="239" spans="1:5" ht="13" x14ac:dyDescent="0.3">
      <c r="A239" s="10"/>
      <c r="B239" s="7"/>
      <c r="C239" s="7"/>
      <c r="D239" s="7"/>
      <c r="E239" s="7"/>
    </row>
    <row r="240" spans="1:5" ht="13" x14ac:dyDescent="0.3">
      <c r="A240" s="11" t="s">
        <v>73</v>
      </c>
      <c r="B240" s="7"/>
      <c r="C240" s="7"/>
      <c r="D240" s="7"/>
      <c r="E240" s="7"/>
    </row>
    <row r="241" spans="1:5" ht="13" x14ac:dyDescent="0.3">
      <c r="A241" s="8" t="s">
        <v>75</v>
      </c>
      <c r="B241" s="8" t="s">
        <v>66</v>
      </c>
      <c r="C241" s="8" t="s">
        <v>67</v>
      </c>
      <c r="D241" s="7"/>
      <c r="E241" s="7"/>
    </row>
    <row r="242" spans="1:5" x14ac:dyDescent="0.25">
      <c r="A242" s="9"/>
      <c r="B242" s="9"/>
      <c r="C242" s="9"/>
      <c r="D242" s="9"/>
      <c r="E242" s="9"/>
    </row>
    <row r="243" spans="1:5" x14ac:dyDescent="0.25">
      <c r="A243" s="9"/>
      <c r="B243" s="9"/>
      <c r="C243" s="9"/>
      <c r="D243" s="9"/>
      <c r="E243" s="9"/>
    </row>
    <row r="244" spans="1:5" ht="13" x14ac:dyDescent="0.3">
      <c r="A244" s="10" t="s">
        <v>70</v>
      </c>
      <c r="B244" s="7">
        <f>SUM(B242:B243)</f>
        <v>0</v>
      </c>
      <c r="C244" s="7"/>
      <c r="D244" s="7"/>
      <c r="E244" s="7"/>
    </row>
    <row r="245" spans="1:5" ht="13" x14ac:dyDescent="0.3">
      <c r="A245" s="11"/>
      <c r="B245" s="7"/>
      <c r="C245" s="7"/>
      <c r="D245" s="7"/>
      <c r="E245" s="7"/>
    </row>
    <row r="246" spans="1:5" ht="13" x14ac:dyDescent="0.3">
      <c r="A246" s="8" t="s">
        <v>76</v>
      </c>
      <c r="B246" s="8" t="s">
        <v>66</v>
      </c>
      <c r="C246" s="8" t="s">
        <v>67</v>
      </c>
      <c r="D246" s="7"/>
      <c r="E246" s="7"/>
    </row>
    <row r="247" spans="1:5" x14ac:dyDescent="0.25">
      <c r="A247" s="9"/>
      <c r="B247" s="9"/>
      <c r="C247" s="9"/>
      <c r="D247" s="9"/>
      <c r="E247" s="9"/>
    </row>
    <row r="248" spans="1:5" x14ac:dyDescent="0.25">
      <c r="A248" s="9"/>
      <c r="B248" s="9"/>
      <c r="C248" s="9"/>
      <c r="D248" s="9"/>
      <c r="E248" s="9"/>
    </row>
    <row r="249" spans="1:5" ht="13" x14ac:dyDescent="0.3">
      <c r="A249" s="10" t="s">
        <v>70</v>
      </c>
      <c r="B249" s="7">
        <f>SUM(B247:B248)</f>
        <v>0</v>
      </c>
      <c r="C249" s="7"/>
      <c r="D249" s="7"/>
      <c r="E249" s="7"/>
    </row>
    <row r="250" spans="1:5" x14ac:dyDescent="0.25">
      <c r="A250" s="7"/>
      <c r="B250" s="7"/>
      <c r="C250" s="7"/>
      <c r="D250" s="7"/>
      <c r="E250" s="7"/>
    </row>
    <row r="251" spans="1:5" ht="13" x14ac:dyDescent="0.3">
      <c r="A251" s="8" t="s">
        <v>86</v>
      </c>
      <c r="B251" s="8" t="s">
        <v>66</v>
      </c>
      <c r="C251" s="8" t="s">
        <v>67</v>
      </c>
      <c r="D251" s="7"/>
      <c r="E251" s="7"/>
    </row>
    <row r="252" spans="1:5" x14ac:dyDescent="0.25">
      <c r="A252" s="9" t="s">
        <v>26</v>
      </c>
      <c r="B252" s="9">
        <v>831.33</v>
      </c>
      <c r="C252" s="17" t="s">
        <v>167</v>
      </c>
      <c r="D252" s="9"/>
      <c r="E252" s="9"/>
    </row>
    <row r="253" spans="1:5" x14ac:dyDescent="0.25">
      <c r="A253" s="9" t="s">
        <v>157</v>
      </c>
      <c r="B253" s="9">
        <v>0</v>
      </c>
      <c r="C253" s="9"/>
      <c r="D253" s="9"/>
      <c r="E253" s="9"/>
    </row>
    <row r="254" spans="1:5" x14ac:dyDescent="0.25">
      <c r="A254" s="9"/>
      <c r="B254" s="9"/>
      <c r="C254" s="9"/>
      <c r="D254" s="9"/>
      <c r="E254" s="9"/>
    </row>
    <row r="255" spans="1:5" ht="13" x14ac:dyDescent="0.3">
      <c r="A255" s="10" t="s">
        <v>70</v>
      </c>
      <c r="B255" s="7">
        <f>SUM(B252:B254)</f>
        <v>831.33</v>
      </c>
      <c r="C255" s="7"/>
      <c r="D255" s="7"/>
      <c r="E255" s="7"/>
    </row>
    <row r="256" spans="1:5" x14ac:dyDescent="0.25">
      <c r="A256" s="7"/>
      <c r="B256" s="7"/>
      <c r="C256" s="7"/>
      <c r="D256" s="7"/>
      <c r="E256" s="7"/>
    </row>
    <row r="257" spans="1:5" ht="13" x14ac:dyDescent="0.3">
      <c r="A257" s="10" t="s">
        <v>88</v>
      </c>
      <c r="B257" s="7">
        <f>SUM(B244,B249) - B255</f>
        <v>-831.33</v>
      </c>
      <c r="C257" s="7"/>
      <c r="D257" s="7"/>
      <c r="E257" s="7"/>
    </row>
    <row r="258" spans="1:5" x14ac:dyDescent="0.25">
      <c r="A258" s="7"/>
      <c r="B258" s="7"/>
      <c r="C258" s="7"/>
      <c r="D258" s="7"/>
      <c r="E258" s="7"/>
    </row>
    <row r="259" spans="1:5" ht="13" x14ac:dyDescent="0.3">
      <c r="A259" s="5" t="s">
        <v>89</v>
      </c>
      <c r="B259" s="7"/>
      <c r="C259" s="7"/>
      <c r="D259" s="7"/>
      <c r="E259" s="7"/>
    </row>
    <row r="260" spans="1:5" ht="13" x14ac:dyDescent="0.3">
      <c r="A260" s="8" t="s">
        <v>94</v>
      </c>
      <c r="B260" s="8" t="s">
        <v>66</v>
      </c>
      <c r="C260" s="8" t="s">
        <v>67</v>
      </c>
      <c r="D260" s="7"/>
      <c r="E260" s="7"/>
    </row>
    <row r="261" spans="1:5" x14ac:dyDescent="0.25">
      <c r="A261" s="9" t="s">
        <v>90</v>
      </c>
      <c r="B261" s="15">
        <v>14857.43</v>
      </c>
      <c r="C261" s="9"/>
      <c r="D261" s="9"/>
      <c r="E261" s="9"/>
    </row>
    <row r="262" spans="1:5" x14ac:dyDescent="0.25">
      <c r="A262" s="9" t="s">
        <v>91</v>
      </c>
      <c r="B262" s="9">
        <v>2871.09</v>
      </c>
      <c r="C262" s="9"/>
      <c r="D262" s="9"/>
      <c r="E262" s="9"/>
    </row>
    <row r="263" spans="1:5" x14ac:dyDescent="0.25">
      <c r="A263" s="9" t="s">
        <v>92</v>
      </c>
      <c r="B263" s="9">
        <v>40000</v>
      </c>
      <c r="C263" s="9"/>
      <c r="D263" s="9"/>
      <c r="E263" s="9"/>
    </row>
    <row r="264" spans="1:5" x14ac:dyDescent="0.25">
      <c r="A264" s="9" t="s">
        <v>93</v>
      </c>
      <c r="B264" s="9">
        <v>27000</v>
      </c>
      <c r="C264" s="9"/>
      <c r="D264" s="9"/>
      <c r="E264" s="9"/>
    </row>
    <row r="265" spans="1:5" x14ac:dyDescent="0.25">
      <c r="A265" s="9" t="s">
        <v>122</v>
      </c>
      <c r="B265" s="9">
        <v>251</v>
      </c>
      <c r="C265" s="9" t="s">
        <v>168</v>
      </c>
      <c r="D265" s="9"/>
      <c r="E265" s="9"/>
    </row>
    <row r="266" spans="1:5" ht="13" x14ac:dyDescent="0.3">
      <c r="A266" s="10" t="s">
        <v>70</v>
      </c>
      <c r="B266" s="7">
        <f>SUM(B261:B265)</f>
        <v>84979.520000000004</v>
      </c>
      <c r="C266" s="7"/>
      <c r="D266" s="7"/>
      <c r="E266" s="7"/>
    </row>
    <row r="267" spans="1:5" x14ac:dyDescent="0.25">
      <c r="A267" s="7"/>
      <c r="B267" s="7"/>
      <c r="C267" s="7"/>
      <c r="D267" s="7"/>
      <c r="E267" s="7"/>
    </row>
    <row r="268" spans="1:5" ht="13" x14ac:dyDescent="0.3">
      <c r="A268" s="5" t="s">
        <v>99</v>
      </c>
      <c r="B268" s="7">
        <f xml:space="preserve"> B257-B238</f>
        <v>-3079.5899999999997</v>
      </c>
      <c r="C268" s="7"/>
      <c r="D268" s="7"/>
      <c r="E268" s="7"/>
    </row>
    <row r="269" spans="1:5" ht="13" x14ac:dyDescent="0.3">
      <c r="A269" s="5" t="s">
        <v>100</v>
      </c>
      <c r="B269" s="7">
        <f>SUM(B266,B268)</f>
        <v>81899.930000000008</v>
      </c>
      <c r="C269" s="7"/>
      <c r="D269" s="7"/>
      <c r="E269" s="7"/>
    </row>
    <row r="270" spans="1:5" ht="13" x14ac:dyDescent="0.3">
      <c r="A270" s="5" t="s">
        <v>108</v>
      </c>
      <c r="B270" s="7">
        <v>80673.039999999994</v>
      </c>
      <c r="C270" s="7" t="s">
        <v>170</v>
      </c>
      <c r="D270" s="7"/>
      <c r="E270" s="7"/>
    </row>
    <row r="271" spans="1:5" ht="13" x14ac:dyDescent="0.3">
      <c r="A271" s="5" t="s">
        <v>110</v>
      </c>
      <c r="B271" s="7">
        <f xml:space="preserve"> B269 - B270</f>
        <v>1226.890000000014</v>
      </c>
      <c r="C271" s="14" t="s">
        <v>171</v>
      </c>
      <c r="D271" s="7"/>
      <c r="E271" s="7"/>
    </row>
  </sheetData>
  <mergeCells count="4">
    <mergeCell ref="A106:E108"/>
    <mergeCell ref="B109:D109"/>
    <mergeCell ref="A200:E202"/>
    <mergeCell ref="B203:D203"/>
  </mergeCells>
  <phoneticPr fontId="2" type="noConversion"/>
  <dataValidations count="10">
    <dataValidation type="list" allowBlank="1" showInputMessage="1" showErrorMessage="1" sqref="A261:A265 A190:A194" xr:uid="{00000000-0002-0000-0600-000000000000}">
      <formula1>$A$100:$A$104</formula1>
    </dataValidation>
    <dataValidation type="list" allowBlank="1" showInputMessage="1" showErrorMessage="1" sqref="A247:A248 A177:A178" xr:uid="{00000000-0002-0000-0600-000001000000}">
      <formula1>$A$94:$A$97</formula1>
    </dataValidation>
    <dataValidation type="list" allowBlank="1" showInputMessage="1" showErrorMessage="1" sqref="A242:A243 A172:A173" xr:uid="{00000000-0002-0000-0600-000002000000}">
      <formula1>$A$90:$A$91</formula1>
    </dataValidation>
    <dataValidation type="list" allowBlank="1" showInputMessage="1" showErrorMessage="1" sqref="A231:A235 A162:A165" xr:uid="{00000000-0002-0000-0600-000003000000}">
      <formula1>$A$75:$A$82</formula1>
    </dataValidation>
    <dataValidation type="list" allowBlank="1" showInputMessage="1" showErrorMessage="1" sqref="A226:A227 A153:A158" xr:uid="{00000000-0002-0000-0600-000004000000}">
      <formula1>$A$45:$A$72</formula1>
    </dataValidation>
    <dataValidation type="list" allowBlank="1" showInputMessage="1" showErrorMessage="1" sqref="A221:A222 A146:A149" xr:uid="{00000000-0002-0000-0600-000005000000}">
      <formula1>$A$34:$A$42</formula1>
    </dataValidation>
    <dataValidation type="list" allowBlank="1" showInputMessage="1" showErrorMessage="1" sqref="A252:A254 A182:A183" xr:uid="{00000000-0002-0000-0600-000006000000}">
      <formula1>$A$85:$A$87</formula1>
    </dataValidation>
    <dataValidation type="time" operator="greaterThan" allowBlank="1" showInputMessage="1" showErrorMessage="1" sqref="B205 B111" xr:uid="{00000000-0002-0000-0600-000007000000}">
      <formula1>0</formula1>
    </dataValidation>
    <dataValidation type="date" operator="greaterThan" allowBlank="1" showInputMessage="1" showErrorMessage="1" sqref="B204 B110" xr:uid="{00000000-0002-0000-0600-000008000000}">
      <formula1>41275</formula1>
    </dataValidation>
    <dataValidation type="list" allowBlank="1" showInputMessage="1" showErrorMessage="1" sqref="A115:A142 A209:A217" xr:uid="{00000000-0002-0000-0600-000009000000}">
      <formula1>$A$3:$A$31</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72"/>
  <sheetViews>
    <sheetView topLeftCell="A234" workbookViewId="0">
      <selection activeCell="C265" sqref="C265"/>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t="s">
        <v>53</v>
      </c>
    </row>
    <row r="59" spans="1:1" x14ac:dyDescent="0.25">
      <c r="A59" t="s">
        <v>54</v>
      </c>
    </row>
    <row r="60" spans="1:1" x14ac:dyDescent="0.25">
      <c r="A60" t="s">
        <v>55</v>
      </c>
    </row>
    <row r="61" spans="1:1" x14ac:dyDescent="0.25">
      <c r="A61" t="s">
        <v>56</v>
      </c>
    </row>
    <row r="62" spans="1:1" x14ac:dyDescent="0.25">
      <c r="A62"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81</v>
      </c>
    </row>
    <row r="69" spans="1:1" x14ac:dyDescent="0.25">
      <c r="A69" t="s">
        <v>63</v>
      </c>
    </row>
    <row r="70" spans="1:1" x14ac:dyDescent="0.25">
      <c r="A70" t="s">
        <v>64</v>
      </c>
    </row>
    <row r="71" spans="1:1" x14ac:dyDescent="0.25">
      <c r="A71" t="s">
        <v>161</v>
      </c>
    </row>
    <row r="72" spans="1:1" x14ac:dyDescent="0.25">
      <c r="A72" t="s">
        <v>177</v>
      </c>
    </row>
    <row r="73" spans="1:1" x14ac:dyDescent="0.25">
      <c r="A73" t="s">
        <v>150</v>
      </c>
    </row>
    <row r="75" spans="1:1" ht="13" x14ac:dyDescent="0.3">
      <c r="A75" s="1" t="s">
        <v>85</v>
      </c>
    </row>
    <row r="76" spans="1:1" x14ac:dyDescent="0.25">
      <c r="A76" t="s">
        <v>23</v>
      </c>
    </row>
    <row r="77" spans="1:1" x14ac:dyDescent="0.25">
      <c r="A77" t="s">
        <v>24</v>
      </c>
    </row>
    <row r="78" spans="1:1" x14ac:dyDescent="0.25">
      <c r="A78" t="s">
        <v>29</v>
      </c>
    </row>
    <row r="79" spans="1:1" x14ac:dyDescent="0.25">
      <c r="A79" t="s">
        <v>137</v>
      </c>
    </row>
    <row r="80" spans="1:1" x14ac:dyDescent="0.25">
      <c r="A80" t="s">
        <v>104</v>
      </c>
    </row>
    <row r="81" spans="1:1" x14ac:dyDescent="0.25">
      <c r="A81" t="s">
        <v>155</v>
      </c>
    </row>
    <row r="82" spans="1:1" x14ac:dyDescent="0.25">
      <c r="A82" t="s">
        <v>162</v>
      </c>
    </row>
    <row r="83" spans="1:1" x14ac:dyDescent="0.25">
      <c r="A83" t="s">
        <v>30</v>
      </c>
    </row>
    <row r="85" spans="1:1" ht="13" x14ac:dyDescent="0.3">
      <c r="A85" s="1" t="s">
        <v>86</v>
      </c>
    </row>
    <row r="86" spans="1:1" x14ac:dyDescent="0.25">
      <c r="A86" t="s">
        <v>26</v>
      </c>
    </row>
    <row r="87" spans="1:1" x14ac:dyDescent="0.25">
      <c r="A87" t="s">
        <v>157</v>
      </c>
    </row>
    <row r="88" spans="1:1" x14ac:dyDescent="0.25">
      <c r="A88" t="s">
        <v>72</v>
      </c>
    </row>
    <row r="90" spans="1:1" ht="13" x14ac:dyDescent="0.3">
      <c r="A90" s="1" t="s">
        <v>75</v>
      </c>
    </row>
    <row r="91" spans="1:1" x14ac:dyDescent="0.25">
      <c r="A91" t="s">
        <v>74</v>
      </c>
    </row>
    <row r="92" spans="1:1" x14ac:dyDescent="0.25">
      <c r="A92" t="s">
        <v>83</v>
      </c>
    </row>
    <row r="94" spans="1:1" ht="13" x14ac:dyDescent="0.3">
      <c r="A94" s="1" t="s">
        <v>76</v>
      </c>
    </row>
    <row r="95" spans="1:1" x14ac:dyDescent="0.25">
      <c r="A95" t="s">
        <v>77</v>
      </c>
    </row>
    <row r="96" spans="1:1" x14ac:dyDescent="0.25">
      <c r="A96" t="s">
        <v>78</v>
      </c>
    </row>
    <row r="97" spans="1:5" x14ac:dyDescent="0.25">
      <c r="A97" t="s">
        <v>79</v>
      </c>
    </row>
    <row r="98" spans="1:5" x14ac:dyDescent="0.25">
      <c r="A98" t="s">
        <v>80</v>
      </c>
    </row>
    <row r="100" spans="1:5" ht="13" x14ac:dyDescent="0.3">
      <c r="A100" s="1" t="s">
        <v>89</v>
      </c>
    </row>
    <row r="101" spans="1:5" x14ac:dyDescent="0.25">
      <c r="A101" t="s">
        <v>90</v>
      </c>
    </row>
    <row r="102" spans="1:5" x14ac:dyDescent="0.25">
      <c r="A102" t="s">
        <v>91</v>
      </c>
    </row>
    <row r="103" spans="1:5" x14ac:dyDescent="0.25">
      <c r="A103" t="s">
        <v>92</v>
      </c>
    </row>
    <row r="104" spans="1:5" x14ac:dyDescent="0.25">
      <c r="A104" t="s">
        <v>122</v>
      </c>
    </row>
    <row r="105" spans="1:5" x14ac:dyDescent="0.25">
      <c r="A105" t="s">
        <v>93</v>
      </c>
    </row>
    <row r="107" spans="1:5" x14ac:dyDescent="0.25">
      <c r="A107" s="66"/>
      <c r="B107" s="66"/>
      <c r="C107" s="66"/>
      <c r="D107" s="66"/>
      <c r="E107" s="66"/>
    </row>
    <row r="108" spans="1:5" x14ac:dyDescent="0.25">
      <c r="A108" s="66"/>
      <c r="B108" s="66"/>
      <c r="C108" s="66"/>
      <c r="D108" s="66"/>
      <c r="E108" s="66"/>
    </row>
    <row r="109" spans="1:5" x14ac:dyDescent="0.25">
      <c r="A109" s="67"/>
      <c r="B109" s="67"/>
      <c r="C109" s="67"/>
      <c r="D109" s="67"/>
      <c r="E109" s="67"/>
    </row>
    <row r="110" spans="1:5" ht="13" x14ac:dyDescent="0.3">
      <c r="A110" s="3" t="s">
        <v>172</v>
      </c>
      <c r="B110" s="68" t="s">
        <v>71</v>
      </c>
      <c r="C110" s="68"/>
      <c r="D110" s="68"/>
      <c r="E110" s="4"/>
    </row>
    <row r="111" spans="1:5" ht="13" x14ac:dyDescent="0.3">
      <c r="A111" s="5" t="s">
        <v>95</v>
      </c>
      <c r="B111" s="12">
        <v>41633</v>
      </c>
      <c r="C111" s="6"/>
      <c r="D111" s="6"/>
      <c r="E111" s="7"/>
    </row>
    <row r="112" spans="1:5" ht="13" x14ac:dyDescent="0.3">
      <c r="A112" s="5" t="s">
        <v>102</v>
      </c>
      <c r="B112" s="13">
        <v>4.027777777777778E-2</v>
      </c>
      <c r="C112" s="6"/>
      <c r="D112" s="6"/>
      <c r="E112" s="7"/>
    </row>
    <row r="113" spans="1:6" ht="13" x14ac:dyDescent="0.3">
      <c r="A113" s="5"/>
      <c r="B113" s="6"/>
      <c r="C113" s="6"/>
      <c r="D113" s="6"/>
      <c r="E113" s="7"/>
    </row>
    <row r="114" spans="1:6" ht="13" x14ac:dyDescent="0.3">
      <c r="A114" s="5" t="s">
        <v>84</v>
      </c>
      <c r="B114" s="6"/>
      <c r="C114" s="6"/>
      <c r="D114" s="6"/>
      <c r="E114" s="7"/>
    </row>
    <row r="115" spans="1:6" ht="13" x14ac:dyDescent="0.3">
      <c r="A115" s="8" t="s">
        <v>0</v>
      </c>
      <c r="B115" s="8" t="s">
        <v>66</v>
      </c>
      <c r="C115" s="5" t="s">
        <v>101</v>
      </c>
      <c r="D115" s="8" t="s">
        <v>67</v>
      </c>
      <c r="E115" s="7"/>
    </row>
    <row r="116" spans="1:6" x14ac:dyDescent="0.25">
      <c r="A116" s="9" t="s">
        <v>1</v>
      </c>
      <c r="B116" s="9">
        <v>2700</v>
      </c>
      <c r="C116" s="9"/>
      <c r="D116" s="17"/>
      <c r="E116" s="9"/>
      <c r="F116" s="2"/>
    </row>
    <row r="117" spans="1:6" x14ac:dyDescent="0.25">
      <c r="A117" s="9" t="s">
        <v>3</v>
      </c>
      <c r="B117" s="9">
        <v>507</v>
      </c>
      <c r="C117" s="9"/>
      <c r="D117" s="17"/>
      <c r="E117" s="9"/>
      <c r="F117" s="2"/>
    </row>
    <row r="118" spans="1:6" x14ac:dyDescent="0.25">
      <c r="A118" s="9" t="s">
        <v>4</v>
      </c>
      <c r="B118" s="9">
        <v>146</v>
      </c>
      <c r="C118" s="9"/>
      <c r="D118" s="17"/>
      <c r="E118" s="9"/>
      <c r="F118" s="2"/>
    </row>
    <row r="119" spans="1:6" x14ac:dyDescent="0.25">
      <c r="A119" s="9" t="s">
        <v>5</v>
      </c>
      <c r="B119" s="9">
        <v>0</v>
      </c>
      <c r="C119" s="9"/>
      <c r="D119" s="17"/>
      <c r="E119" s="9"/>
      <c r="F119" s="2"/>
    </row>
    <row r="120" spans="1:6" x14ac:dyDescent="0.25">
      <c r="A120" s="9" t="s">
        <v>16</v>
      </c>
      <c r="B120" s="9">
        <v>0</v>
      </c>
      <c r="C120" s="9"/>
      <c r="D120" s="9"/>
      <c r="E120" s="9"/>
      <c r="F120" s="2"/>
    </row>
    <row r="121" spans="1:6" x14ac:dyDescent="0.25">
      <c r="A121" s="9" t="s">
        <v>6</v>
      </c>
      <c r="B121" s="9">
        <v>10</v>
      </c>
      <c r="C121" s="9"/>
      <c r="D121" s="9"/>
      <c r="E121" s="9"/>
      <c r="F121" s="2"/>
    </row>
    <row r="122" spans="1:6" x14ac:dyDescent="0.25">
      <c r="A122" s="9" t="s">
        <v>7</v>
      </c>
      <c r="B122" s="9">
        <v>220</v>
      </c>
      <c r="C122" s="9"/>
      <c r="D122" s="9"/>
      <c r="E122" s="9"/>
      <c r="F122" s="2"/>
    </row>
    <row r="123" spans="1:6" x14ac:dyDescent="0.25">
      <c r="A123" s="9" t="s">
        <v>8</v>
      </c>
      <c r="B123" s="9">
        <v>402</v>
      </c>
      <c r="C123" s="9"/>
      <c r="D123" s="9"/>
      <c r="E123" s="9"/>
      <c r="F123" s="2"/>
    </row>
    <row r="124" spans="1:6" x14ac:dyDescent="0.25">
      <c r="A124" s="9" t="s">
        <v>10</v>
      </c>
      <c r="B124" s="9">
        <v>50</v>
      </c>
      <c r="C124" s="9"/>
      <c r="D124" s="9"/>
      <c r="E124" s="9"/>
      <c r="F124" s="2"/>
    </row>
    <row r="125" spans="1:6" x14ac:dyDescent="0.25">
      <c r="A125" s="9" t="s">
        <v>11</v>
      </c>
      <c r="B125" s="9">
        <v>61</v>
      </c>
      <c r="C125" s="9"/>
      <c r="D125" s="9"/>
      <c r="E125" s="9"/>
      <c r="F125" s="2"/>
    </row>
    <row r="126" spans="1:6" x14ac:dyDescent="0.25">
      <c r="A126" s="9" t="s">
        <v>12</v>
      </c>
      <c r="B126" s="9">
        <v>20</v>
      </c>
      <c r="C126" s="9"/>
      <c r="D126" s="9"/>
      <c r="E126" s="9"/>
      <c r="F126" s="2"/>
    </row>
    <row r="127" spans="1:6" x14ac:dyDescent="0.25">
      <c r="A127" s="9" t="s">
        <v>13</v>
      </c>
      <c r="B127" s="9">
        <v>-80.540000000000006</v>
      </c>
      <c r="C127" s="9"/>
      <c r="D127" s="9"/>
      <c r="E127" s="9"/>
      <c r="F127" s="2"/>
    </row>
    <row r="128" spans="1:6" x14ac:dyDescent="0.25">
      <c r="A128" s="9" t="s">
        <v>17</v>
      </c>
      <c r="B128" s="9">
        <v>0</v>
      </c>
      <c r="C128" s="9"/>
      <c r="D128" s="9"/>
      <c r="E128" s="9"/>
      <c r="F128" s="2"/>
    </row>
    <row r="129" spans="1:6" x14ac:dyDescent="0.25">
      <c r="A129" s="9" t="s">
        <v>22</v>
      </c>
      <c r="B129" s="9">
        <v>0</v>
      </c>
      <c r="C129" s="9"/>
      <c r="D129" s="9"/>
      <c r="E129" s="9"/>
      <c r="F129" s="2"/>
    </row>
    <row r="130" spans="1:6" x14ac:dyDescent="0.25">
      <c r="A130" s="9" t="s">
        <v>14</v>
      </c>
      <c r="B130" s="9">
        <v>860</v>
      </c>
      <c r="C130" s="9"/>
      <c r="D130" s="9"/>
      <c r="E130" s="9"/>
      <c r="F130" s="2"/>
    </row>
    <row r="131" spans="1:6" x14ac:dyDescent="0.25">
      <c r="A131" s="9" t="s">
        <v>15</v>
      </c>
      <c r="B131" s="9">
        <v>0</v>
      </c>
      <c r="C131" s="9"/>
      <c r="D131" s="17"/>
      <c r="E131" s="9"/>
      <c r="F131" s="2"/>
    </row>
    <row r="132" spans="1:6" x14ac:dyDescent="0.25">
      <c r="A132" s="9" t="s">
        <v>9</v>
      </c>
      <c r="B132" s="9">
        <v>700</v>
      </c>
      <c r="C132" s="9"/>
      <c r="D132" s="9"/>
      <c r="E132" s="9"/>
      <c r="F132" s="2"/>
    </row>
    <row r="133" spans="1:6" x14ac:dyDescent="0.25">
      <c r="A133" s="9" t="s">
        <v>28</v>
      </c>
      <c r="B133" s="9">
        <v>0</v>
      </c>
      <c r="C133" s="9"/>
      <c r="D133" s="17"/>
      <c r="E133" s="9"/>
      <c r="F133" s="2"/>
    </row>
    <row r="134" spans="1:6" x14ac:dyDescent="0.25">
      <c r="A134" s="9" t="s">
        <v>153</v>
      </c>
      <c r="B134" s="9">
        <v>0</v>
      </c>
      <c r="C134" s="9"/>
      <c r="D134" s="17"/>
      <c r="E134" s="9"/>
      <c r="F134" s="2"/>
    </row>
    <row r="135" spans="1:6" x14ac:dyDescent="0.25">
      <c r="A135" s="9" t="s">
        <v>32</v>
      </c>
      <c r="B135" s="9">
        <v>40</v>
      </c>
      <c r="C135" s="9"/>
      <c r="D135" s="9"/>
      <c r="E135" s="9"/>
      <c r="F135" s="2"/>
    </row>
    <row r="136" spans="1:6" x14ac:dyDescent="0.25">
      <c r="A136" s="9" t="s">
        <v>33</v>
      </c>
      <c r="B136" s="9">
        <v>0</v>
      </c>
      <c r="C136" s="9"/>
      <c r="D136" s="9"/>
      <c r="E136" s="9"/>
      <c r="F136" s="2"/>
    </row>
    <row r="137" spans="1:6" x14ac:dyDescent="0.25">
      <c r="A137" s="9" t="s">
        <v>34</v>
      </c>
      <c r="B137" s="9">
        <v>-20</v>
      </c>
      <c r="C137" s="9"/>
      <c r="D137" s="9" t="s">
        <v>188</v>
      </c>
      <c r="E137" s="9"/>
      <c r="F137" s="2"/>
    </row>
    <row r="138" spans="1:6" x14ac:dyDescent="0.25">
      <c r="A138" s="9" t="s">
        <v>35</v>
      </c>
      <c r="B138" s="9">
        <v>0</v>
      </c>
      <c r="C138" s="9"/>
      <c r="D138" s="9"/>
      <c r="E138" s="9"/>
      <c r="F138" s="2"/>
    </row>
    <row r="139" spans="1:6" x14ac:dyDescent="0.25">
      <c r="A139" s="9" t="s">
        <v>39</v>
      </c>
      <c r="B139" s="9">
        <v>150</v>
      </c>
      <c r="C139" s="9"/>
      <c r="D139" s="9" t="s">
        <v>146</v>
      </c>
      <c r="E139" s="9"/>
      <c r="F139" s="2"/>
    </row>
    <row r="140" spans="1:6" x14ac:dyDescent="0.25">
      <c r="A140" s="9" t="s">
        <v>42</v>
      </c>
      <c r="B140" s="9">
        <v>60</v>
      </c>
      <c r="C140" s="9"/>
      <c r="D140" s="9"/>
      <c r="E140" s="9"/>
      <c r="F140" s="2"/>
    </row>
    <row r="141" spans="1:6" x14ac:dyDescent="0.25">
      <c r="A141" s="9" t="s">
        <v>49</v>
      </c>
      <c r="B141" s="9">
        <v>50</v>
      </c>
      <c r="C141" s="9"/>
      <c r="D141" s="9"/>
      <c r="E141" s="9"/>
      <c r="F141" s="2"/>
    </row>
    <row r="142" spans="1:6" x14ac:dyDescent="0.25">
      <c r="A142" s="9" t="s">
        <v>151</v>
      </c>
      <c r="B142" s="9">
        <v>0</v>
      </c>
      <c r="C142" s="9"/>
      <c r="D142" s="9"/>
      <c r="E142" s="9"/>
      <c r="F142" s="2"/>
    </row>
    <row r="143" spans="1:6" x14ac:dyDescent="0.25">
      <c r="A143" s="9" t="s">
        <v>149</v>
      </c>
      <c r="B143" s="9">
        <v>190</v>
      </c>
      <c r="C143" s="9"/>
      <c r="D143" s="9"/>
      <c r="E143" s="9"/>
      <c r="F143" s="2"/>
    </row>
    <row r="144" spans="1:6" ht="38" x14ac:dyDescent="0.3">
      <c r="A144" s="10" t="s">
        <v>70</v>
      </c>
      <c r="B144" s="7">
        <f>SUM(B116:B143)</f>
        <v>6065.46</v>
      </c>
      <c r="C144" s="7"/>
      <c r="D144" s="14" t="s">
        <v>179</v>
      </c>
      <c r="E144" s="7"/>
    </row>
    <row r="145" spans="1:5" x14ac:dyDescent="0.25">
      <c r="A145" s="7"/>
      <c r="B145" s="7"/>
      <c r="C145" s="7"/>
      <c r="D145" s="7"/>
      <c r="E145" s="7"/>
    </row>
    <row r="146" spans="1:5" ht="13" x14ac:dyDescent="0.3">
      <c r="A146" s="8" t="s">
        <v>31</v>
      </c>
      <c r="B146" s="8" t="s">
        <v>66</v>
      </c>
      <c r="C146" s="5" t="s">
        <v>101</v>
      </c>
      <c r="D146" s="8" t="s">
        <v>67</v>
      </c>
      <c r="E146" s="7"/>
    </row>
    <row r="147" spans="1:5" x14ac:dyDescent="0.25">
      <c r="A147" s="9" t="s">
        <v>19</v>
      </c>
      <c r="B147" s="9">
        <v>0</v>
      </c>
      <c r="C147" s="9"/>
      <c r="D147" s="9"/>
      <c r="E147" s="9"/>
    </row>
    <row r="148" spans="1:5" x14ac:dyDescent="0.25">
      <c r="A148" s="9" t="s">
        <v>173</v>
      </c>
      <c r="B148" s="9">
        <v>50</v>
      </c>
      <c r="C148" s="9"/>
      <c r="D148" s="9"/>
      <c r="E148" s="9"/>
    </row>
    <row r="149" spans="1:5" x14ac:dyDescent="0.25">
      <c r="A149" s="9" t="s">
        <v>175</v>
      </c>
      <c r="B149" s="9">
        <v>0</v>
      </c>
      <c r="C149" s="9"/>
      <c r="D149" s="9"/>
      <c r="E149" s="9"/>
    </row>
    <row r="150" spans="1:5" ht="25" x14ac:dyDescent="0.25">
      <c r="A150" s="9" t="s">
        <v>189</v>
      </c>
      <c r="B150" s="9">
        <v>200</v>
      </c>
      <c r="C150" s="9"/>
      <c r="D150" s="17" t="s">
        <v>190</v>
      </c>
      <c r="E150" s="9"/>
    </row>
    <row r="151" spans="1:5" ht="13" x14ac:dyDescent="0.3">
      <c r="A151" s="10" t="s">
        <v>70</v>
      </c>
      <c r="B151" s="7">
        <f>SUM(B147:B150)</f>
        <v>250</v>
      </c>
      <c r="C151" s="7"/>
      <c r="D151" s="7"/>
      <c r="E151" s="7"/>
    </row>
    <row r="152" spans="1:5" x14ac:dyDescent="0.25">
      <c r="A152" s="7"/>
      <c r="B152" s="7"/>
      <c r="C152" s="7"/>
      <c r="D152" s="7"/>
      <c r="E152" s="7"/>
    </row>
    <row r="153" spans="1:5" ht="13" x14ac:dyDescent="0.3">
      <c r="A153" s="8" t="s">
        <v>82</v>
      </c>
      <c r="B153" s="8" t="s">
        <v>66</v>
      </c>
      <c r="C153" s="5" t="s">
        <v>101</v>
      </c>
      <c r="D153" s="8" t="s">
        <v>67</v>
      </c>
      <c r="E153" s="7"/>
    </row>
    <row r="154" spans="1:5" x14ac:dyDescent="0.25">
      <c r="A154" s="9" t="s">
        <v>150</v>
      </c>
      <c r="B154" s="9">
        <v>138</v>
      </c>
      <c r="C154" s="9"/>
      <c r="D154" s="17"/>
      <c r="E154" s="9"/>
    </row>
    <row r="155" spans="1:5" x14ac:dyDescent="0.25">
      <c r="A155" s="9" t="s">
        <v>160</v>
      </c>
      <c r="B155" s="9">
        <v>0</v>
      </c>
      <c r="C155" s="9"/>
      <c r="D155" s="17"/>
      <c r="E155" s="9"/>
    </row>
    <row r="156" spans="1:5" x14ac:dyDescent="0.25">
      <c r="A156" s="9" t="s">
        <v>161</v>
      </c>
      <c r="B156" s="9">
        <v>0</v>
      </c>
      <c r="C156" s="9"/>
      <c r="D156" s="17"/>
      <c r="E156" s="9"/>
    </row>
    <row r="157" spans="1:5" x14ac:dyDescent="0.25">
      <c r="A157" s="9" t="s">
        <v>52</v>
      </c>
      <c r="B157" s="9">
        <v>0</v>
      </c>
      <c r="C157" s="9"/>
      <c r="D157" s="17"/>
      <c r="E157" s="9"/>
    </row>
    <row r="158" spans="1:5" x14ac:dyDescent="0.25">
      <c r="A158" s="9" t="s">
        <v>47</v>
      </c>
      <c r="B158" s="9">
        <v>20</v>
      </c>
      <c r="C158" s="9"/>
      <c r="D158" s="17"/>
      <c r="E158" s="9"/>
    </row>
    <row r="159" spans="1:5" ht="25" x14ac:dyDescent="0.25">
      <c r="A159" s="9" t="s">
        <v>177</v>
      </c>
      <c r="B159" s="9">
        <v>0</v>
      </c>
      <c r="C159" s="9"/>
      <c r="D159" s="17" t="s">
        <v>178</v>
      </c>
      <c r="E159" s="9"/>
    </row>
    <row r="160" spans="1:5" ht="13" x14ac:dyDescent="0.3">
      <c r="A160" s="10" t="s">
        <v>70</v>
      </c>
      <c r="B160" s="7">
        <f>SUM(B154:B159)</f>
        <v>158</v>
      </c>
      <c r="C160" s="7"/>
      <c r="D160" s="7"/>
      <c r="E160" s="7"/>
    </row>
    <row r="161" spans="1:5" x14ac:dyDescent="0.25">
      <c r="A161" s="7"/>
      <c r="B161" s="7"/>
      <c r="C161" s="7"/>
      <c r="D161" s="7"/>
      <c r="E161" s="7"/>
    </row>
    <row r="162" spans="1:5" ht="13" x14ac:dyDescent="0.3">
      <c r="A162" s="8" t="s">
        <v>85</v>
      </c>
      <c r="B162" s="8" t="s">
        <v>66</v>
      </c>
      <c r="C162" s="5" t="s">
        <v>101</v>
      </c>
      <c r="D162" s="8" t="s">
        <v>67</v>
      </c>
      <c r="E162" s="7"/>
    </row>
    <row r="163" spans="1:5" x14ac:dyDescent="0.25">
      <c r="A163" s="9" t="s">
        <v>104</v>
      </c>
      <c r="B163" s="9">
        <v>55</v>
      </c>
      <c r="C163" s="9"/>
      <c r="D163" s="17" t="s">
        <v>184</v>
      </c>
      <c r="E163" s="9"/>
    </row>
    <row r="164" spans="1:5" x14ac:dyDescent="0.25">
      <c r="A164" s="9" t="s">
        <v>162</v>
      </c>
      <c r="B164" s="9">
        <v>0</v>
      </c>
      <c r="C164" s="9"/>
      <c r="D164" s="17" t="s">
        <v>163</v>
      </c>
      <c r="E164" s="9"/>
    </row>
    <row r="165" spans="1:5" x14ac:dyDescent="0.25">
      <c r="A165" s="9" t="s">
        <v>29</v>
      </c>
      <c r="B165" s="9">
        <v>263.36</v>
      </c>
      <c r="C165" s="9"/>
      <c r="D165" s="17"/>
      <c r="E165" s="9"/>
    </row>
    <row r="166" spans="1:5" x14ac:dyDescent="0.25">
      <c r="A166" s="9" t="s">
        <v>30</v>
      </c>
      <c r="B166" s="9">
        <v>160.35</v>
      </c>
      <c r="C166" s="9"/>
      <c r="D166" s="9"/>
      <c r="E166" s="9"/>
    </row>
    <row r="167" spans="1:5" ht="13" x14ac:dyDescent="0.3">
      <c r="A167" s="10" t="s">
        <v>70</v>
      </c>
      <c r="B167" s="7">
        <f>SUM(B163:B166)</f>
        <v>478.71000000000004</v>
      </c>
      <c r="C167" s="7"/>
      <c r="D167" s="7"/>
      <c r="E167" s="7"/>
    </row>
    <row r="168" spans="1:5" ht="13" x14ac:dyDescent="0.3">
      <c r="A168" s="10"/>
      <c r="B168" s="7"/>
      <c r="C168" s="7"/>
      <c r="D168" s="7"/>
      <c r="E168" s="7"/>
    </row>
    <row r="169" spans="1:5" ht="13" x14ac:dyDescent="0.3">
      <c r="A169" s="10" t="s">
        <v>87</v>
      </c>
      <c r="B169" s="7">
        <f>SUM(B144,B151,B160)-B167</f>
        <v>5994.75</v>
      </c>
      <c r="C169" s="7"/>
      <c r="D169" s="7"/>
      <c r="E169" s="7"/>
    </row>
    <row r="170" spans="1:5" ht="13" x14ac:dyDescent="0.3">
      <c r="A170" s="10"/>
      <c r="B170" s="7"/>
      <c r="C170" s="7"/>
      <c r="D170" s="7"/>
      <c r="E170" s="7"/>
    </row>
    <row r="171" spans="1:5" ht="13" x14ac:dyDescent="0.3">
      <c r="A171" s="11" t="s">
        <v>73</v>
      </c>
      <c r="B171" s="7"/>
      <c r="C171" s="7"/>
      <c r="D171" s="7"/>
      <c r="E171" s="7"/>
    </row>
    <row r="172" spans="1:5" ht="13" x14ac:dyDescent="0.3">
      <c r="A172" s="8" t="s">
        <v>75</v>
      </c>
      <c r="B172" s="8" t="s">
        <v>66</v>
      </c>
      <c r="C172" s="5" t="s">
        <v>101</v>
      </c>
      <c r="D172" s="8" t="s">
        <v>67</v>
      </c>
      <c r="E172" s="7"/>
    </row>
    <row r="173" spans="1:5" x14ac:dyDescent="0.25">
      <c r="A173" s="9" t="s">
        <v>74</v>
      </c>
      <c r="B173" s="9">
        <v>4825.17</v>
      </c>
      <c r="C173" s="9"/>
      <c r="D173" s="9"/>
      <c r="E173" s="9"/>
    </row>
    <row r="174" spans="1:5" x14ac:dyDescent="0.25">
      <c r="A174" s="9"/>
      <c r="B174" s="9"/>
      <c r="C174" s="9"/>
      <c r="D174" s="9"/>
      <c r="E174" s="9"/>
    </row>
    <row r="175" spans="1:5" ht="13" x14ac:dyDescent="0.3">
      <c r="A175" s="10" t="s">
        <v>70</v>
      </c>
      <c r="B175" s="7">
        <f>SUM(B173:B174)</f>
        <v>4825.17</v>
      </c>
      <c r="C175" s="7"/>
      <c r="D175" s="7"/>
      <c r="E175" s="7"/>
    </row>
    <row r="176" spans="1:5" ht="13" x14ac:dyDescent="0.3">
      <c r="A176" s="11"/>
      <c r="B176" s="7"/>
      <c r="C176" s="7"/>
      <c r="D176" s="7"/>
      <c r="E176" s="7"/>
    </row>
    <row r="177" spans="1:5" ht="13" x14ac:dyDescent="0.3">
      <c r="A177" s="8" t="s">
        <v>76</v>
      </c>
      <c r="B177" s="8" t="s">
        <v>66</v>
      </c>
      <c r="C177" s="5" t="s">
        <v>101</v>
      </c>
      <c r="D177" s="8" t="s">
        <v>67</v>
      </c>
      <c r="E177" s="7"/>
    </row>
    <row r="178" spans="1:5" x14ac:dyDescent="0.25">
      <c r="A178" s="9"/>
      <c r="B178" s="9"/>
      <c r="C178" s="9"/>
      <c r="D178" s="9"/>
      <c r="E178" s="9"/>
    </row>
    <row r="179" spans="1:5" x14ac:dyDescent="0.25">
      <c r="A179" s="9"/>
      <c r="B179" s="9"/>
      <c r="C179" s="9"/>
      <c r="D179" s="9"/>
      <c r="E179" s="9"/>
    </row>
    <row r="180" spans="1:5" ht="13" x14ac:dyDescent="0.3">
      <c r="A180" s="10" t="s">
        <v>70</v>
      </c>
      <c r="B180" s="7">
        <f>SUM(B178:B179)</f>
        <v>0</v>
      </c>
      <c r="C180" s="7"/>
      <c r="D180" s="7"/>
      <c r="E180" s="7"/>
    </row>
    <row r="181" spans="1:5" x14ac:dyDescent="0.25">
      <c r="A181" s="7"/>
      <c r="B181" s="7"/>
      <c r="C181" s="7"/>
      <c r="D181" s="7"/>
      <c r="E181" s="7"/>
    </row>
    <row r="182" spans="1:5" ht="13" x14ac:dyDescent="0.3">
      <c r="A182" s="8" t="s">
        <v>86</v>
      </c>
      <c r="B182" s="8" t="s">
        <v>66</v>
      </c>
      <c r="C182" s="5" t="s">
        <v>101</v>
      </c>
      <c r="D182" s="8" t="s">
        <v>67</v>
      </c>
      <c r="E182" s="7"/>
    </row>
    <row r="183" spans="1:5" ht="25" x14ac:dyDescent="0.25">
      <c r="A183" s="9" t="s">
        <v>26</v>
      </c>
      <c r="B183" s="9">
        <v>1376.81</v>
      </c>
      <c r="C183" s="9"/>
      <c r="D183" s="17" t="s">
        <v>182</v>
      </c>
      <c r="E183" s="9"/>
    </row>
    <row r="184" spans="1:5" x14ac:dyDescent="0.25">
      <c r="A184" s="9"/>
      <c r="B184" s="9"/>
      <c r="C184" s="9"/>
      <c r="D184" s="9"/>
      <c r="E184" s="9"/>
    </row>
    <row r="185" spans="1:5" ht="13" x14ac:dyDescent="0.3">
      <c r="A185" s="10" t="s">
        <v>70</v>
      </c>
      <c r="B185" s="7">
        <f>SUM(B183:B184)</f>
        <v>1376.81</v>
      </c>
      <c r="C185" s="7"/>
      <c r="D185" s="7"/>
      <c r="E185" s="7"/>
    </row>
    <row r="186" spans="1:5" x14ac:dyDescent="0.25">
      <c r="A186" s="7"/>
      <c r="B186" s="7"/>
      <c r="C186" s="7"/>
      <c r="D186" s="7"/>
      <c r="E186" s="7"/>
    </row>
    <row r="187" spans="1:5" ht="13" x14ac:dyDescent="0.3">
      <c r="A187" s="10" t="s">
        <v>88</v>
      </c>
      <c r="B187" s="7">
        <f>SUM(B175,B180)-B185</f>
        <v>3448.36</v>
      </c>
      <c r="C187" s="7"/>
      <c r="D187" s="7"/>
      <c r="E187" s="7"/>
    </row>
    <row r="188" spans="1:5" x14ac:dyDescent="0.25">
      <c r="A188" s="7"/>
      <c r="B188" s="7"/>
      <c r="C188" s="7"/>
      <c r="D188" s="7"/>
      <c r="E188" s="7"/>
    </row>
    <row r="189" spans="1:5" ht="13" x14ac:dyDescent="0.3">
      <c r="A189" s="5" t="s">
        <v>89</v>
      </c>
      <c r="B189" s="7"/>
      <c r="C189" s="7"/>
      <c r="D189" s="7"/>
      <c r="E189" s="7"/>
    </row>
    <row r="190" spans="1:5" ht="13" x14ac:dyDescent="0.3">
      <c r="A190" s="8" t="s">
        <v>94</v>
      </c>
      <c r="B190" s="8" t="s">
        <v>66</v>
      </c>
      <c r="C190" s="5" t="s">
        <v>101</v>
      </c>
      <c r="D190" s="8" t="s">
        <v>67</v>
      </c>
      <c r="E190" s="7"/>
    </row>
    <row r="191" spans="1:5" x14ac:dyDescent="0.25">
      <c r="A191" s="9" t="s">
        <v>90</v>
      </c>
      <c r="B191" s="15">
        <v>15470.27</v>
      </c>
      <c r="C191" s="9"/>
      <c r="D191" s="9"/>
      <c r="E191" s="9"/>
    </row>
    <row r="192" spans="1:5" x14ac:dyDescent="0.25">
      <c r="A192" s="9" t="s">
        <v>91</v>
      </c>
      <c r="B192" s="9">
        <v>2033.27</v>
      </c>
      <c r="C192" s="9"/>
      <c r="D192" s="9"/>
      <c r="E192" s="9"/>
    </row>
    <row r="193" spans="1:5" x14ac:dyDescent="0.25">
      <c r="A193" s="9" t="s">
        <v>92</v>
      </c>
      <c r="B193" s="9">
        <v>40000</v>
      </c>
      <c r="C193" s="9"/>
      <c r="D193" s="9"/>
      <c r="E193" s="9"/>
    </row>
    <row r="194" spans="1:5" x14ac:dyDescent="0.25">
      <c r="A194" s="9" t="s">
        <v>93</v>
      </c>
      <c r="B194" s="9">
        <v>27000</v>
      </c>
      <c r="C194" s="9"/>
      <c r="D194" s="9"/>
      <c r="E194" s="9"/>
    </row>
    <row r="195" spans="1:5" x14ac:dyDescent="0.25">
      <c r="A195" s="9" t="s">
        <v>122</v>
      </c>
      <c r="B195" s="9">
        <v>235</v>
      </c>
      <c r="C195" s="9"/>
      <c r="D195" s="9" t="s">
        <v>183</v>
      </c>
      <c r="E195" s="9"/>
    </row>
    <row r="196" spans="1:5" ht="13" x14ac:dyDescent="0.3">
      <c r="A196" s="10" t="s">
        <v>70</v>
      </c>
      <c r="B196" s="7">
        <f>SUM(B191:B195)</f>
        <v>84738.540000000008</v>
      </c>
      <c r="C196" s="7"/>
      <c r="D196" s="7"/>
      <c r="E196" s="7"/>
    </row>
    <row r="197" spans="1:5" x14ac:dyDescent="0.25">
      <c r="A197" s="7"/>
      <c r="B197" s="7"/>
      <c r="C197" s="7"/>
      <c r="D197" s="7"/>
      <c r="E197" s="7"/>
    </row>
    <row r="198" spans="1:5" ht="13" x14ac:dyDescent="0.3">
      <c r="A198" s="5" t="s">
        <v>133</v>
      </c>
      <c r="B198" s="7">
        <f xml:space="preserve"> B187-B169</f>
        <v>-2546.39</v>
      </c>
      <c r="C198" s="7"/>
      <c r="D198" s="7"/>
      <c r="E198" s="7"/>
    </row>
    <row r="199" spans="1:5" ht="13" x14ac:dyDescent="0.3">
      <c r="A199" s="5" t="s">
        <v>129</v>
      </c>
      <c r="B199" s="7">
        <f>SUM(B196,B198)</f>
        <v>82192.150000000009</v>
      </c>
      <c r="C199" s="7"/>
      <c r="D199" s="7"/>
      <c r="E199" s="7"/>
    </row>
    <row r="200" spans="1:5" ht="178" x14ac:dyDescent="0.3">
      <c r="A200" s="5" t="s">
        <v>134</v>
      </c>
      <c r="B200" s="7">
        <f>B199-B270</f>
        <v>198.66999999999825</v>
      </c>
      <c r="C200" s="7"/>
      <c r="D200" s="18" t="s">
        <v>191</v>
      </c>
      <c r="E200" s="7"/>
    </row>
    <row r="201" spans="1:5" x14ac:dyDescent="0.25">
      <c r="A201" s="69"/>
      <c r="B201" s="69"/>
      <c r="C201" s="69"/>
      <c r="D201" s="69"/>
      <c r="E201" s="69"/>
    </row>
    <row r="202" spans="1:5" x14ac:dyDescent="0.25">
      <c r="A202" s="69"/>
      <c r="B202" s="69"/>
      <c r="C202" s="69"/>
      <c r="D202" s="69"/>
      <c r="E202" s="69"/>
    </row>
    <row r="203" spans="1:5" x14ac:dyDescent="0.25">
      <c r="A203" s="69"/>
      <c r="B203" s="69"/>
      <c r="C203" s="69"/>
      <c r="D203" s="69"/>
      <c r="E203" s="69"/>
    </row>
    <row r="204" spans="1:5" ht="13" x14ac:dyDescent="0.3">
      <c r="A204" s="3" t="s">
        <v>181</v>
      </c>
      <c r="B204" s="68" t="s">
        <v>71</v>
      </c>
      <c r="C204" s="68"/>
      <c r="D204" s="68"/>
      <c r="E204" s="4"/>
    </row>
    <row r="205" spans="1:5" ht="13" x14ac:dyDescent="0.3">
      <c r="A205" s="5" t="s">
        <v>95</v>
      </c>
      <c r="B205" s="12">
        <v>41633</v>
      </c>
      <c r="C205" s="6"/>
      <c r="D205" s="6"/>
      <c r="E205" s="7"/>
    </row>
    <row r="206" spans="1:5" ht="13" x14ac:dyDescent="0.3">
      <c r="A206" s="5" t="s">
        <v>102</v>
      </c>
      <c r="B206" s="13">
        <v>4.027777777777778E-2</v>
      </c>
      <c r="C206" s="6"/>
      <c r="D206" s="6"/>
      <c r="E206" s="7"/>
    </row>
    <row r="207" spans="1:5" ht="13" x14ac:dyDescent="0.3">
      <c r="A207" s="5"/>
      <c r="B207" s="6"/>
      <c r="C207" s="6"/>
      <c r="D207" s="6"/>
      <c r="E207" s="7"/>
    </row>
    <row r="208" spans="1:5" ht="13" x14ac:dyDescent="0.3">
      <c r="A208" s="5" t="s">
        <v>84</v>
      </c>
      <c r="B208" s="6"/>
      <c r="C208" s="6"/>
      <c r="D208" s="6"/>
      <c r="E208" s="7"/>
    </row>
    <row r="209" spans="1:5" ht="13" x14ac:dyDescent="0.3">
      <c r="A209" s="8" t="s">
        <v>0</v>
      </c>
      <c r="B209" s="8" t="s">
        <v>66</v>
      </c>
      <c r="C209" s="8" t="s">
        <v>67</v>
      </c>
      <c r="D209" s="7"/>
      <c r="E209" s="7"/>
    </row>
    <row r="210" spans="1:5" x14ac:dyDescent="0.25">
      <c r="A210" s="9" t="s">
        <v>1</v>
      </c>
      <c r="B210" s="9">
        <v>2250</v>
      </c>
      <c r="C210" s="9" t="s">
        <v>103</v>
      </c>
      <c r="D210" s="9"/>
      <c r="E210" s="9"/>
    </row>
    <row r="211" spans="1:5" x14ac:dyDescent="0.25">
      <c r="A211" s="9" t="s">
        <v>3</v>
      </c>
      <c r="B211" s="9">
        <v>0</v>
      </c>
      <c r="C211" s="9" t="s">
        <v>103</v>
      </c>
      <c r="D211" s="9"/>
      <c r="E211" s="9"/>
    </row>
    <row r="212" spans="1:5" x14ac:dyDescent="0.25">
      <c r="A212" s="9" t="s">
        <v>2</v>
      </c>
      <c r="B212" s="9">
        <v>0</v>
      </c>
      <c r="C212" s="9" t="s">
        <v>103</v>
      </c>
      <c r="D212" s="9"/>
      <c r="E212" s="9"/>
    </row>
    <row r="213" spans="1:5" x14ac:dyDescent="0.25">
      <c r="A213" s="9" t="s">
        <v>5</v>
      </c>
      <c r="B213" s="9">
        <v>0</v>
      </c>
      <c r="C213" s="9" t="s">
        <v>103</v>
      </c>
      <c r="D213" s="9"/>
      <c r="E213" s="9"/>
    </row>
    <row r="214" spans="1:5" x14ac:dyDescent="0.25">
      <c r="A214" s="9" t="s">
        <v>4</v>
      </c>
      <c r="B214" s="9">
        <v>0</v>
      </c>
      <c r="C214" s="9" t="s">
        <v>103</v>
      </c>
      <c r="D214" s="9"/>
      <c r="E214" s="9"/>
    </row>
    <row r="215" spans="1:5" x14ac:dyDescent="0.25">
      <c r="A215" s="9" t="s">
        <v>14</v>
      </c>
      <c r="B215" s="9">
        <v>0</v>
      </c>
      <c r="C215" s="9" t="s">
        <v>103</v>
      </c>
      <c r="D215" s="9"/>
      <c r="E215" s="9"/>
    </row>
    <row r="216" spans="1:5" x14ac:dyDescent="0.25">
      <c r="A216" s="9" t="s">
        <v>42</v>
      </c>
      <c r="B216" s="9">
        <v>0</v>
      </c>
      <c r="C216" s="9"/>
      <c r="D216" s="9"/>
      <c r="E216" s="9"/>
    </row>
    <row r="217" spans="1:5" x14ac:dyDescent="0.25">
      <c r="A217" s="9" t="s">
        <v>149</v>
      </c>
      <c r="B217" s="9">
        <v>0</v>
      </c>
      <c r="C217" s="9"/>
      <c r="D217" s="9"/>
      <c r="E217" s="9"/>
    </row>
    <row r="218" spans="1:5" x14ac:dyDescent="0.25">
      <c r="A218" s="9" t="s">
        <v>39</v>
      </c>
      <c r="B218" s="9">
        <v>0</v>
      </c>
      <c r="C218" s="9"/>
      <c r="D218" s="9"/>
      <c r="E218" s="9"/>
    </row>
    <row r="219" spans="1:5" ht="13" x14ac:dyDescent="0.3">
      <c r="A219" s="10" t="s">
        <v>70</v>
      </c>
      <c r="B219" s="7">
        <f>SUM(B210:B218)</f>
        <v>2250</v>
      </c>
      <c r="C219" s="7"/>
      <c r="D219" s="7"/>
      <c r="E219" s="7"/>
    </row>
    <row r="220" spans="1:5" x14ac:dyDescent="0.25">
      <c r="A220" s="7"/>
      <c r="B220" s="7"/>
      <c r="C220" s="7"/>
      <c r="D220" s="7"/>
      <c r="E220" s="7"/>
    </row>
    <row r="221" spans="1:5" ht="13" x14ac:dyDescent="0.3">
      <c r="A221" s="8" t="s">
        <v>31</v>
      </c>
      <c r="B221" s="8" t="s">
        <v>66</v>
      </c>
      <c r="C221" s="8" t="s">
        <v>67</v>
      </c>
      <c r="D221" s="7"/>
      <c r="E221" s="7"/>
    </row>
    <row r="222" spans="1:5" x14ac:dyDescent="0.25">
      <c r="A222" s="9"/>
      <c r="B222" s="9"/>
      <c r="C222" s="9"/>
      <c r="D222" s="9"/>
      <c r="E222" s="9"/>
    </row>
    <row r="223" spans="1:5" x14ac:dyDescent="0.25">
      <c r="A223" s="9"/>
      <c r="B223" s="9"/>
      <c r="C223" s="9"/>
      <c r="D223" s="9"/>
      <c r="E223" s="9"/>
    </row>
    <row r="224" spans="1:5" ht="13" x14ac:dyDescent="0.3">
      <c r="A224" s="10" t="s">
        <v>70</v>
      </c>
      <c r="B224" s="7">
        <f>SUM(B222:B223)</f>
        <v>0</v>
      </c>
      <c r="C224" s="7"/>
      <c r="D224" s="7"/>
      <c r="E224" s="7"/>
    </row>
    <row r="225" spans="1:5" x14ac:dyDescent="0.25">
      <c r="A225" s="7"/>
      <c r="B225" s="7"/>
      <c r="C225" s="7"/>
      <c r="D225" s="7"/>
      <c r="E225" s="7"/>
    </row>
    <row r="226" spans="1:5" ht="13" x14ac:dyDescent="0.3">
      <c r="A226" s="8" t="s">
        <v>82</v>
      </c>
      <c r="B226" s="8" t="s">
        <v>66</v>
      </c>
      <c r="C226" s="8" t="s">
        <v>67</v>
      </c>
      <c r="D226" s="7"/>
      <c r="E226" s="7"/>
    </row>
    <row r="227" spans="1:5" x14ac:dyDescent="0.25">
      <c r="A227" s="9" t="s">
        <v>150</v>
      </c>
      <c r="B227" s="9">
        <v>138</v>
      </c>
      <c r="C227" s="9"/>
      <c r="D227" s="9"/>
      <c r="E227" s="9"/>
    </row>
    <row r="228" spans="1:5" x14ac:dyDescent="0.25">
      <c r="A228" s="9"/>
      <c r="B228" s="9"/>
      <c r="C228" s="9"/>
      <c r="D228" s="9"/>
      <c r="E228" s="9"/>
    </row>
    <row r="229" spans="1:5" ht="13" x14ac:dyDescent="0.3">
      <c r="A229" s="10" t="s">
        <v>70</v>
      </c>
      <c r="B229" s="7">
        <f>SUM(B227:B228)</f>
        <v>138</v>
      </c>
      <c r="C229" s="7"/>
      <c r="D229" s="7"/>
      <c r="E229" s="7"/>
    </row>
    <row r="230" spans="1:5" x14ac:dyDescent="0.25">
      <c r="A230" s="7"/>
      <c r="B230" s="7"/>
      <c r="C230" s="7"/>
      <c r="D230" s="7"/>
      <c r="E230" s="7"/>
    </row>
    <row r="231" spans="1:5" ht="13" x14ac:dyDescent="0.3">
      <c r="A231" s="8" t="s">
        <v>85</v>
      </c>
      <c r="B231" s="8" t="s">
        <v>66</v>
      </c>
      <c r="C231" s="8" t="s">
        <v>67</v>
      </c>
      <c r="D231" s="7"/>
      <c r="E231" s="7"/>
    </row>
    <row r="232" spans="1:5" x14ac:dyDescent="0.25">
      <c r="A232" s="9" t="s">
        <v>155</v>
      </c>
      <c r="B232" s="9">
        <v>193.29</v>
      </c>
      <c r="C232" s="9" t="s">
        <v>186</v>
      </c>
      <c r="D232" s="9"/>
      <c r="E232" s="9"/>
    </row>
    <row r="233" spans="1:5" x14ac:dyDescent="0.25">
      <c r="A233" s="9" t="s">
        <v>104</v>
      </c>
      <c r="B233" s="9">
        <v>0</v>
      </c>
      <c r="C233" s="9"/>
      <c r="D233" s="9"/>
      <c r="E233" s="9"/>
    </row>
    <row r="234" spans="1:5" x14ac:dyDescent="0.25">
      <c r="A234" s="9" t="s">
        <v>137</v>
      </c>
      <c r="B234" s="9">
        <v>202.75</v>
      </c>
      <c r="C234" s="9"/>
      <c r="D234" s="9"/>
      <c r="E234" s="9"/>
    </row>
    <row r="235" spans="1:5" x14ac:dyDescent="0.25">
      <c r="A235" s="9" t="s">
        <v>29</v>
      </c>
      <c r="B235" s="9">
        <v>413.36</v>
      </c>
      <c r="C235" s="9"/>
      <c r="D235" s="9"/>
      <c r="E235" s="9"/>
    </row>
    <row r="236" spans="1:5" x14ac:dyDescent="0.25">
      <c r="A236" s="9" t="s">
        <v>30</v>
      </c>
      <c r="B236" s="9">
        <v>210.35</v>
      </c>
      <c r="C236" s="9"/>
      <c r="D236" s="9"/>
      <c r="E236" s="9"/>
    </row>
    <row r="237" spans="1:5" ht="13" x14ac:dyDescent="0.3">
      <c r="A237" s="10" t="s">
        <v>70</v>
      </c>
      <c r="B237" s="7">
        <f>SUM(B232:B236)</f>
        <v>1019.75</v>
      </c>
      <c r="C237" s="7"/>
      <c r="D237" s="7"/>
      <c r="E237" s="7"/>
    </row>
    <row r="238" spans="1:5" ht="13" x14ac:dyDescent="0.3">
      <c r="A238" s="10"/>
      <c r="B238" s="7"/>
      <c r="C238" s="7"/>
      <c r="D238" s="7"/>
      <c r="E238" s="7"/>
    </row>
    <row r="239" spans="1:5" ht="13" x14ac:dyDescent="0.3">
      <c r="A239" s="10" t="s">
        <v>87</v>
      </c>
      <c r="B239" s="7">
        <f>SUM(B219,B224,B229) - B237</f>
        <v>1368.25</v>
      </c>
      <c r="C239" s="7"/>
      <c r="D239" s="7"/>
      <c r="E239" s="7"/>
    </row>
    <row r="240" spans="1:5" ht="13" x14ac:dyDescent="0.3">
      <c r="A240" s="10"/>
      <c r="B240" s="7"/>
      <c r="C240" s="7"/>
      <c r="D240" s="7"/>
      <c r="E240" s="7"/>
    </row>
    <row r="241" spans="1:5" ht="13" x14ac:dyDescent="0.3">
      <c r="A241" s="11" t="s">
        <v>73</v>
      </c>
      <c r="B241" s="7"/>
      <c r="C241" s="7"/>
      <c r="D241" s="7"/>
      <c r="E241" s="7"/>
    </row>
    <row r="242" spans="1:5" ht="13" x14ac:dyDescent="0.3">
      <c r="A242" s="8" t="s">
        <v>75</v>
      </c>
      <c r="B242" s="8" t="s">
        <v>66</v>
      </c>
      <c r="C242" s="8" t="s">
        <v>67</v>
      </c>
      <c r="D242" s="7"/>
      <c r="E242" s="7"/>
    </row>
    <row r="243" spans="1:5" x14ac:dyDescent="0.25">
      <c r="A243" s="9"/>
      <c r="B243" s="9"/>
      <c r="C243" s="9"/>
      <c r="D243" s="9"/>
      <c r="E243" s="9"/>
    </row>
    <row r="244" spans="1:5" x14ac:dyDescent="0.25">
      <c r="A244" s="9"/>
      <c r="B244" s="9"/>
      <c r="C244" s="9"/>
      <c r="D244" s="9"/>
      <c r="E244" s="9"/>
    </row>
    <row r="245" spans="1:5" ht="13" x14ac:dyDescent="0.3">
      <c r="A245" s="10" t="s">
        <v>70</v>
      </c>
      <c r="B245" s="7">
        <f>SUM(B243:B244)</f>
        <v>0</v>
      </c>
      <c r="C245" s="7"/>
      <c r="D245" s="7"/>
      <c r="E245" s="7"/>
    </row>
    <row r="246" spans="1:5" ht="13" x14ac:dyDescent="0.3">
      <c r="A246" s="11"/>
      <c r="B246" s="7"/>
      <c r="C246" s="7"/>
      <c r="D246" s="7"/>
      <c r="E246" s="7"/>
    </row>
    <row r="247" spans="1:5" ht="13" x14ac:dyDescent="0.3">
      <c r="A247" s="8" t="s">
        <v>76</v>
      </c>
      <c r="B247" s="8" t="s">
        <v>66</v>
      </c>
      <c r="C247" s="8" t="s">
        <v>67</v>
      </c>
      <c r="D247" s="7"/>
      <c r="E247" s="7"/>
    </row>
    <row r="248" spans="1:5" x14ac:dyDescent="0.25">
      <c r="A248" s="9"/>
      <c r="B248" s="9"/>
      <c r="C248" s="9"/>
      <c r="D248" s="9"/>
      <c r="E248" s="9"/>
    </row>
    <row r="249" spans="1:5" x14ac:dyDescent="0.25">
      <c r="A249" s="9"/>
      <c r="B249" s="9"/>
      <c r="C249" s="9"/>
      <c r="D249" s="9"/>
      <c r="E249" s="9"/>
    </row>
    <row r="250" spans="1:5" ht="13" x14ac:dyDescent="0.3">
      <c r="A250" s="10" t="s">
        <v>70</v>
      </c>
      <c r="B250" s="7">
        <f>SUM(B248:B249)</f>
        <v>0</v>
      </c>
      <c r="C250" s="7"/>
      <c r="D250" s="7"/>
      <c r="E250" s="7"/>
    </row>
    <row r="251" spans="1:5" x14ac:dyDescent="0.25">
      <c r="A251" s="7"/>
      <c r="B251" s="7"/>
      <c r="C251" s="7"/>
      <c r="D251" s="7"/>
      <c r="E251" s="7"/>
    </row>
    <row r="252" spans="1:5" ht="13" x14ac:dyDescent="0.3">
      <c r="A252" s="8" t="s">
        <v>86</v>
      </c>
      <c r="B252" s="8" t="s">
        <v>66</v>
      </c>
      <c r="C252" s="8" t="s">
        <v>67</v>
      </c>
      <c r="D252" s="7"/>
      <c r="E252" s="7"/>
    </row>
    <row r="253" spans="1:5" ht="25" x14ac:dyDescent="0.25">
      <c r="A253" s="9" t="s">
        <v>26</v>
      </c>
      <c r="B253" s="9">
        <v>1376.81</v>
      </c>
      <c r="C253" s="20" t="s">
        <v>182</v>
      </c>
      <c r="D253" s="9"/>
      <c r="E253" s="9"/>
    </row>
    <row r="254" spans="1:5" x14ac:dyDescent="0.25">
      <c r="A254" s="9" t="s">
        <v>157</v>
      </c>
      <c r="B254" s="9">
        <v>0</v>
      </c>
      <c r="C254" s="9"/>
      <c r="D254" s="9"/>
      <c r="E254" s="9"/>
    </row>
    <row r="255" spans="1:5" x14ac:dyDescent="0.25">
      <c r="A255" s="9"/>
      <c r="B255" s="9"/>
      <c r="C255" s="9"/>
      <c r="D255" s="9"/>
      <c r="E255" s="9"/>
    </row>
    <row r="256" spans="1:5" ht="13" x14ac:dyDescent="0.3">
      <c r="A256" s="10" t="s">
        <v>70</v>
      </c>
      <c r="B256" s="7">
        <f>SUM(B253:B255)</f>
        <v>1376.81</v>
      </c>
      <c r="C256" s="7"/>
      <c r="D256" s="7"/>
      <c r="E256" s="7"/>
    </row>
    <row r="257" spans="1:5" x14ac:dyDescent="0.25">
      <c r="A257" s="7"/>
      <c r="B257" s="7"/>
      <c r="C257" s="7"/>
      <c r="D257" s="7"/>
      <c r="E257" s="7"/>
    </row>
    <row r="258" spans="1:5" ht="13" x14ac:dyDescent="0.3">
      <c r="A258" s="10" t="s">
        <v>88</v>
      </c>
      <c r="B258" s="7">
        <f>SUM(B245,B250) - B256</f>
        <v>-1376.81</v>
      </c>
      <c r="C258" s="7"/>
      <c r="D258" s="7"/>
      <c r="E258" s="7"/>
    </row>
    <row r="259" spans="1:5" x14ac:dyDescent="0.25">
      <c r="A259" s="7"/>
      <c r="B259" s="7"/>
      <c r="C259" s="7"/>
      <c r="D259" s="7"/>
      <c r="E259" s="7"/>
    </row>
    <row r="260" spans="1:5" ht="13" x14ac:dyDescent="0.3">
      <c r="A260" s="5" t="s">
        <v>89</v>
      </c>
      <c r="B260" s="7"/>
      <c r="C260" s="7"/>
      <c r="D260" s="7"/>
      <c r="E260" s="7"/>
    </row>
    <row r="261" spans="1:5" ht="13" x14ac:dyDescent="0.3">
      <c r="A261" s="8" t="s">
        <v>94</v>
      </c>
      <c r="B261" s="8" t="s">
        <v>66</v>
      </c>
      <c r="C261" s="8" t="s">
        <v>67</v>
      </c>
      <c r="D261" s="7"/>
      <c r="E261" s="7"/>
    </row>
    <row r="262" spans="1:5" x14ac:dyDescent="0.25">
      <c r="A262" s="9" t="s">
        <v>90</v>
      </c>
      <c r="B262" s="15">
        <v>15470.27</v>
      </c>
      <c r="C262" s="9"/>
      <c r="D262" s="9"/>
      <c r="E262" s="9"/>
    </row>
    <row r="263" spans="1:5" x14ac:dyDescent="0.25">
      <c r="A263" s="9" t="s">
        <v>91</v>
      </c>
      <c r="B263" s="9">
        <v>2033.27</v>
      </c>
      <c r="C263" s="9"/>
      <c r="D263" s="9"/>
      <c r="E263" s="9"/>
    </row>
    <row r="264" spans="1:5" x14ac:dyDescent="0.25">
      <c r="A264" s="9" t="s">
        <v>92</v>
      </c>
      <c r="B264" s="9">
        <v>40000</v>
      </c>
      <c r="C264" s="9"/>
      <c r="D264" s="9"/>
      <c r="E264" s="9"/>
    </row>
    <row r="265" spans="1:5" x14ac:dyDescent="0.25">
      <c r="A265" s="9" t="s">
        <v>93</v>
      </c>
      <c r="B265" s="9">
        <v>27000</v>
      </c>
      <c r="C265" s="9"/>
      <c r="D265" s="9"/>
      <c r="E265" s="9"/>
    </row>
    <row r="266" spans="1:5" x14ac:dyDescent="0.25">
      <c r="A266" s="9" t="s">
        <v>122</v>
      </c>
      <c r="B266" s="9">
        <v>235</v>
      </c>
      <c r="C266" s="9" t="s">
        <v>183</v>
      </c>
      <c r="D266" s="9"/>
      <c r="E266" s="9"/>
    </row>
    <row r="267" spans="1:5" ht="13" x14ac:dyDescent="0.3">
      <c r="A267" s="10" t="s">
        <v>70</v>
      </c>
      <c r="B267" s="7">
        <f>SUM(B262:B266)</f>
        <v>84738.540000000008</v>
      </c>
      <c r="C267" s="7"/>
      <c r="D267" s="7"/>
      <c r="E267" s="7"/>
    </row>
    <row r="268" spans="1:5" x14ac:dyDescent="0.25">
      <c r="A268" s="7"/>
      <c r="B268" s="7"/>
      <c r="C268" s="7"/>
      <c r="D268" s="7"/>
      <c r="E268" s="7"/>
    </row>
    <row r="269" spans="1:5" ht="13" x14ac:dyDescent="0.3">
      <c r="A269" s="5" t="s">
        <v>99</v>
      </c>
      <c r="B269" s="7">
        <f xml:space="preserve"> B258-B239</f>
        <v>-2745.06</v>
      </c>
      <c r="C269" s="7"/>
      <c r="D269" s="7"/>
      <c r="E269" s="7"/>
    </row>
    <row r="270" spans="1:5" ht="25.5" x14ac:dyDescent="0.3">
      <c r="A270" s="5" t="s">
        <v>100</v>
      </c>
      <c r="B270" s="7">
        <f>SUM(B267,B269)</f>
        <v>81993.48000000001</v>
      </c>
      <c r="C270" s="14" t="s">
        <v>185</v>
      </c>
      <c r="D270" s="7"/>
      <c r="E270" s="7"/>
    </row>
    <row r="271" spans="1:5" ht="13" x14ac:dyDescent="0.3">
      <c r="A271" s="5" t="s">
        <v>108</v>
      </c>
      <c r="B271" s="7">
        <v>81899.929999999993</v>
      </c>
      <c r="C271" s="7" t="s">
        <v>170</v>
      </c>
      <c r="D271" s="7"/>
      <c r="E271" s="7"/>
    </row>
    <row r="272" spans="1:5" ht="138" x14ac:dyDescent="0.3">
      <c r="A272" s="5" t="s">
        <v>110</v>
      </c>
      <c r="B272" s="7">
        <f xml:space="preserve"> B270 - B271</f>
        <v>93.550000000017462</v>
      </c>
      <c r="C272" s="14" t="s">
        <v>187</v>
      </c>
      <c r="D272" s="7"/>
      <c r="E272" s="7"/>
    </row>
  </sheetData>
  <mergeCells count="4">
    <mergeCell ref="A107:E109"/>
    <mergeCell ref="B110:D110"/>
    <mergeCell ref="A201:E203"/>
    <mergeCell ref="B204:D204"/>
  </mergeCells>
  <phoneticPr fontId="2" type="noConversion"/>
  <dataValidations count="10">
    <dataValidation type="list" allowBlank="1" showInputMessage="1" showErrorMessage="1" sqref="A116:A143 A210:A218" xr:uid="{00000000-0002-0000-0700-000000000000}">
      <formula1>$A$3:$A$31</formula1>
    </dataValidation>
    <dataValidation type="date" operator="greaterThan" allowBlank="1" showInputMessage="1" showErrorMessage="1" sqref="B205 B111" xr:uid="{00000000-0002-0000-0700-000001000000}">
      <formula1>41275</formula1>
    </dataValidation>
    <dataValidation type="time" operator="greaterThan" allowBlank="1" showInputMessage="1" showErrorMessage="1" sqref="B206 B112" xr:uid="{00000000-0002-0000-0700-000002000000}">
      <formula1>0</formula1>
    </dataValidation>
    <dataValidation type="list" allowBlank="1" showInputMessage="1" showErrorMessage="1" sqref="A253:A255 A183:A184" xr:uid="{00000000-0002-0000-0700-000003000000}">
      <formula1>$A$86:$A$88</formula1>
    </dataValidation>
    <dataValidation type="list" allowBlank="1" showInputMessage="1" showErrorMessage="1" sqref="A222:A223 A147:A150" xr:uid="{00000000-0002-0000-0700-000004000000}">
      <formula1>$A$34:$A$43</formula1>
    </dataValidation>
    <dataValidation type="list" allowBlank="1" showInputMessage="1" showErrorMessage="1" sqref="A227:A228 A154:A159" xr:uid="{00000000-0002-0000-0700-000005000000}">
      <formula1>$A$46:$A$73</formula1>
    </dataValidation>
    <dataValidation type="list" allowBlank="1" showInputMessage="1" showErrorMessage="1" sqref="A232:A236 A163:A166" xr:uid="{00000000-0002-0000-0700-000006000000}">
      <formula1>$A$76:$A$83</formula1>
    </dataValidation>
    <dataValidation type="list" allowBlank="1" showInputMessage="1" showErrorMessage="1" sqref="A243:A244 A173:A174" xr:uid="{00000000-0002-0000-0700-000007000000}">
      <formula1>$A$91:$A$92</formula1>
    </dataValidation>
    <dataValidation type="list" allowBlank="1" showInputMessage="1" showErrorMessage="1" sqref="A248:A249 A178:A179" xr:uid="{00000000-0002-0000-0700-000008000000}">
      <formula1>$A$95:$A$98</formula1>
    </dataValidation>
    <dataValidation type="list" allowBlank="1" showInputMessage="1" showErrorMessage="1" sqref="A262:A266 A191:A195" xr:uid="{00000000-0002-0000-0700-000009000000}">
      <formula1>$A$101:$A$105</formula1>
    </dataValidation>
  </dataValidation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74"/>
  <sheetViews>
    <sheetView topLeftCell="A259" workbookViewId="0">
      <selection activeCell="D281" sqref="D281"/>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t="s">
        <v>53</v>
      </c>
    </row>
    <row r="59" spans="1:1" x14ac:dyDescent="0.25">
      <c r="A59" t="s">
        <v>54</v>
      </c>
    </row>
    <row r="60" spans="1:1" x14ac:dyDescent="0.25">
      <c r="A60" t="s">
        <v>55</v>
      </c>
    </row>
    <row r="61" spans="1:1" x14ac:dyDescent="0.25">
      <c r="A61" t="s">
        <v>56</v>
      </c>
    </row>
    <row r="62" spans="1:1" x14ac:dyDescent="0.25">
      <c r="A62"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81</v>
      </c>
    </row>
    <row r="69" spans="1:1" x14ac:dyDescent="0.25">
      <c r="A69" t="s">
        <v>63</v>
      </c>
    </row>
    <row r="70" spans="1:1" x14ac:dyDescent="0.25">
      <c r="A70" t="s">
        <v>64</v>
      </c>
    </row>
    <row r="71" spans="1:1" x14ac:dyDescent="0.25">
      <c r="A71" t="s">
        <v>161</v>
      </c>
    </row>
    <row r="72" spans="1:1" x14ac:dyDescent="0.25">
      <c r="A72" t="s">
        <v>177</v>
      </c>
    </row>
    <row r="73" spans="1:1" x14ac:dyDescent="0.25">
      <c r="A73" s="27" t="s">
        <v>202</v>
      </c>
    </row>
    <row r="74" spans="1:1" x14ac:dyDescent="0.25">
      <c r="A74" t="s">
        <v>150</v>
      </c>
    </row>
    <row r="76" spans="1:1" ht="13" x14ac:dyDescent="0.3">
      <c r="A76" s="1" t="s">
        <v>85</v>
      </c>
    </row>
    <row r="77" spans="1:1" x14ac:dyDescent="0.25">
      <c r="A77" t="s">
        <v>23</v>
      </c>
    </row>
    <row r="78" spans="1:1" x14ac:dyDescent="0.25">
      <c r="A78" t="s">
        <v>24</v>
      </c>
    </row>
    <row r="79" spans="1:1" x14ac:dyDescent="0.25">
      <c r="A79" t="s">
        <v>29</v>
      </c>
    </row>
    <row r="80" spans="1:1" x14ac:dyDescent="0.25">
      <c r="A80" t="s">
        <v>137</v>
      </c>
    </row>
    <row r="81" spans="1:1" x14ac:dyDescent="0.25">
      <c r="A81" t="s">
        <v>104</v>
      </c>
    </row>
    <row r="82" spans="1:1" x14ac:dyDescent="0.25">
      <c r="A82" t="s">
        <v>155</v>
      </c>
    </row>
    <row r="83" spans="1:1" x14ac:dyDescent="0.25">
      <c r="A83" t="s">
        <v>162</v>
      </c>
    </row>
    <row r="84" spans="1:1" x14ac:dyDescent="0.25">
      <c r="A84" t="s">
        <v>30</v>
      </c>
    </row>
    <row r="86" spans="1:1" ht="13" x14ac:dyDescent="0.3">
      <c r="A86" s="1" t="s">
        <v>86</v>
      </c>
    </row>
    <row r="87" spans="1:1" x14ac:dyDescent="0.25">
      <c r="A87" t="s">
        <v>26</v>
      </c>
    </row>
    <row r="88" spans="1:1" x14ac:dyDescent="0.25">
      <c r="A88" t="s">
        <v>157</v>
      </c>
    </row>
    <row r="89" spans="1:1" x14ac:dyDescent="0.25">
      <c r="A89" t="s">
        <v>72</v>
      </c>
    </row>
    <row r="91" spans="1:1" ht="13" x14ac:dyDescent="0.3">
      <c r="A91" s="1" t="s">
        <v>75</v>
      </c>
    </row>
    <row r="92" spans="1:1" x14ac:dyDescent="0.25">
      <c r="A92" t="s">
        <v>74</v>
      </c>
    </row>
    <row r="93" spans="1:1" x14ac:dyDescent="0.25">
      <c r="A93" t="s">
        <v>83</v>
      </c>
    </row>
    <row r="95" spans="1:1" ht="13" x14ac:dyDescent="0.3">
      <c r="A95" s="1" t="s">
        <v>76</v>
      </c>
    </row>
    <row r="96" spans="1:1" x14ac:dyDescent="0.25">
      <c r="A96" t="s">
        <v>77</v>
      </c>
    </row>
    <row r="97" spans="1:5" x14ac:dyDescent="0.25">
      <c r="A97" t="s">
        <v>78</v>
      </c>
    </row>
    <row r="98" spans="1:5" x14ac:dyDescent="0.25">
      <c r="A98" t="s">
        <v>79</v>
      </c>
    </row>
    <row r="99" spans="1:5" x14ac:dyDescent="0.25">
      <c r="A99" t="s">
        <v>80</v>
      </c>
    </row>
    <row r="101" spans="1:5" ht="13" x14ac:dyDescent="0.3">
      <c r="A101" s="1" t="s">
        <v>89</v>
      </c>
    </row>
    <row r="102" spans="1:5" x14ac:dyDescent="0.25">
      <c r="A102" t="s">
        <v>90</v>
      </c>
    </row>
    <row r="103" spans="1:5" x14ac:dyDescent="0.25">
      <c r="A103" t="s">
        <v>91</v>
      </c>
    </row>
    <row r="104" spans="1:5" x14ac:dyDescent="0.25">
      <c r="A104" t="s">
        <v>92</v>
      </c>
    </row>
    <row r="105" spans="1:5" x14ac:dyDescent="0.25">
      <c r="A105" t="s">
        <v>122</v>
      </c>
    </row>
    <row r="106" spans="1:5" x14ac:dyDescent="0.25">
      <c r="A106" t="s">
        <v>93</v>
      </c>
    </row>
    <row r="108" spans="1:5" x14ac:dyDescent="0.25">
      <c r="A108" s="66"/>
      <c r="B108" s="66"/>
      <c r="C108" s="66"/>
      <c r="D108" s="66"/>
      <c r="E108" s="66"/>
    </row>
    <row r="109" spans="1:5" x14ac:dyDescent="0.25">
      <c r="A109" s="66"/>
      <c r="B109" s="66"/>
      <c r="C109" s="66"/>
      <c r="D109" s="66"/>
      <c r="E109" s="66"/>
    </row>
    <row r="110" spans="1:5" x14ac:dyDescent="0.25">
      <c r="A110" s="67"/>
      <c r="B110" s="67"/>
      <c r="C110" s="67"/>
      <c r="D110" s="67"/>
      <c r="E110" s="67"/>
    </row>
    <row r="111" spans="1:5" ht="13" x14ac:dyDescent="0.3">
      <c r="A111" s="3" t="s">
        <v>205</v>
      </c>
      <c r="B111" s="68" t="s">
        <v>71</v>
      </c>
      <c r="C111" s="68"/>
      <c r="D111" s="68"/>
      <c r="E111" s="4"/>
    </row>
    <row r="112" spans="1:5" ht="13" x14ac:dyDescent="0.3">
      <c r="A112" s="5" t="s">
        <v>95</v>
      </c>
      <c r="B112" s="12">
        <v>41849</v>
      </c>
      <c r="C112" s="6"/>
      <c r="D112" s="6"/>
      <c r="E112" s="7"/>
    </row>
    <row r="113" spans="1:6" ht="13" x14ac:dyDescent="0.3">
      <c r="A113" s="5" t="s">
        <v>102</v>
      </c>
      <c r="B113" s="13">
        <v>0.73749999999999993</v>
      </c>
      <c r="C113" s="6"/>
      <c r="D113" s="6"/>
      <c r="E113" s="7"/>
    </row>
    <row r="114" spans="1:6" ht="13" x14ac:dyDescent="0.3">
      <c r="A114" s="5"/>
      <c r="B114" s="6"/>
      <c r="C114" s="6"/>
      <c r="D114" s="6"/>
      <c r="E114" s="7"/>
    </row>
    <row r="115" spans="1:6" ht="13" x14ac:dyDescent="0.3">
      <c r="A115" s="5" t="s">
        <v>84</v>
      </c>
      <c r="B115" s="6"/>
      <c r="C115" s="6"/>
      <c r="D115" s="6"/>
      <c r="E115" s="7"/>
    </row>
    <row r="116" spans="1:6" ht="13" x14ac:dyDescent="0.3">
      <c r="A116" s="8" t="s">
        <v>0</v>
      </c>
      <c r="B116" s="8" t="s">
        <v>66</v>
      </c>
      <c r="C116" s="5" t="s">
        <v>101</v>
      </c>
      <c r="D116" s="8" t="s">
        <v>67</v>
      </c>
      <c r="E116" s="7"/>
    </row>
    <row r="117" spans="1:6" x14ac:dyDescent="0.25">
      <c r="A117" s="9" t="s">
        <v>1</v>
      </c>
      <c r="B117" s="9">
        <v>450</v>
      </c>
      <c r="C117" s="9"/>
      <c r="D117" s="17"/>
      <c r="E117" s="9"/>
      <c r="F117" s="2"/>
    </row>
    <row r="118" spans="1:6" x14ac:dyDescent="0.25">
      <c r="A118" s="9" t="s">
        <v>3</v>
      </c>
      <c r="B118" s="9">
        <v>696.23</v>
      </c>
      <c r="C118" s="9"/>
      <c r="D118" s="17"/>
      <c r="E118" s="9"/>
      <c r="F118" s="2"/>
    </row>
    <row r="119" spans="1:6" x14ac:dyDescent="0.25">
      <c r="A119" s="9" t="s">
        <v>4</v>
      </c>
      <c r="B119" s="9">
        <v>285</v>
      </c>
      <c r="C119" s="9"/>
      <c r="D119" s="17"/>
      <c r="E119" s="9"/>
      <c r="F119" s="2"/>
    </row>
    <row r="120" spans="1:6" x14ac:dyDescent="0.25">
      <c r="A120" s="9" t="s">
        <v>5</v>
      </c>
      <c r="B120" s="9">
        <v>0</v>
      </c>
      <c r="C120" s="9"/>
      <c r="D120" s="17"/>
      <c r="E120" s="9"/>
      <c r="F120" s="2"/>
    </row>
    <row r="121" spans="1:6" x14ac:dyDescent="0.25">
      <c r="A121" s="9" t="s">
        <v>16</v>
      </c>
      <c r="B121" s="9">
        <v>0</v>
      </c>
      <c r="C121" s="9"/>
      <c r="D121" s="9"/>
      <c r="E121" s="9"/>
      <c r="F121" s="2"/>
    </row>
    <row r="122" spans="1:6" x14ac:dyDescent="0.25">
      <c r="A122" s="9" t="s">
        <v>6</v>
      </c>
      <c r="B122" s="9">
        <v>10</v>
      </c>
      <c r="C122" s="9"/>
      <c r="D122" s="9"/>
      <c r="E122" s="9"/>
      <c r="F122" s="2"/>
    </row>
    <row r="123" spans="1:6" x14ac:dyDescent="0.25">
      <c r="A123" s="9" t="s">
        <v>7</v>
      </c>
      <c r="B123" s="9">
        <v>100</v>
      </c>
      <c r="C123" s="9"/>
      <c r="D123" s="9"/>
      <c r="E123" s="9"/>
      <c r="F123" s="2"/>
    </row>
    <row r="124" spans="1:6" x14ac:dyDescent="0.25">
      <c r="A124" s="9" t="s">
        <v>8</v>
      </c>
      <c r="B124" s="9">
        <v>402</v>
      </c>
      <c r="C124" s="9"/>
      <c r="D124" s="9"/>
      <c r="E124" s="9"/>
      <c r="F124" s="2"/>
    </row>
    <row r="125" spans="1:6" x14ac:dyDescent="0.25">
      <c r="A125" s="9" t="s">
        <v>10</v>
      </c>
      <c r="B125" s="9">
        <v>100</v>
      </c>
      <c r="C125" s="9"/>
      <c r="D125" s="9"/>
      <c r="E125" s="9"/>
      <c r="F125" s="2"/>
    </row>
    <row r="126" spans="1:6" x14ac:dyDescent="0.25">
      <c r="A126" s="9" t="s">
        <v>11</v>
      </c>
      <c r="B126" s="9">
        <v>61</v>
      </c>
      <c r="C126" s="9"/>
      <c r="D126" s="9"/>
      <c r="E126" s="9"/>
      <c r="F126" s="2"/>
    </row>
    <row r="127" spans="1:6" x14ac:dyDescent="0.25">
      <c r="A127" s="9" t="s">
        <v>12</v>
      </c>
      <c r="B127" s="9">
        <v>20</v>
      </c>
      <c r="C127" s="9"/>
      <c r="D127" s="9"/>
      <c r="E127" s="9"/>
      <c r="F127" s="2"/>
    </row>
    <row r="128" spans="1:6" x14ac:dyDescent="0.25">
      <c r="A128" s="9" t="s">
        <v>13</v>
      </c>
      <c r="B128" s="9">
        <v>80</v>
      </c>
      <c r="C128" s="9"/>
      <c r="D128" s="9"/>
      <c r="E128" s="9"/>
      <c r="F128" s="2"/>
    </row>
    <row r="129" spans="1:6" x14ac:dyDescent="0.25">
      <c r="A129" s="9" t="s">
        <v>17</v>
      </c>
      <c r="B129" s="9">
        <v>0</v>
      </c>
      <c r="C129" s="9"/>
      <c r="D129" s="9"/>
      <c r="E129" s="9"/>
      <c r="F129" s="2"/>
    </row>
    <row r="130" spans="1:6" x14ac:dyDescent="0.25">
      <c r="A130" s="9" t="s">
        <v>22</v>
      </c>
      <c r="B130" s="9">
        <v>0</v>
      </c>
      <c r="C130" s="9"/>
      <c r="D130" s="9"/>
      <c r="E130" s="9"/>
      <c r="F130" s="2"/>
    </row>
    <row r="131" spans="1:6" x14ac:dyDescent="0.25">
      <c r="A131" s="9" t="s">
        <v>14</v>
      </c>
      <c r="B131" s="9">
        <v>868</v>
      </c>
      <c r="C131" s="9"/>
      <c r="D131" s="9"/>
      <c r="E131" s="9"/>
      <c r="F131" s="2"/>
    </row>
    <row r="132" spans="1:6" x14ac:dyDescent="0.25">
      <c r="A132" s="9" t="s">
        <v>15</v>
      </c>
      <c r="B132" s="9">
        <v>0</v>
      </c>
      <c r="C132" s="9"/>
      <c r="D132" s="17"/>
      <c r="E132" s="9"/>
      <c r="F132" s="2"/>
    </row>
    <row r="133" spans="1:6" x14ac:dyDescent="0.25">
      <c r="A133" s="9" t="s">
        <v>9</v>
      </c>
      <c r="B133" s="9">
        <v>700</v>
      </c>
      <c r="C133" s="9"/>
      <c r="D133" s="9"/>
      <c r="E133" s="9"/>
      <c r="F133" s="2"/>
    </row>
    <row r="134" spans="1:6" x14ac:dyDescent="0.25">
      <c r="A134" s="9" t="s">
        <v>28</v>
      </c>
      <c r="B134" s="9">
        <v>0</v>
      </c>
      <c r="C134" s="9"/>
      <c r="D134" s="17"/>
      <c r="E134" s="9"/>
      <c r="F134" s="2"/>
    </row>
    <row r="135" spans="1:6" x14ac:dyDescent="0.25">
      <c r="A135" s="9" t="s">
        <v>153</v>
      </c>
      <c r="B135" s="9">
        <v>0</v>
      </c>
      <c r="C135" s="9"/>
      <c r="D135" s="17"/>
      <c r="E135" s="9"/>
      <c r="F135" s="2"/>
    </row>
    <row r="136" spans="1:6" x14ac:dyDescent="0.25">
      <c r="A136" s="9" t="s">
        <v>32</v>
      </c>
      <c r="B136" s="9">
        <v>0</v>
      </c>
      <c r="C136" s="9"/>
      <c r="D136" s="9"/>
      <c r="E136" s="9"/>
      <c r="F136" s="2"/>
    </row>
    <row r="137" spans="1:6" x14ac:dyDescent="0.25">
      <c r="A137" s="9" t="s">
        <v>33</v>
      </c>
      <c r="B137" s="9">
        <v>0</v>
      </c>
      <c r="C137" s="9"/>
      <c r="D137" s="9"/>
      <c r="E137" s="9"/>
      <c r="F137" s="2"/>
    </row>
    <row r="138" spans="1:6" x14ac:dyDescent="0.25">
      <c r="A138" s="9" t="s">
        <v>34</v>
      </c>
      <c r="B138" s="9">
        <v>0</v>
      </c>
      <c r="C138" s="9"/>
      <c r="D138" s="9"/>
      <c r="E138" s="9"/>
      <c r="F138" s="2"/>
    </row>
    <row r="139" spans="1:6" x14ac:dyDescent="0.25">
      <c r="A139" s="9" t="s">
        <v>35</v>
      </c>
      <c r="B139" s="9">
        <v>0</v>
      </c>
      <c r="C139" s="9"/>
      <c r="D139" s="9"/>
      <c r="E139" s="9"/>
      <c r="F139" s="2"/>
    </row>
    <row r="140" spans="1:6" x14ac:dyDescent="0.25">
      <c r="A140" s="9" t="s">
        <v>39</v>
      </c>
      <c r="B140" s="9">
        <v>100</v>
      </c>
      <c r="C140" s="9"/>
      <c r="D140" s="9" t="s">
        <v>146</v>
      </c>
      <c r="E140" s="9"/>
      <c r="F140" s="2"/>
    </row>
    <row r="141" spans="1:6" x14ac:dyDescent="0.25">
      <c r="A141" s="9" t="s">
        <v>42</v>
      </c>
      <c r="B141" s="9">
        <v>50</v>
      </c>
      <c r="C141" s="9"/>
      <c r="D141" s="9"/>
      <c r="E141" s="9"/>
      <c r="F141" s="2"/>
    </row>
    <row r="142" spans="1:6" x14ac:dyDescent="0.25">
      <c r="A142" s="9" t="s">
        <v>49</v>
      </c>
      <c r="B142" s="9">
        <v>50</v>
      </c>
      <c r="C142" s="9"/>
      <c r="D142" s="9"/>
      <c r="E142" s="9"/>
      <c r="F142" s="2"/>
    </row>
    <row r="143" spans="1:6" x14ac:dyDescent="0.25">
      <c r="A143" s="9" t="s">
        <v>151</v>
      </c>
      <c r="B143" s="9">
        <v>0</v>
      </c>
      <c r="C143" s="9"/>
      <c r="D143" s="9"/>
      <c r="E143" s="9"/>
      <c r="F143" s="2"/>
    </row>
    <row r="144" spans="1:6" x14ac:dyDescent="0.25">
      <c r="A144" s="9" t="s">
        <v>149</v>
      </c>
      <c r="B144" s="9">
        <v>0</v>
      </c>
      <c r="C144" s="9"/>
      <c r="D144" s="9"/>
      <c r="E144" s="9"/>
      <c r="F144" s="2"/>
    </row>
    <row r="145" spans="1:5" ht="38" x14ac:dyDescent="0.3">
      <c r="A145" s="10" t="s">
        <v>70</v>
      </c>
      <c r="B145" s="7">
        <f>SUM(B117:B144)</f>
        <v>3972.23</v>
      </c>
      <c r="C145" s="7"/>
      <c r="D145" s="22" t="s">
        <v>179</v>
      </c>
      <c r="E145" s="7"/>
    </row>
    <row r="146" spans="1:5" x14ac:dyDescent="0.25">
      <c r="A146" s="7"/>
      <c r="B146" s="7"/>
      <c r="C146" s="7"/>
      <c r="D146" s="7"/>
      <c r="E146" s="7"/>
    </row>
    <row r="147" spans="1:5" ht="13" x14ac:dyDescent="0.3">
      <c r="A147" s="8" t="s">
        <v>31</v>
      </c>
      <c r="B147" s="8" t="s">
        <v>66</v>
      </c>
      <c r="C147" s="5" t="s">
        <v>101</v>
      </c>
      <c r="D147" s="8" t="s">
        <v>67</v>
      </c>
      <c r="E147" s="7"/>
    </row>
    <row r="148" spans="1:5" x14ac:dyDescent="0.25">
      <c r="A148" s="9" t="s">
        <v>18</v>
      </c>
      <c r="B148" s="9">
        <v>40</v>
      </c>
      <c r="C148" s="9"/>
      <c r="D148" s="9"/>
      <c r="E148" s="9"/>
    </row>
    <row r="149" spans="1:5" x14ac:dyDescent="0.25">
      <c r="A149" s="9" t="s">
        <v>173</v>
      </c>
      <c r="B149" s="9">
        <v>50</v>
      </c>
      <c r="C149" s="9"/>
      <c r="D149" s="9"/>
      <c r="E149" s="9"/>
    </row>
    <row r="150" spans="1:5" x14ac:dyDescent="0.25">
      <c r="A150" s="9" t="s">
        <v>175</v>
      </c>
      <c r="B150" s="9">
        <v>0</v>
      </c>
      <c r="C150" s="9"/>
      <c r="D150" s="9"/>
      <c r="E150" s="9"/>
    </row>
    <row r="151" spans="1:5" x14ac:dyDescent="0.25">
      <c r="A151" s="9" t="s">
        <v>189</v>
      </c>
      <c r="B151" s="9">
        <v>0</v>
      </c>
      <c r="C151" s="9"/>
      <c r="D151" s="26" t="s">
        <v>201</v>
      </c>
      <c r="E151" s="9"/>
    </row>
    <row r="152" spans="1:5" ht="13" x14ac:dyDescent="0.3">
      <c r="A152" s="10" t="s">
        <v>70</v>
      </c>
      <c r="B152" s="7">
        <f>SUM(B148:B151)</f>
        <v>90</v>
      </c>
      <c r="C152" s="7"/>
      <c r="D152" s="7"/>
      <c r="E152" s="7"/>
    </row>
    <row r="153" spans="1:5" x14ac:dyDescent="0.25">
      <c r="A153" s="7"/>
      <c r="B153" s="7"/>
      <c r="C153" s="7"/>
      <c r="D153" s="7"/>
      <c r="E153" s="7"/>
    </row>
    <row r="154" spans="1:5" ht="13" x14ac:dyDescent="0.3">
      <c r="A154" s="8" t="s">
        <v>82</v>
      </c>
      <c r="B154" s="8" t="s">
        <v>66</v>
      </c>
      <c r="C154" s="5" t="s">
        <v>101</v>
      </c>
      <c r="D154" s="8" t="s">
        <v>67</v>
      </c>
      <c r="E154" s="7"/>
    </row>
    <row r="155" spans="1:5" ht="37.5" x14ac:dyDescent="0.25">
      <c r="A155" s="9" t="s">
        <v>150</v>
      </c>
      <c r="B155" s="9"/>
      <c r="C155" s="9"/>
      <c r="D155" s="23" t="s">
        <v>198</v>
      </c>
      <c r="E155" s="9"/>
    </row>
    <row r="156" spans="1:5" x14ac:dyDescent="0.25">
      <c r="A156" s="9" t="s">
        <v>160</v>
      </c>
      <c r="B156" s="9">
        <v>0</v>
      </c>
      <c r="C156" s="9"/>
      <c r="D156" s="17"/>
      <c r="E156" s="9"/>
    </row>
    <row r="157" spans="1:5" x14ac:dyDescent="0.25">
      <c r="A157" s="9" t="s">
        <v>161</v>
      </c>
      <c r="B157" s="9">
        <v>0</v>
      </c>
      <c r="C157" s="9"/>
      <c r="D157" s="17"/>
      <c r="E157" s="9"/>
    </row>
    <row r="158" spans="1:5" x14ac:dyDescent="0.25">
      <c r="A158" s="9" t="s">
        <v>52</v>
      </c>
      <c r="B158" s="9">
        <v>0</v>
      </c>
      <c r="C158" s="9"/>
      <c r="D158" s="17"/>
      <c r="E158" s="9"/>
    </row>
    <row r="159" spans="1:5" x14ac:dyDescent="0.25">
      <c r="A159" s="9" t="s">
        <v>202</v>
      </c>
      <c r="B159" s="9">
        <v>150</v>
      </c>
      <c r="C159" s="9"/>
      <c r="D159" s="23" t="s">
        <v>203</v>
      </c>
      <c r="E159" s="9"/>
    </row>
    <row r="160" spans="1:5" x14ac:dyDescent="0.25">
      <c r="A160" s="9" t="s">
        <v>47</v>
      </c>
      <c r="B160" s="9">
        <v>20</v>
      </c>
      <c r="C160" s="9"/>
      <c r="D160" s="17"/>
      <c r="E160" s="9"/>
    </row>
    <row r="161" spans="1:5" x14ac:dyDescent="0.25">
      <c r="A161" s="9" t="s">
        <v>177</v>
      </c>
      <c r="B161" s="9">
        <v>0</v>
      </c>
      <c r="C161" s="9"/>
      <c r="D161" s="17"/>
      <c r="E161" s="9"/>
    </row>
    <row r="162" spans="1:5" ht="13" x14ac:dyDescent="0.3">
      <c r="A162" s="10" t="s">
        <v>70</v>
      </c>
      <c r="B162" s="7">
        <f>SUM(B155:B161)</f>
        <v>170</v>
      </c>
      <c r="C162" s="7"/>
      <c r="D162" s="7"/>
      <c r="E162" s="7"/>
    </row>
    <row r="163" spans="1:5" x14ac:dyDescent="0.25">
      <c r="A163" s="7"/>
      <c r="B163" s="7"/>
      <c r="C163" s="7"/>
      <c r="D163" s="7"/>
      <c r="E163" s="7"/>
    </row>
    <row r="164" spans="1:5" ht="13" x14ac:dyDescent="0.3">
      <c r="A164" s="8" t="s">
        <v>85</v>
      </c>
      <c r="B164" s="8" t="s">
        <v>66</v>
      </c>
      <c r="C164" s="5" t="s">
        <v>101</v>
      </c>
      <c r="D164" s="8" t="s">
        <v>67</v>
      </c>
      <c r="E164" s="7"/>
    </row>
    <row r="165" spans="1:5" ht="37.5" x14ac:dyDescent="0.25">
      <c r="A165" s="9" t="s">
        <v>104</v>
      </c>
      <c r="B165" s="9">
        <v>0</v>
      </c>
      <c r="C165" s="9"/>
      <c r="D165" s="23" t="s">
        <v>198</v>
      </c>
      <c r="E165" s="9"/>
    </row>
    <row r="166" spans="1:5" x14ac:dyDescent="0.25">
      <c r="A166" s="9" t="s">
        <v>162</v>
      </c>
      <c r="B166" s="9">
        <v>0</v>
      </c>
      <c r="C166" s="9"/>
      <c r="D166" s="17"/>
      <c r="E166" s="9"/>
    </row>
    <row r="167" spans="1:5" x14ac:dyDescent="0.25">
      <c r="A167" s="9" t="s">
        <v>29</v>
      </c>
      <c r="B167" s="9">
        <v>582.36</v>
      </c>
      <c r="C167" s="9"/>
      <c r="D167" s="17"/>
      <c r="E167" s="9"/>
    </row>
    <row r="168" spans="1:5" x14ac:dyDescent="0.25">
      <c r="A168" s="9" t="s">
        <v>30</v>
      </c>
      <c r="B168" s="9">
        <v>199.52</v>
      </c>
      <c r="C168" s="9"/>
      <c r="D168" s="9"/>
      <c r="E168" s="9"/>
    </row>
    <row r="169" spans="1:5" ht="13" x14ac:dyDescent="0.3">
      <c r="A169" s="10" t="s">
        <v>70</v>
      </c>
      <c r="B169" s="7">
        <f>SUM(B165:B168)</f>
        <v>781.88</v>
      </c>
      <c r="C169" s="7"/>
      <c r="D169" s="7"/>
      <c r="E169" s="7"/>
    </row>
    <row r="170" spans="1:5" ht="13" x14ac:dyDescent="0.3">
      <c r="A170" s="10"/>
      <c r="B170" s="7"/>
      <c r="C170" s="7"/>
      <c r="D170" s="7"/>
      <c r="E170" s="7"/>
    </row>
    <row r="171" spans="1:5" ht="13" x14ac:dyDescent="0.3">
      <c r="A171" s="10" t="s">
        <v>87</v>
      </c>
      <c r="B171" s="7">
        <f>SUM(B145,B152,B162)-B169</f>
        <v>3450.3499999999995</v>
      </c>
      <c r="C171" s="7"/>
      <c r="D171" s="7"/>
      <c r="E171" s="7"/>
    </row>
    <row r="172" spans="1:5" ht="13" x14ac:dyDescent="0.3">
      <c r="A172" s="10"/>
      <c r="B172" s="7"/>
      <c r="C172" s="7"/>
      <c r="D172" s="7"/>
      <c r="E172" s="7"/>
    </row>
    <row r="173" spans="1:5" ht="13" x14ac:dyDescent="0.3">
      <c r="A173" s="11" t="s">
        <v>73</v>
      </c>
      <c r="B173" s="7"/>
      <c r="C173" s="7"/>
      <c r="D173" s="7"/>
      <c r="E173" s="7"/>
    </row>
    <row r="174" spans="1:5" ht="13" x14ac:dyDescent="0.3">
      <c r="A174" s="8" t="s">
        <v>75</v>
      </c>
      <c r="B174" s="8" t="s">
        <v>66</v>
      </c>
      <c r="C174" s="5" t="s">
        <v>101</v>
      </c>
      <c r="D174" s="8" t="s">
        <v>67</v>
      </c>
      <c r="E174" s="7"/>
    </row>
    <row r="175" spans="1:5" x14ac:dyDescent="0.25">
      <c r="A175" s="9" t="s">
        <v>74</v>
      </c>
      <c r="B175" s="9">
        <v>4961.8500000000004</v>
      </c>
      <c r="C175" s="9"/>
      <c r="D175" s="9"/>
      <c r="E175" s="9"/>
    </row>
    <row r="176" spans="1:5" x14ac:dyDescent="0.25">
      <c r="A176" s="9"/>
      <c r="B176" s="9"/>
      <c r="C176" s="9"/>
      <c r="D176" s="9"/>
      <c r="E176" s="9"/>
    </row>
    <row r="177" spans="1:5" ht="13" x14ac:dyDescent="0.3">
      <c r="A177" s="10" t="s">
        <v>70</v>
      </c>
      <c r="B177" s="7">
        <f>SUM(B175:B176)</f>
        <v>4961.8500000000004</v>
      </c>
      <c r="C177" s="7"/>
      <c r="D177" s="7"/>
      <c r="E177" s="7"/>
    </row>
    <row r="178" spans="1:5" ht="13" x14ac:dyDescent="0.3">
      <c r="A178" s="11"/>
      <c r="B178" s="7"/>
      <c r="C178" s="7"/>
      <c r="D178" s="7"/>
      <c r="E178" s="7"/>
    </row>
    <row r="179" spans="1:5" ht="13" x14ac:dyDescent="0.3">
      <c r="A179" s="8" t="s">
        <v>76</v>
      </c>
      <c r="B179" s="8" t="s">
        <v>66</v>
      </c>
      <c r="C179" s="5" t="s">
        <v>101</v>
      </c>
      <c r="D179" s="8" t="s">
        <v>67</v>
      </c>
      <c r="E179" s="7"/>
    </row>
    <row r="180" spans="1:5" x14ac:dyDescent="0.25">
      <c r="A180" s="9"/>
      <c r="B180" s="9"/>
      <c r="C180" s="9"/>
      <c r="D180" s="9"/>
      <c r="E180" s="9"/>
    </row>
    <row r="181" spans="1:5" x14ac:dyDescent="0.25">
      <c r="A181" s="9"/>
      <c r="B181" s="9"/>
      <c r="C181" s="9"/>
      <c r="D181" s="9"/>
      <c r="E181" s="9"/>
    </row>
    <row r="182" spans="1:5" ht="13" x14ac:dyDescent="0.3">
      <c r="A182" s="10" t="s">
        <v>70</v>
      </c>
      <c r="B182" s="7">
        <f>SUM(B180:B181)</f>
        <v>0</v>
      </c>
      <c r="C182" s="7"/>
      <c r="D182" s="7"/>
      <c r="E182" s="7"/>
    </row>
    <row r="183" spans="1:5" x14ac:dyDescent="0.25">
      <c r="A183" s="7"/>
      <c r="B183" s="7"/>
      <c r="C183" s="7"/>
      <c r="D183" s="7"/>
      <c r="E183" s="7"/>
    </row>
    <row r="184" spans="1:5" ht="13" x14ac:dyDescent="0.3">
      <c r="A184" s="8" t="s">
        <v>86</v>
      </c>
      <c r="B184" s="8" t="s">
        <v>66</v>
      </c>
      <c r="C184" s="5" t="s">
        <v>101</v>
      </c>
      <c r="D184" s="8" t="s">
        <v>67</v>
      </c>
      <c r="E184" s="7"/>
    </row>
    <row r="185" spans="1:5" ht="37.5" x14ac:dyDescent="0.25">
      <c r="A185" s="9" t="s">
        <v>26</v>
      </c>
      <c r="B185" s="9">
        <v>0</v>
      </c>
      <c r="C185" s="9"/>
      <c r="D185" s="20" t="s">
        <v>194</v>
      </c>
      <c r="E185" s="9"/>
    </row>
    <row r="186" spans="1:5" x14ac:dyDescent="0.25">
      <c r="A186" s="9"/>
      <c r="B186" s="9"/>
      <c r="C186" s="9"/>
      <c r="D186" s="9"/>
      <c r="E186" s="9"/>
    </row>
    <row r="187" spans="1:5" ht="13" x14ac:dyDescent="0.3">
      <c r="A187" s="10" t="s">
        <v>70</v>
      </c>
      <c r="B187" s="7">
        <f>SUM(B185:B186)</f>
        <v>0</v>
      </c>
      <c r="C187" s="7"/>
      <c r="D187" s="7"/>
      <c r="E187" s="7"/>
    </row>
    <row r="188" spans="1:5" x14ac:dyDescent="0.25">
      <c r="A188" s="7"/>
      <c r="B188" s="7"/>
      <c r="C188" s="7"/>
      <c r="D188" s="7"/>
      <c r="E188" s="7"/>
    </row>
    <row r="189" spans="1:5" ht="13" x14ac:dyDescent="0.3">
      <c r="A189" s="10" t="s">
        <v>88</v>
      </c>
      <c r="B189" s="7">
        <f>SUM(B177,B182)-B187</f>
        <v>4961.8500000000004</v>
      </c>
      <c r="C189" s="7"/>
      <c r="D189" s="7"/>
      <c r="E189" s="7"/>
    </row>
    <row r="190" spans="1:5" x14ac:dyDescent="0.25">
      <c r="A190" s="7"/>
      <c r="B190" s="7"/>
      <c r="C190" s="7"/>
      <c r="D190" s="7"/>
      <c r="E190" s="7"/>
    </row>
    <row r="191" spans="1:5" ht="13" x14ac:dyDescent="0.3">
      <c r="A191" s="5" t="s">
        <v>89</v>
      </c>
      <c r="B191" s="7"/>
      <c r="C191" s="7"/>
      <c r="D191" s="7"/>
      <c r="E191" s="7"/>
    </row>
    <row r="192" spans="1:5" ht="13" x14ac:dyDescent="0.3">
      <c r="A192" s="8" t="s">
        <v>94</v>
      </c>
      <c r="B192" s="8" t="s">
        <v>66</v>
      </c>
      <c r="C192" s="5" t="s">
        <v>101</v>
      </c>
      <c r="D192" s="8" t="s">
        <v>67</v>
      </c>
      <c r="E192" s="7"/>
    </row>
    <row r="193" spans="1:5" x14ac:dyDescent="0.25">
      <c r="A193" s="9" t="s">
        <v>90</v>
      </c>
      <c r="B193" s="15">
        <v>15890.07</v>
      </c>
      <c r="C193" s="9"/>
      <c r="D193" s="9"/>
      <c r="E193" s="9"/>
    </row>
    <row r="194" spans="1:5" x14ac:dyDescent="0.25">
      <c r="A194" s="9" t="s">
        <v>91</v>
      </c>
      <c r="B194" s="9">
        <v>3042.55</v>
      </c>
      <c r="C194" s="9"/>
      <c r="D194" s="9"/>
      <c r="E194" s="9"/>
    </row>
    <row r="195" spans="1:5" x14ac:dyDescent="0.25">
      <c r="A195" s="9" t="s">
        <v>92</v>
      </c>
      <c r="B195" s="9">
        <v>40000</v>
      </c>
      <c r="C195" s="19"/>
      <c r="D195" s="19" t="s">
        <v>192</v>
      </c>
      <c r="E195" s="9"/>
    </row>
    <row r="196" spans="1:5" x14ac:dyDescent="0.25">
      <c r="A196" s="9" t="s">
        <v>93</v>
      </c>
      <c r="B196" s="9">
        <v>27000</v>
      </c>
      <c r="C196" s="19"/>
      <c r="D196" s="19" t="s">
        <v>195</v>
      </c>
      <c r="E196" s="9"/>
    </row>
    <row r="197" spans="1:5" x14ac:dyDescent="0.25">
      <c r="A197" s="9" t="s">
        <v>122</v>
      </c>
      <c r="B197" s="25">
        <v>226</v>
      </c>
      <c r="C197" s="25"/>
      <c r="D197" s="25" t="s">
        <v>147</v>
      </c>
      <c r="E197" s="9"/>
    </row>
    <row r="198" spans="1:5" ht="13" x14ac:dyDescent="0.3">
      <c r="A198" s="10" t="s">
        <v>70</v>
      </c>
      <c r="B198" s="7">
        <f>SUM(B193:B197)</f>
        <v>86158.62</v>
      </c>
      <c r="C198" s="7"/>
      <c r="D198" s="7"/>
      <c r="E198" s="7"/>
    </row>
    <row r="199" spans="1:5" x14ac:dyDescent="0.25">
      <c r="A199" s="7"/>
      <c r="B199" s="7"/>
      <c r="C199" s="7"/>
      <c r="D199" s="7"/>
      <c r="E199" s="7"/>
    </row>
    <row r="200" spans="1:5" ht="13" x14ac:dyDescent="0.3">
      <c r="A200" s="5" t="s">
        <v>133</v>
      </c>
      <c r="B200" s="7">
        <f xml:space="preserve"> B189-B171</f>
        <v>1511.5000000000009</v>
      </c>
      <c r="C200" s="7"/>
      <c r="D200" s="7"/>
      <c r="E200" s="7"/>
    </row>
    <row r="201" spans="1:5" ht="13" x14ac:dyDescent="0.3">
      <c r="A201" s="5" t="s">
        <v>129</v>
      </c>
      <c r="B201" s="7">
        <f>SUM(B198,B200)</f>
        <v>87670.12</v>
      </c>
      <c r="C201" s="7"/>
      <c r="D201" s="7"/>
      <c r="E201" s="7"/>
    </row>
    <row r="202" spans="1:5" ht="178" x14ac:dyDescent="0.3">
      <c r="A202" s="5" t="s">
        <v>134</v>
      </c>
      <c r="B202" s="7">
        <f>B201-B272</f>
        <v>413.19999999999709</v>
      </c>
      <c r="C202" s="7"/>
      <c r="D202" s="24" t="s">
        <v>199</v>
      </c>
      <c r="E202" s="7"/>
    </row>
    <row r="203" spans="1:5" x14ac:dyDescent="0.25">
      <c r="A203" s="69"/>
      <c r="B203" s="69"/>
      <c r="C203" s="69"/>
      <c r="D203" s="69"/>
      <c r="E203" s="69"/>
    </row>
    <row r="204" spans="1:5" x14ac:dyDescent="0.25">
      <c r="A204" s="69"/>
      <c r="B204" s="69"/>
      <c r="C204" s="69"/>
      <c r="D204" s="69"/>
      <c r="E204" s="69"/>
    </row>
    <row r="205" spans="1:5" x14ac:dyDescent="0.25">
      <c r="A205" s="69"/>
      <c r="B205" s="69"/>
      <c r="C205" s="69"/>
      <c r="D205" s="69"/>
      <c r="E205" s="69"/>
    </row>
    <row r="206" spans="1:5" ht="13" x14ac:dyDescent="0.3">
      <c r="A206" s="3" t="s">
        <v>204</v>
      </c>
      <c r="B206" s="68" t="s">
        <v>71</v>
      </c>
      <c r="C206" s="68"/>
      <c r="D206" s="68"/>
      <c r="E206" s="4"/>
    </row>
    <row r="207" spans="1:5" ht="13" x14ac:dyDescent="0.3">
      <c r="A207" s="5" t="s">
        <v>95</v>
      </c>
      <c r="B207" s="12">
        <v>41849</v>
      </c>
      <c r="C207" s="6"/>
      <c r="D207" s="6"/>
      <c r="E207" s="7"/>
    </row>
    <row r="208" spans="1:5" ht="13" x14ac:dyDescent="0.3">
      <c r="A208" s="5" t="s">
        <v>102</v>
      </c>
      <c r="B208" s="13">
        <v>0.73749999999999993</v>
      </c>
      <c r="C208" s="6"/>
      <c r="D208" s="6"/>
      <c r="E208" s="7"/>
    </row>
    <row r="209" spans="1:5" ht="13" x14ac:dyDescent="0.3">
      <c r="A209" s="5"/>
      <c r="B209" s="6"/>
      <c r="C209" s="6"/>
      <c r="D209" s="6"/>
      <c r="E209" s="7"/>
    </row>
    <row r="210" spans="1:5" ht="13" x14ac:dyDescent="0.3">
      <c r="A210" s="5" t="s">
        <v>84</v>
      </c>
      <c r="B210" s="6"/>
      <c r="C210" s="6"/>
      <c r="D210" s="6"/>
      <c r="E210" s="7"/>
    </row>
    <row r="211" spans="1:5" ht="13" x14ac:dyDescent="0.3">
      <c r="A211" s="8" t="s">
        <v>0</v>
      </c>
      <c r="B211" s="8" t="s">
        <v>66</v>
      </c>
      <c r="C211" s="8" t="s">
        <v>67</v>
      </c>
      <c r="D211" s="7"/>
      <c r="E211" s="7"/>
    </row>
    <row r="212" spans="1:5" x14ac:dyDescent="0.25">
      <c r="A212" s="9" t="s">
        <v>1</v>
      </c>
      <c r="B212" s="9">
        <v>0</v>
      </c>
      <c r="C212" s="9"/>
      <c r="D212" s="9"/>
      <c r="E212" s="9"/>
    </row>
    <row r="213" spans="1:5" x14ac:dyDescent="0.25">
      <c r="A213" s="9" t="s">
        <v>3</v>
      </c>
      <c r="B213" s="9">
        <v>0</v>
      </c>
      <c r="C213" s="9"/>
      <c r="D213" s="9"/>
      <c r="E213" s="9"/>
    </row>
    <row r="214" spans="1:5" x14ac:dyDescent="0.25">
      <c r="A214" s="9" t="s">
        <v>2</v>
      </c>
      <c r="B214" s="9">
        <v>0</v>
      </c>
      <c r="C214" s="9"/>
      <c r="D214" s="9"/>
      <c r="E214" s="9"/>
    </row>
    <row r="215" spans="1:5" x14ac:dyDescent="0.25">
      <c r="A215" s="9" t="s">
        <v>5</v>
      </c>
      <c r="B215" s="9">
        <v>0</v>
      </c>
      <c r="C215" s="9"/>
      <c r="D215" s="9"/>
      <c r="E215" s="9"/>
    </row>
    <row r="216" spans="1:5" x14ac:dyDescent="0.25">
      <c r="A216" s="9" t="s">
        <v>4</v>
      </c>
      <c r="B216" s="9">
        <v>0</v>
      </c>
      <c r="C216" s="9"/>
      <c r="D216" s="9"/>
      <c r="E216" s="9"/>
    </row>
    <row r="217" spans="1:5" x14ac:dyDescent="0.25">
      <c r="A217" s="9" t="s">
        <v>14</v>
      </c>
      <c r="B217" s="9">
        <v>0</v>
      </c>
      <c r="C217" s="9"/>
      <c r="D217" s="9"/>
      <c r="E217" s="9"/>
    </row>
    <row r="218" spans="1:5" x14ac:dyDescent="0.25">
      <c r="A218" s="9" t="s">
        <v>42</v>
      </c>
      <c r="B218" s="9">
        <v>0</v>
      </c>
      <c r="C218" s="9"/>
      <c r="D218" s="9"/>
      <c r="E218" s="9"/>
    </row>
    <row r="219" spans="1:5" x14ac:dyDescent="0.25">
      <c r="A219" s="9" t="s">
        <v>149</v>
      </c>
      <c r="B219" s="9">
        <v>0</v>
      </c>
      <c r="C219" s="9"/>
      <c r="D219" s="9"/>
      <c r="E219" s="9"/>
    </row>
    <row r="220" spans="1:5" x14ac:dyDescent="0.25">
      <c r="A220" s="9" t="s">
        <v>39</v>
      </c>
      <c r="B220" s="9">
        <v>0</v>
      </c>
      <c r="C220" s="9"/>
      <c r="D220" s="9"/>
      <c r="E220" s="9"/>
    </row>
    <row r="221" spans="1:5" ht="13" x14ac:dyDescent="0.3">
      <c r="A221" s="10" t="s">
        <v>70</v>
      </c>
      <c r="B221" s="7">
        <f>SUM(B212:B220)</f>
        <v>0</v>
      </c>
      <c r="C221" s="7"/>
      <c r="D221" s="7"/>
      <c r="E221" s="7"/>
    </row>
    <row r="222" spans="1:5" x14ac:dyDescent="0.25">
      <c r="A222" s="7"/>
      <c r="B222" s="7"/>
      <c r="C222" s="7"/>
      <c r="D222" s="7"/>
      <c r="E222" s="7"/>
    </row>
    <row r="223" spans="1:5" ht="13" x14ac:dyDescent="0.3">
      <c r="A223" s="8" t="s">
        <v>31</v>
      </c>
      <c r="B223" s="8" t="s">
        <v>66</v>
      </c>
      <c r="C223" s="8" t="s">
        <v>67</v>
      </c>
      <c r="D223" s="7"/>
      <c r="E223" s="7"/>
    </row>
    <row r="224" spans="1:5" x14ac:dyDescent="0.25">
      <c r="A224" s="9"/>
      <c r="B224" s="9"/>
      <c r="C224" s="9"/>
      <c r="D224" s="9"/>
      <c r="E224" s="9"/>
    </row>
    <row r="225" spans="1:5" x14ac:dyDescent="0.25">
      <c r="A225" s="9"/>
      <c r="B225" s="9"/>
      <c r="C225" s="9"/>
      <c r="D225" s="9"/>
      <c r="E225" s="9"/>
    </row>
    <row r="226" spans="1:5" ht="13" x14ac:dyDescent="0.3">
      <c r="A226" s="10" t="s">
        <v>70</v>
      </c>
      <c r="B226" s="7">
        <f>SUM(B224:B225)</f>
        <v>0</v>
      </c>
      <c r="C226" s="7"/>
      <c r="D226" s="7"/>
      <c r="E226" s="7"/>
    </row>
    <row r="227" spans="1:5" x14ac:dyDescent="0.25">
      <c r="A227" s="7"/>
      <c r="B227" s="7"/>
      <c r="C227" s="7"/>
      <c r="D227" s="7"/>
      <c r="E227" s="7"/>
    </row>
    <row r="228" spans="1:5" ht="13" x14ac:dyDescent="0.3">
      <c r="A228" s="8" t="s">
        <v>82</v>
      </c>
      <c r="B228" s="8" t="s">
        <v>66</v>
      </c>
      <c r="C228" s="8" t="s">
        <v>67</v>
      </c>
      <c r="D228" s="7"/>
      <c r="E228" s="7"/>
    </row>
    <row r="229" spans="1:5" ht="37.5" x14ac:dyDescent="0.25">
      <c r="A229" s="9" t="s">
        <v>150</v>
      </c>
      <c r="B229" s="9">
        <v>0</v>
      </c>
      <c r="C229" s="9"/>
      <c r="D229" s="23" t="s">
        <v>198</v>
      </c>
      <c r="E229" s="9"/>
    </row>
    <row r="230" spans="1:5" x14ac:dyDescent="0.25">
      <c r="A230" s="9"/>
      <c r="B230" s="9"/>
      <c r="C230" s="9"/>
      <c r="D230" s="9"/>
      <c r="E230" s="9"/>
    </row>
    <row r="231" spans="1:5" ht="13" x14ac:dyDescent="0.3">
      <c r="A231" s="10" t="s">
        <v>70</v>
      </c>
      <c r="B231" s="7">
        <f>SUM(B229:B230)</f>
        <v>0</v>
      </c>
      <c r="C231" s="7"/>
      <c r="D231" s="7"/>
      <c r="E231" s="7"/>
    </row>
    <row r="232" spans="1:5" x14ac:dyDescent="0.25">
      <c r="A232" s="7"/>
      <c r="B232" s="7"/>
      <c r="C232" s="7"/>
      <c r="D232" s="7"/>
      <c r="E232" s="7"/>
    </row>
    <row r="233" spans="1:5" ht="13" x14ac:dyDescent="0.3">
      <c r="A233" s="8" t="s">
        <v>85</v>
      </c>
      <c r="B233" s="8" t="s">
        <v>66</v>
      </c>
      <c r="C233" s="8" t="s">
        <v>67</v>
      </c>
      <c r="D233" s="7"/>
      <c r="E233" s="7"/>
    </row>
    <row r="234" spans="1:5" x14ac:dyDescent="0.25">
      <c r="A234" s="9" t="s">
        <v>155</v>
      </c>
      <c r="B234" s="19">
        <f>126.42+30</f>
        <v>156.42000000000002</v>
      </c>
      <c r="C234" s="19" t="s">
        <v>193</v>
      </c>
      <c r="D234" s="9"/>
      <c r="E234" s="9"/>
    </row>
    <row r="235" spans="1:5" ht="37.5" x14ac:dyDescent="0.25">
      <c r="A235" s="9" t="s">
        <v>104</v>
      </c>
      <c r="B235" s="9">
        <v>0</v>
      </c>
      <c r="C235" s="9"/>
      <c r="D235" s="23" t="s">
        <v>198</v>
      </c>
      <c r="E235" s="9"/>
    </row>
    <row r="236" spans="1:5" x14ac:dyDescent="0.25">
      <c r="A236" s="9" t="s">
        <v>137</v>
      </c>
      <c r="B236" s="9">
        <v>0</v>
      </c>
      <c r="C236" s="9"/>
      <c r="D236" s="9"/>
      <c r="E236" s="9"/>
    </row>
    <row r="237" spans="1:5" x14ac:dyDescent="0.25">
      <c r="A237" s="9" t="s">
        <v>29</v>
      </c>
      <c r="B237" s="9">
        <v>732.36</v>
      </c>
      <c r="C237" s="9"/>
      <c r="D237" s="9"/>
      <c r="E237" s="9"/>
    </row>
    <row r="238" spans="1:5" x14ac:dyDescent="0.25">
      <c r="A238" s="9" t="s">
        <v>30</v>
      </c>
      <c r="B238" s="9">
        <v>209.52</v>
      </c>
      <c r="C238" s="9"/>
      <c r="D238" s="9"/>
      <c r="E238" s="9"/>
    </row>
    <row r="239" spans="1:5" ht="13" x14ac:dyDescent="0.3">
      <c r="A239" s="10" t="s">
        <v>70</v>
      </c>
      <c r="B239" s="7">
        <f>SUM(B234:B238)</f>
        <v>1098.3</v>
      </c>
      <c r="C239" s="7"/>
      <c r="D239" s="7"/>
      <c r="E239" s="7"/>
    </row>
    <row r="240" spans="1:5" ht="13" x14ac:dyDescent="0.3">
      <c r="A240" s="10"/>
      <c r="B240" s="7"/>
      <c r="C240" s="7"/>
      <c r="D240" s="7"/>
      <c r="E240" s="7"/>
    </row>
    <row r="241" spans="1:5" ht="13" x14ac:dyDescent="0.3">
      <c r="A241" s="10" t="s">
        <v>87</v>
      </c>
      <c r="B241" s="7">
        <f>SUM(B221,B226,B231) - B239</f>
        <v>-1098.3</v>
      </c>
      <c r="C241" s="7"/>
      <c r="D241" s="7"/>
      <c r="E241" s="7"/>
    </row>
    <row r="242" spans="1:5" ht="13" x14ac:dyDescent="0.3">
      <c r="A242" s="10"/>
      <c r="B242" s="7"/>
      <c r="C242" s="7"/>
      <c r="D242" s="7"/>
      <c r="E242" s="7"/>
    </row>
    <row r="243" spans="1:5" ht="13" x14ac:dyDescent="0.3">
      <c r="A243" s="11" t="s">
        <v>73</v>
      </c>
      <c r="B243" s="7"/>
      <c r="C243" s="7"/>
      <c r="D243" s="7"/>
      <c r="E243" s="7"/>
    </row>
    <row r="244" spans="1:5" ht="13" x14ac:dyDescent="0.3">
      <c r="A244" s="8" t="s">
        <v>75</v>
      </c>
      <c r="B244" s="8" t="s">
        <v>66</v>
      </c>
      <c r="C244" s="8" t="s">
        <v>67</v>
      </c>
      <c r="D244" s="7"/>
      <c r="E244" s="7"/>
    </row>
    <row r="245" spans="1:5" x14ac:dyDescent="0.25">
      <c r="A245" s="9"/>
      <c r="B245" s="9"/>
      <c r="C245" s="9"/>
      <c r="D245" s="9"/>
      <c r="E245" s="9"/>
    </row>
    <row r="246" spans="1:5" x14ac:dyDescent="0.25">
      <c r="A246" s="9"/>
      <c r="B246" s="9"/>
      <c r="C246" s="9"/>
      <c r="D246" s="9"/>
      <c r="E246" s="9"/>
    </row>
    <row r="247" spans="1:5" ht="13" x14ac:dyDescent="0.3">
      <c r="A247" s="10" t="s">
        <v>70</v>
      </c>
      <c r="B247" s="7">
        <f>SUM(B245:B246)</f>
        <v>0</v>
      </c>
      <c r="C247" s="7"/>
      <c r="D247" s="7"/>
      <c r="E247" s="7"/>
    </row>
    <row r="248" spans="1:5" ht="13" x14ac:dyDescent="0.3">
      <c r="A248" s="11"/>
      <c r="B248" s="7"/>
      <c r="C248" s="7"/>
      <c r="D248" s="7"/>
      <c r="E248" s="7"/>
    </row>
    <row r="249" spans="1:5" ht="13" x14ac:dyDescent="0.3">
      <c r="A249" s="8" t="s">
        <v>76</v>
      </c>
      <c r="B249" s="8" t="s">
        <v>66</v>
      </c>
      <c r="C249" s="8" t="s">
        <v>67</v>
      </c>
      <c r="D249" s="7"/>
      <c r="E249" s="7"/>
    </row>
    <row r="250" spans="1:5" x14ac:dyDescent="0.25">
      <c r="A250" s="9"/>
      <c r="B250" s="9"/>
      <c r="C250" s="9"/>
      <c r="D250" s="9"/>
      <c r="E250" s="9"/>
    </row>
    <row r="251" spans="1:5" x14ac:dyDescent="0.25">
      <c r="A251" s="9"/>
      <c r="B251" s="9"/>
      <c r="C251" s="9"/>
      <c r="D251" s="9"/>
      <c r="E251" s="9"/>
    </row>
    <row r="252" spans="1:5" ht="13" x14ac:dyDescent="0.3">
      <c r="A252" s="10" t="s">
        <v>70</v>
      </c>
      <c r="B252" s="7">
        <f>SUM(B250:B251)</f>
        <v>0</v>
      </c>
      <c r="C252" s="7"/>
      <c r="D252" s="7"/>
      <c r="E252" s="7"/>
    </row>
    <row r="253" spans="1:5" x14ac:dyDescent="0.25">
      <c r="A253" s="7"/>
      <c r="B253" s="7"/>
      <c r="C253" s="7"/>
      <c r="D253" s="7"/>
      <c r="E253" s="7"/>
    </row>
    <row r="254" spans="1:5" ht="13" x14ac:dyDescent="0.3">
      <c r="A254" s="8" t="s">
        <v>86</v>
      </c>
      <c r="B254" s="8" t="s">
        <v>66</v>
      </c>
      <c r="C254" s="8" t="s">
        <v>67</v>
      </c>
      <c r="D254" s="7"/>
      <c r="E254" s="7"/>
    </row>
    <row r="255" spans="1:5" ht="37.5" x14ac:dyDescent="0.25">
      <c r="A255" s="9" t="s">
        <v>26</v>
      </c>
      <c r="B255" s="9">
        <v>0</v>
      </c>
      <c r="C255" s="20" t="s">
        <v>194</v>
      </c>
      <c r="D255" s="9"/>
      <c r="E255" s="9"/>
    </row>
    <row r="256" spans="1:5" x14ac:dyDescent="0.25">
      <c r="A256" s="9" t="s">
        <v>157</v>
      </c>
      <c r="B256" s="9">
        <v>0</v>
      </c>
      <c r="C256" s="9"/>
      <c r="D256" s="9"/>
      <c r="E256" s="9"/>
    </row>
    <row r="257" spans="1:5" x14ac:dyDescent="0.25">
      <c r="A257" s="9"/>
      <c r="B257" s="9"/>
      <c r="C257" s="9"/>
      <c r="D257" s="9"/>
      <c r="E257" s="9"/>
    </row>
    <row r="258" spans="1:5" ht="13" x14ac:dyDescent="0.3">
      <c r="A258" s="10" t="s">
        <v>70</v>
      </c>
      <c r="B258" s="7">
        <f>SUM(B255:B257)</f>
        <v>0</v>
      </c>
      <c r="C258" s="7"/>
      <c r="D258" s="7"/>
      <c r="E258" s="7"/>
    </row>
    <row r="259" spans="1:5" x14ac:dyDescent="0.25">
      <c r="A259" s="7"/>
      <c r="B259" s="7"/>
      <c r="C259" s="7"/>
      <c r="D259" s="7"/>
      <c r="E259" s="7"/>
    </row>
    <row r="260" spans="1:5" ht="13" x14ac:dyDescent="0.3">
      <c r="A260" s="10" t="s">
        <v>88</v>
      </c>
      <c r="B260" s="7">
        <f>SUM(B247,B252) - B258</f>
        <v>0</v>
      </c>
      <c r="C260" s="7"/>
      <c r="D260" s="7"/>
      <c r="E260" s="7"/>
    </row>
    <row r="261" spans="1:5" x14ac:dyDescent="0.25">
      <c r="A261" s="7"/>
      <c r="B261" s="7"/>
      <c r="C261" s="7"/>
      <c r="D261" s="7"/>
      <c r="E261" s="7"/>
    </row>
    <row r="262" spans="1:5" ht="13" x14ac:dyDescent="0.3">
      <c r="A262" s="5" t="s">
        <v>89</v>
      </c>
      <c r="B262" s="7"/>
      <c r="C262" s="7"/>
      <c r="D262" s="7"/>
      <c r="E262" s="7"/>
    </row>
    <row r="263" spans="1:5" ht="13" x14ac:dyDescent="0.3">
      <c r="A263" s="8" t="s">
        <v>94</v>
      </c>
      <c r="B263" s="8" t="s">
        <v>66</v>
      </c>
      <c r="C263" s="8" t="s">
        <v>67</v>
      </c>
      <c r="D263" s="7"/>
      <c r="E263" s="7"/>
    </row>
    <row r="264" spans="1:5" x14ac:dyDescent="0.25">
      <c r="A264" s="9" t="s">
        <v>90</v>
      </c>
      <c r="B264" s="15">
        <v>15890.07</v>
      </c>
      <c r="C264" s="9"/>
      <c r="D264" s="9"/>
      <c r="E264" s="9"/>
    </row>
    <row r="265" spans="1:5" x14ac:dyDescent="0.25">
      <c r="A265" s="9" t="s">
        <v>91</v>
      </c>
      <c r="B265" s="9">
        <v>3042.55</v>
      </c>
      <c r="C265" s="9"/>
      <c r="D265" s="9"/>
      <c r="E265" s="9"/>
    </row>
    <row r="266" spans="1:5" x14ac:dyDescent="0.25">
      <c r="A266" s="9" t="s">
        <v>92</v>
      </c>
      <c r="B266" s="9">
        <v>40000</v>
      </c>
      <c r="C266" s="19" t="s">
        <v>192</v>
      </c>
      <c r="D266" s="9"/>
      <c r="E266" s="9"/>
    </row>
    <row r="267" spans="1:5" x14ac:dyDescent="0.25">
      <c r="A267" s="9" t="s">
        <v>93</v>
      </c>
      <c r="B267" s="9">
        <v>27000</v>
      </c>
      <c r="C267" s="19" t="s">
        <v>195</v>
      </c>
      <c r="D267" s="9"/>
      <c r="E267" s="9"/>
    </row>
    <row r="268" spans="1:5" x14ac:dyDescent="0.25">
      <c r="A268" s="9" t="s">
        <v>122</v>
      </c>
      <c r="B268" s="25">
        <v>226</v>
      </c>
      <c r="C268" s="25" t="s">
        <v>147</v>
      </c>
      <c r="D268" s="9"/>
      <c r="E268" s="9"/>
    </row>
    <row r="269" spans="1:5" ht="13" x14ac:dyDescent="0.3">
      <c r="A269" s="10" t="s">
        <v>70</v>
      </c>
      <c r="B269" s="7">
        <f>SUM(B264:B268)</f>
        <v>86158.62</v>
      </c>
      <c r="C269" s="7"/>
      <c r="D269" s="7"/>
      <c r="E269" s="7"/>
    </row>
    <row r="270" spans="1:5" x14ac:dyDescent="0.25">
      <c r="A270" s="7"/>
      <c r="B270" s="7"/>
      <c r="C270" s="7"/>
      <c r="D270" s="7"/>
      <c r="E270" s="7"/>
    </row>
    <row r="271" spans="1:5" ht="13" x14ac:dyDescent="0.3">
      <c r="A271" s="5" t="s">
        <v>99</v>
      </c>
      <c r="B271" s="7">
        <f xml:space="preserve"> B260-B241</f>
        <v>1098.3</v>
      </c>
      <c r="C271" s="7"/>
      <c r="D271" s="7"/>
      <c r="E271" s="7"/>
    </row>
    <row r="272" spans="1:5" ht="63" x14ac:dyDescent="0.3">
      <c r="A272" s="5" t="s">
        <v>100</v>
      </c>
      <c r="B272" s="7">
        <f>SUM(B269,B271)</f>
        <v>87256.92</v>
      </c>
      <c r="C272" s="21" t="s">
        <v>200</v>
      </c>
      <c r="D272" s="7"/>
      <c r="E272" s="7"/>
    </row>
    <row r="273" spans="1:5" ht="13" x14ac:dyDescent="0.3">
      <c r="A273" s="5" t="s">
        <v>108</v>
      </c>
      <c r="B273" s="7">
        <v>81899.929999999993</v>
      </c>
      <c r="C273" s="7" t="s">
        <v>196</v>
      </c>
      <c r="D273" s="7"/>
      <c r="E273" s="7"/>
    </row>
    <row r="274" spans="1:5" ht="100.5" x14ac:dyDescent="0.3">
      <c r="A274" s="5" t="s">
        <v>110</v>
      </c>
      <c r="B274" s="7">
        <f xml:space="preserve"> B272 - B273</f>
        <v>5356.9900000000052</v>
      </c>
      <c r="C274" s="22" t="s">
        <v>197</v>
      </c>
      <c r="D274" s="7"/>
      <c r="E274" s="7"/>
    </row>
  </sheetData>
  <mergeCells count="4">
    <mergeCell ref="A108:E110"/>
    <mergeCell ref="B111:D111"/>
    <mergeCell ref="A203:E205"/>
    <mergeCell ref="B206:D206"/>
  </mergeCells>
  <dataValidations count="10">
    <dataValidation type="list" allowBlank="1" showInputMessage="1" showErrorMessage="1" sqref="A264:A268 A193:A197" xr:uid="{00000000-0002-0000-0800-000000000000}">
      <formula1>$A$102:$A$106</formula1>
    </dataValidation>
    <dataValidation type="list" allowBlank="1" showInputMessage="1" showErrorMessage="1" sqref="A250:A251 A180:A181" xr:uid="{00000000-0002-0000-0800-000001000000}">
      <formula1>$A$96:$A$99</formula1>
    </dataValidation>
    <dataValidation type="list" allowBlank="1" showInputMessage="1" showErrorMessage="1" sqref="A245:A246 A175:A176" xr:uid="{00000000-0002-0000-0800-000002000000}">
      <formula1>$A$92:$A$93</formula1>
    </dataValidation>
    <dataValidation type="list" allowBlank="1" showInputMessage="1" showErrorMessage="1" sqref="A234:A238 A165:A168" xr:uid="{00000000-0002-0000-0800-000003000000}">
      <formula1>$A$77:$A$84</formula1>
    </dataValidation>
    <dataValidation type="list" allowBlank="1" showInputMessage="1" showErrorMessage="1" sqref="A229:A230 A155:A161" xr:uid="{00000000-0002-0000-0800-000004000000}">
      <formula1>$A$46:$A$74</formula1>
    </dataValidation>
    <dataValidation type="list" allowBlank="1" showInputMessage="1" showErrorMessage="1" sqref="A224:A225 A148:A151" xr:uid="{00000000-0002-0000-0800-000005000000}">
      <formula1>$A$34:$A$43</formula1>
    </dataValidation>
    <dataValidation type="list" allowBlank="1" showInputMessage="1" showErrorMessage="1" sqref="A255:A257 A185:A186" xr:uid="{00000000-0002-0000-0800-000006000000}">
      <formula1>$A$87:$A$89</formula1>
    </dataValidation>
    <dataValidation type="time" operator="greaterThan" allowBlank="1" showInputMessage="1" showErrorMessage="1" sqref="B113 B208" xr:uid="{00000000-0002-0000-0800-000007000000}">
      <formula1>0</formula1>
    </dataValidation>
    <dataValidation type="date" operator="greaterThan" allowBlank="1" showInputMessage="1" showErrorMessage="1" sqref="B112 B207" xr:uid="{00000000-0002-0000-0800-000008000000}">
      <formula1>41275</formula1>
    </dataValidation>
    <dataValidation type="list" allowBlank="1" showInputMessage="1" showErrorMessage="1" sqref="A117:A144 A212:A220" xr:uid="{00000000-0002-0000-0800-000009000000}">
      <formula1>$A$3:$A$31</formula1>
    </dataValidation>
  </dataValidations>
  <pageMargins left="0.75" right="0.75" top="1" bottom="1"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75"/>
  <sheetViews>
    <sheetView topLeftCell="A134" workbookViewId="0">
      <selection activeCell="C161" sqref="C161"/>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t="s">
        <v>53</v>
      </c>
    </row>
    <row r="59" spans="1:1" x14ac:dyDescent="0.25">
      <c r="A59" t="s">
        <v>54</v>
      </c>
    </row>
    <row r="60" spans="1:1" x14ac:dyDescent="0.25">
      <c r="A60" t="s">
        <v>55</v>
      </c>
    </row>
    <row r="61" spans="1:1" x14ac:dyDescent="0.25">
      <c r="A61" t="s">
        <v>56</v>
      </c>
    </row>
    <row r="62" spans="1:1" x14ac:dyDescent="0.25">
      <c r="A62"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81</v>
      </c>
    </row>
    <row r="69" spans="1:1" x14ac:dyDescent="0.25">
      <c r="A69" t="s">
        <v>63</v>
      </c>
    </row>
    <row r="70" spans="1:1" x14ac:dyDescent="0.25">
      <c r="A70" t="s">
        <v>64</v>
      </c>
    </row>
    <row r="71" spans="1:1" x14ac:dyDescent="0.25">
      <c r="A71" s="27" t="s">
        <v>212</v>
      </c>
    </row>
    <row r="72" spans="1:1" x14ac:dyDescent="0.25">
      <c r="A72" t="s">
        <v>161</v>
      </c>
    </row>
    <row r="73" spans="1:1" x14ac:dyDescent="0.25">
      <c r="A73" t="s">
        <v>177</v>
      </c>
    </row>
    <row r="74" spans="1:1" x14ac:dyDescent="0.25">
      <c r="A74" s="27" t="s">
        <v>202</v>
      </c>
    </row>
    <row r="75" spans="1:1" x14ac:dyDescent="0.25">
      <c r="A75" t="s">
        <v>150</v>
      </c>
    </row>
    <row r="77" spans="1:1" ht="13" x14ac:dyDescent="0.3">
      <c r="A77" s="1" t="s">
        <v>85</v>
      </c>
    </row>
    <row r="78" spans="1:1" x14ac:dyDescent="0.25">
      <c r="A78" t="s">
        <v>23</v>
      </c>
    </row>
    <row r="79" spans="1:1" x14ac:dyDescent="0.25">
      <c r="A79" t="s">
        <v>24</v>
      </c>
    </row>
    <row r="80" spans="1:1" x14ac:dyDescent="0.25">
      <c r="A80" t="s">
        <v>29</v>
      </c>
    </row>
    <row r="81" spans="1:1" x14ac:dyDescent="0.25">
      <c r="A81" t="s">
        <v>137</v>
      </c>
    </row>
    <row r="82" spans="1:1" x14ac:dyDescent="0.25">
      <c r="A82" t="s">
        <v>104</v>
      </c>
    </row>
    <row r="83" spans="1:1" x14ac:dyDescent="0.25">
      <c r="A83" t="s">
        <v>155</v>
      </c>
    </row>
    <row r="84" spans="1:1" x14ac:dyDescent="0.25">
      <c r="A84" t="s">
        <v>162</v>
      </c>
    </row>
    <row r="85" spans="1:1" x14ac:dyDescent="0.25">
      <c r="A85" t="s">
        <v>30</v>
      </c>
    </row>
    <row r="87" spans="1:1" ht="13" x14ac:dyDescent="0.3">
      <c r="A87" s="1" t="s">
        <v>86</v>
      </c>
    </row>
    <row r="88" spans="1:1" x14ac:dyDescent="0.25">
      <c r="A88" s="27" t="s">
        <v>209</v>
      </c>
    </row>
    <row r="89" spans="1:1" x14ac:dyDescent="0.25">
      <c r="A89" t="s">
        <v>157</v>
      </c>
    </row>
    <row r="90" spans="1:1" x14ac:dyDescent="0.25">
      <c r="A90" t="s">
        <v>72</v>
      </c>
    </row>
    <row r="92" spans="1:1" ht="13" x14ac:dyDescent="0.3">
      <c r="A92" s="1" t="s">
        <v>75</v>
      </c>
    </row>
    <row r="93" spans="1:1" x14ac:dyDescent="0.25">
      <c r="A93" t="s">
        <v>74</v>
      </c>
    </row>
    <row r="94" spans="1:1" x14ac:dyDescent="0.25">
      <c r="A94" t="s">
        <v>83</v>
      </c>
    </row>
    <row r="96" spans="1:1" ht="13" x14ac:dyDescent="0.3">
      <c r="A96" s="1" t="s">
        <v>76</v>
      </c>
    </row>
    <row r="97" spans="1:5" x14ac:dyDescent="0.25">
      <c r="A97" t="s">
        <v>77</v>
      </c>
    </row>
    <row r="98" spans="1:5" x14ac:dyDescent="0.25">
      <c r="A98" t="s">
        <v>78</v>
      </c>
    </row>
    <row r="99" spans="1:5" x14ac:dyDescent="0.25">
      <c r="A99" t="s">
        <v>79</v>
      </c>
    </row>
    <row r="100" spans="1:5" x14ac:dyDescent="0.25">
      <c r="A100" t="s">
        <v>80</v>
      </c>
    </row>
    <row r="102" spans="1:5" ht="13" x14ac:dyDescent="0.3">
      <c r="A102" s="1" t="s">
        <v>89</v>
      </c>
    </row>
    <row r="103" spans="1:5" x14ac:dyDescent="0.25">
      <c r="A103" t="s">
        <v>90</v>
      </c>
    </row>
    <row r="104" spans="1:5" x14ac:dyDescent="0.25">
      <c r="A104" t="s">
        <v>91</v>
      </c>
    </row>
    <row r="105" spans="1:5" x14ac:dyDescent="0.25">
      <c r="A105" t="s">
        <v>92</v>
      </c>
    </row>
    <row r="106" spans="1:5" x14ac:dyDescent="0.25">
      <c r="A106" t="s">
        <v>122</v>
      </c>
    </row>
    <row r="107" spans="1:5" x14ac:dyDescent="0.25">
      <c r="A107" t="s">
        <v>93</v>
      </c>
    </row>
    <row r="109" spans="1:5" x14ac:dyDescent="0.25">
      <c r="A109" s="66"/>
      <c r="B109" s="66"/>
      <c r="C109" s="66"/>
      <c r="D109" s="66"/>
      <c r="E109" s="66"/>
    </row>
    <row r="110" spans="1:5" x14ac:dyDescent="0.25">
      <c r="A110" s="66"/>
      <c r="B110" s="66"/>
      <c r="C110" s="66"/>
      <c r="D110" s="66"/>
      <c r="E110" s="66"/>
    </row>
    <row r="111" spans="1:5" x14ac:dyDescent="0.25">
      <c r="A111" s="67"/>
      <c r="B111" s="67"/>
      <c r="C111" s="67"/>
      <c r="D111" s="67"/>
      <c r="E111" s="67"/>
    </row>
    <row r="112" spans="1:5" ht="13" x14ac:dyDescent="0.3">
      <c r="A112" s="3" t="s">
        <v>172</v>
      </c>
      <c r="B112" s="68" t="s">
        <v>71</v>
      </c>
      <c r="C112" s="68"/>
      <c r="D112" s="68"/>
      <c r="E112" s="4"/>
    </row>
    <row r="113" spans="1:6" ht="13" x14ac:dyDescent="0.3">
      <c r="A113" s="5" t="s">
        <v>95</v>
      </c>
      <c r="B113" s="12">
        <v>41970</v>
      </c>
      <c r="C113" s="6"/>
      <c r="D113" s="6"/>
      <c r="E113" s="7"/>
    </row>
    <row r="114" spans="1:6" ht="13" x14ac:dyDescent="0.3">
      <c r="A114" s="5" t="s">
        <v>102</v>
      </c>
      <c r="B114" s="13">
        <v>0.86736111111111114</v>
      </c>
      <c r="C114" s="6"/>
      <c r="D114" s="6"/>
      <c r="E114" s="7"/>
    </row>
    <row r="115" spans="1:6" ht="13" x14ac:dyDescent="0.3">
      <c r="A115" s="5"/>
      <c r="B115" s="6"/>
      <c r="C115" s="6"/>
      <c r="D115" s="6"/>
      <c r="E115" s="7"/>
    </row>
    <row r="116" spans="1:6" ht="13" x14ac:dyDescent="0.3">
      <c r="A116" s="5" t="s">
        <v>84</v>
      </c>
      <c r="B116" s="6"/>
      <c r="C116" s="6"/>
      <c r="D116" s="6"/>
      <c r="E116" s="7"/>
    </row>
    <row r="117" spans="1:6" ht="13" x14ac:dyDescent="0.3">
      <c r="A117" s="8" t="s">
        <v>0</v>
      </c>
      <c r="B117" s="8" t="s">
        <v>66</v>
      </c>
      <c r="C117" s="5" t="s">
        <v>101</v>
      </c>
      <c r="D117" s="8" t="s">
        <v>67</v>
      </c>
      <c r="E117" s="7"/>
    </row>
    <row r="118" spans="1:6" x14ac:dyDescent="0.25">
      <c r="A118" s="9" t="s">
        <v>1</v>
      </c>
      <c r="B118" s="9">
        <v>1850</v>
      </c>
      <c r="C118" s="9"/>
      <c r="D118" s="17"/>
      <c r="E118" s="9"/>
      <c r="F118" s="2"/>
    </row>
    <row r="119" spans="1:6" x14ac:dyDescent="0.25">
      <c r="A119" s="9" t="s">
        <v>3</v>
      </c>
      <c r="B119" s="9">
        <v>990.57</v>
      </c>
      <c r="C119" s="9"/>
      <c r="D119" s="17"/>
      <c r="E119" s="9"/>
      <c r="F119" s="2"/>
    </row>
    <row r="120" spans="1:6" x14ac:dyDescent="0.25">
      <c r="A120" s="9" t="s">
        <v>4</v>
      </c>
      <c r="B120" s="9">
        <v>129</v>
      </c>
      <c r="C120" s="9"/>
      <c r="D120" s="17"/>
      <c r="E120" s="9"/>
      <c r="F120" s="2"/>
    </row>
    <row r="121" spans="1:6" x14ac:dyDescent="0.25">
      <c r="A121" s="9" t="s">
        <v>5</v>
      </c>
      <c r="B121" s="9">
        <v>480</v>
      </c>
      <c r="C121" s="9"/>
      <c r="D121" s="17"/>
      <c r="E121" s="9"/>
      <c r="F121" s="2"/>
    </row>
    <row r="122" spans="1:6" x14ac:dyDescent="0.25">
      <c r="A122" s="9" t="s">
        <v>16</v>
      </c>
      <c r="B122" s="9">
        <v>0</v>
      </c>
      <c r="C122" s="9"/>
      <c r="D122" s="9"/>
      <c r="E122" s="9"/>
      <c r="F122" s="2"/>
    </row>
    <row r="123" spans="1:6" x14ac:dyDescent="0.25">
      <c r="A123" s="9" t="s">
        <v>6</v>
      </c>
      <c r="B123" s="9">
        <v>10</v>
      </c>
      <c r="C123" s="9"/>
      <c r="D123" s="9"/>
      <c r="E123" s="9"/>
      <c r="F123" s="2"/>
    </row>
    <row r="124" spans="1:6" x14ac:dyDescent="0.25">
      <c r="A124" s="9" t="s">
        <v>7</v>
      </c>
      <c r="B124" s="9">
        <v>120</v>
      </c>
      <c r="C124" s="9"/>
      <c r="D124" s="9"/>
      <c r="E124" s="9"/>
      <c r="F124" s="2"/>
    </row>
    <row r="125" spans="1:6" x14ac:dyDescent="0.25">
      <c r="A125" s="9" t="s">
        <v>8</v>
      </c>
      <c r="B125" s="9">
        <v>402</v>
      </c>
      <c r="C125" s="9"/>
      <c r="D125" s="9"/>
      <c r="E125" s="9"/>
      <c r="F125" s="2"/>
    </row>
    <row r="126" spans="1:6" x14ac:dyDescent="0.25">
      <c r="A126" s="9" t="s">
        <v>10</v>
      </c>
      <c r="B126" s="9">
        <v>100</v>
      </c>
      <c r="C126" s="9"/>
      <c r="D126" s="9"/>
      <c r="E126" s="9"/>
      <c r="F126" s="2"/>
    </row>
    <row r="127" spans="1:6" x14ac:dyDescent="0.25">
      <c r="A127" s="9" t="s">
        <v>11</v>
      </c>
      <c r="B127" s="9">
        <v>61</v>
      </c>
      <c r="C127" s="9"/>
      <c r="D127" s="9"/>
      <c r="E127" s="9"/>
      <c r="F127" s="2"/>
    </row>
    <row r="128" spans="1:6" x14ac:dyDescent="0.25">
      <c r="A128" s="9" t="s">
        <v>12</v>
      </c>
      <c r="B128" s="9">
        <v>20</v>
      </c>
      <c r="C128" s="9"/>
      <c r="D128" s="9"/>
      <c r="E128" s="9"/>
      <c r="F128" s="2"/>
    </row>
    <row r="129" spans="1:6" x14ac:dyDescent="0.25">
      <c r="A129" s="9" t="s">
        <v>13</v>
      </c>
      <c r="B129" s="9">
        <v>110</v>
      </c>
      <c r="C129" s="9"/>
      <c r="D129" s="9"/>
      <c r="E129" s="9"/>
      <c r="F129" s="2"/>
    </row>
    <row r="130" spans="1:6" x14ac:dyDescent="0.25">
      <c r="A130" s="9" t="s">
        <v>17</v>
      </c>
      <c r="B130" s="9">
        <v>0</v>
      </c>
      <c r="C130" s="9"/>
      <c r="D130" s="9"/>
      <c r="E130" s="9"/>
      <c r="F130" s="2"/>
    </row>
    <row r="131" spans="1:6" x14ac:dyDescent="0.25">
      <c r="A131" s="9" t="s">
        <v>22</v>
      </c>
      <c r="B131" s="9">
        <v>0</v>
      </c>
      <c r="C131" s="9"/>
      <c r="D131" s="9"/>
      <c r="E131" s="9"/>
      <c r="F131" s="2"/>
    </row>
    <row r="132" spans="1:6" x14ac:dyDescent="0.25">
      <c r="A132" s="9" t="s">
        <v>14</v>
      </c>
      <c r="B132" s="9">
        <v>868</v>
      </c>
      <c r="C132" s="9"/>
      <c r="D132" s="9"/>
      <c r="E132" s="9"/>
      <c r="F132" s="2"/>
    </row>
    <row r="133" spans="1:6" x14ac:dyDescent="0.25">
      <c r="A133" s="9" t="s">
        <v>15</v>
      </c>
      <c r="B133" s="9">
        <v>0</v>
      </c>
      <c r="C133" s="9"/>
      <c r="D133" s="17"/>
      <c r="E133" s="9"/>
      <c r="F133" s="2"/>
    </row>
    <row r="134" spans="1:6" x14ac:dyDescent="0.25">
      <c r="A134" s="9" t="s">
        <v>9</v>
      </c>
      <c r="B134" s="9">
        <v>600</v>
      </c>
      <c r="C134" s="9"/>
      <c r="D134" s="9"/>
      <c r="E134" s="9"/>
      <c r="F134" s="2"/>
    </row>
    <row r="135" spans="1:6" x14ac:dyDescent="0.25">
      <c r="A135" s="9" t="s">
        <v>28</v>
      </c>
      <c r="B135" s="9">
        <v>0</v>
      </c>
      <c r="C135" s="9"/>
      <c r="D135" s="17"/>
      <c r="E135" s="9"/>
      <c r="F135" s="2"/>
    </row>
    <row r="136" spans="1:6" x14ac:dyDescent="0.25">
      <c r="A136" s="9" t="s">
        <v>153</v>
      </c>
      <c r="B136" s="9">
        <v>0</v>
      </c>
      <c r="C136" s="9"/>
      <c r="D136" s="17"/>
      <c r="E136" s="9"/>
      <c r="F136" s="2"/>
    </row>
    <row r="137" spans="1:6" x14ac:dyDescent="0.25">
      <c r="A137" s="9" t="s">
        <v>32</v>
      </c>
      <c r="B137" s="9">
        <v>0</v>
      </c>
      <c r="C137" s="9"/>
      <c r="D137" s="9"/>
      <c r="E137" s="9"/>
      <c r="F137" s="2"/>
    </row>
    <row r="138" spans="1:6" x14ac:dyDescent="0.25">
      <c r="A138" s="9" t="s">
        <v>33</v>
      </c>
      <c r="B138" s="9">
        <v>0</v>
      </c>
      <c r="C138" s="9"/>
      <c r="D138" s="9"/>
      <c r="E138" s="9"/>
      <c r="F138" s="2"/>
    </row>
    <row r="139" spans="1:6" x14ac:dyDescent="0.25">
      <c r="A139" s="9" t="s">
        <v>34</v>
      </c>
      <c r="B139" s="9">
        <v>70</v>
      </c>
      <c r="C139" s="9"/>
      <c r="D139" s="9"/>
      <c r="E139" s="9"/>
      <c r="F139" s="2"/>
    </row>
    <row r="140" spans="1:6" x14ac:dyDescent="0.25">
      <c r="A140" s="9" t="s">
        <v>35</v>
      </c>
      <c r="B140" s="9">
        <v>0</v>
      </c>
      <c r="C140" s="9"/>
      <c r="D140" s="9"/>
      <c r="E140" s="9"/>
      <c r="F140" s="2"/>
    </row>
    <row r="141" spans="1:6" x14ac:dyDescent="0.25">
      <c r="A141" s="9" t="s">
        <v>39</v>
      </c>
      <c r="B141" s="9">
        <v>100</v>
      </c>
      <c r="C141" s="9"/>
      <c r="D141" s="9" t="s">
        <v>146</v>
      </c>
      <c r="E141" s="9"/>
      <c r="F141" s="2"/>
    </row>
    <row r="142" spans="1:6" x14ac:dyDescent="0.25">
      <c r="A142" s="9" t="s">
        <v>42</v>
      </c>
      <c r="B142" s="9">
        <v>50</v>
      </c>
      <c r="C142" s="9"/>
      <c r="D142" s="9"/>
      <c r="E142" s="9"/>
      <c r="F142" s="2"/>
    </row>
    <row r="143" spans="1:6" x14ac:dyDescent="0.25">
      <c r="A143" s="9" t="s">
        <v>49</v>
      </c>
      <c r="B143" s="9">
        <v>50</v>
      </c>
      <c r="C143" s="9"/>
      <c r="D143" s="9"/>
      <c r="E143" s="9"/>
      <c r="F143" s="2"/>
    </row>
    <row r="144" spans="1:6" x14ac:dyDescent="0.25">
      <c r="A144" s="9" t="s">
        <v>151</v>
      </c>
      <c r="B144" s="9">
        <v>0</v>
      </c>
      <c r="C144" s="9"/>
      <c r="D144" s="9"/>
      <c r="E144" s="9"/>
      <c r="F144" s="2"/>
    </row>
    <row r="145" spans="1:6" x14ac:dyDescent="0.25">
      <c r="A145" s="9" t="s">
        <v>149</v>
      </c>
      <c r="B145" s="9">
        <v>155</v>
      </c>
      <c r="C145" s="9"/>
      <c r="D145" s="9"/>
      <c r="E145" s="9"/>
      <c r="F145" s="2"/>
    </row>
    <row r="146" spans="1:6" ht="38" x14ac:dyDescent="0.3">
      <c r="A146" s="10" t="s">
        <v>70</v>
      </c>
      <c r="B146" s="7">
        <f>SUM(B118:B145)</f>
        <v>6165.57</v>
      </c>
      <c r="C146" s="7"/>
      <c r="D146" s="22" t="s">
        <v>179</v>
      </c>
      <c r="E146" s="7"/>
    </row>
    <row r="147" spans="1:6" x14ac:dyDescent="0.25">
      <c r="A147" s="7"/>
      <c r="B147" s="7"/>
      <c r="C147" s="7"/>
      <c r="D147" s="7"/>
      <c r="E147" s="7"/>
    </row>
    <row r="148" spans="1:6" ht="13" x14ac:dyDescent="0.3">
      <c r="A148" s="8" t="s">
        <v>31</v>
      </c>
      <c r="B148" s="8" t="s">
        <v>66</v>
      </c>
      <c r="C148" s="5" t="s">
        <v>101</v>
      </c>
      <c r="D148" s="8" t="s">
        <v>67</v>
      </c>
      <c r="E148" s="7"/>
    </row>
    <row r="149" spans="1:6" x14ac:dyDescent="0.25">
      <c r="A149" s="9" t="s">
        <v>18</v>
      </c>
      <c r="B149" s="9">
        <v>0</v>
      </c>
      <c r="C149" s="9"/>
      <c r="D149" s="9"/>
      <c r="E149" s="9"/>
    </row>
    <row r="150" spans="1:6" x14ac:dyDescent="0.25">
      <c r="A150" s="9" t="s">
        <v>173</v>
      </c>
      <c r="B150" s="9">
        <v>0</v>
      </c>
      <c r="C150" s="9"/>
      <c r="D150" s="9"/>
      <c r="E150" s="9"/>
    </row>
    <row r="151" spans="1:6" x14ac:dyDescent="0.25">
      <c r="A151" s="9" t="s">
        <v>175</v>
      </c>
      <c r="B151" s="9">
        <v>0</v>
      </c>
      <c r="C151" s="9"/>
      <c r="D151" s="9"/>
      <c r="E151" s="9"/>
    </row>
    <row r="152" spans="1:6" x14ac:dyDescent="0.25">
      <c r="A152" s="9" t="s">
        <v>189</v>
      </c>
      <c r="B152" s="9">
        <v>0</v>
      </c>
      <c r="C152" s="9"/>
      <c r="D152" s="26" t="s">
        <v>201</v>
      </c>
      <c r="E152" s="9"/>
    </row>
    <row r="153" spans="1:6" ht="13" x14ac:dyDescent="0.3">
      <c r="A153" s="10" t="s">
        <v>70</v>
      </c>
      <c r="B153" s="7">
        <f>SUM(B149:B152)</f>
        <v>0</v>
      </c>
      <c r="C153" s="7"/>
      <c r="D153" s="7"/>
      <c r="E153" s="7"/>
    </row>
    <row r="154" spans="1:6" x14ac:dyDescent="0.25">
      <c r="A154" s="7"/>
      <c r="B154" s="7"/>
      <c r="C154" s="7"/>
      <c r="D154" s="7"/>
      <c r="E154" s="7"/>
    </row>
    <row r="155" spans="1:6" ht="13" x14ac:dyDescent="0.3">
      <c r="A155" s="8" t="s">
        <v>82</v>
      </c>
      <c r="B155" s="8" t="s">
        <v>66</v>
      </c>
      <c r="C155" s="5" t="s">
        <v>101</v>
      </c>
      <c r="D155" s="8" t="s">
        <v>67</v>
      </c>
      <c r="E155" s="7"/>
    </row>
    <row r="156" spans="1:6" ht="37.5" x14ac:dyDescent="0.25">
      <c r="A156" s="9" t="s">
        <v>150</v>
      </c>
      <c r="B156" s="9">
        <v>0</v>
      </c>
      <c r="C156" s="9"/>
      <c r="D156" s="23" t="s">
        <v>198</v>
      </c>
      <c r="E156" s="9"/>
    </row>
    <row r="157" spans="1:6" x14ac:dyDescent="0.25">
      <c r="A157" s="9" t="s">
        <v>160</v>
      </c>
      <c r="B157" s="9">
        <v>0</v>
      </c>
      <c r="C157" s="9"/>
      <c r="D157" s="17"/>
      <c r="E157" s="9"/>
    </row>
    <row r="158" spans="1:6" x14ac:dyDescent="0.25">
      <c r="A158" s="9" t="s">
        <v>161</v>
      </c>
      <c r="B158" s="9">
        <v>0</v>
      </c>
      <c r="C158" s="9"/>
      <c r="D158" s="17"/>
      <c r="E158" s="9"/>
    </row>
    <row r="159" spans="1:6" x14ac:dyDescent="0.25">
      <c r="A159" s="9" t="s">
        <v>212</v>
      </c>
      <c r="B159" s="9">
        <v>175</v>
      </c>
      <c r="C159" s="9"/>
      <c r="D159" s="23" t="s">
        <v>213</v>
      </c>
      <c r="E159" s="9"/>
    </row>
    <row r="160" spans="1:6" x14ac:dyDescent="0.25">
      <c r="A160" s="9" t="s">
        <v>202</v>
      </c>
      <c r="B160" s="9">
        <v>0</v>
      </c>
      <c r="C160" s="9"/>
      <c r="D160" s="23" t="s">
        <v>203</v>
      </c>
      <c r="E160" s="9"/>
    </row>
    <row r="161" spans="1:5" x14ac:dyDescent="0.25">
      <c r="A161" s="9" t="s">
        <v>47</v>
      </c>
      <c r="B161" s="9">
        <v>35</v>
      </c>
      <c r="C161" s="9"/>
      <c r="D161" s="17"/>
      <c r="E161" s="9"/>
    </row>
    <row r="162" spans="1:5" x14ac:dyDescent="0.25">
      <c r="A162" s="9" t="s">
        <v>177</v>
      </c>
      <c r="B162" s="9">
        <v>700</v>
      </c>
      <c r="C162" s="9"/>
      <c r="D162" s="23" t="s">
        <v>216</v>
      </c>
      <c r="E162" s="9"/>
    </row>
    <row r="163" spans="1:5" ht="13" x14ac:dyDescent="0.3">
      <c r="A163" s="10" t="s">
        <v>70</v>
      </c>
      <c r="B163" s="7">
        <f>SUM(B156:B162)</f>
        <v>910</v>
      </c>
      <c r="C163" s="7"/>
      <c r="D163" s="7"/>
      <c r="E163" s="7"/>
    </row>
    <row r="164" spans="1:5" x14ac:dyDescent="0.25">
      <c r="A164" s="7"/>
      <c r="B164" s="7"/>
      <c r="C164" s="7"/>
      <c r="D164" s="7"/>
      <c r="E164" s="7"/>
    </row>
    <row r="165" spans="1:5" ht="13" x14ac:dyDescent="0.3">
      <c r="A165" s="8" t="s">
        <v>85</v>
      </c>
      <c r="B165" s="8" t="s">
        <v>66</v>
      </c>
      <c r="C165" s="5" t="s">
        <v>101</v>
      </c>
      <c r="D165" s="8" t="s">
        <v>214</v>
      </c>
      <c r="E165" s="7"/>
    </row>
    <row r="166" spans="1:5" ht="25" x14ac:dyDescent="0.25">
      <c r="A166" s="9" t="s">
        <v>104</v>
      </c>
      <c r="B166" s="9">
        <v>373.78</v>
      </c>
      <c r="C166" s="9"/>
      <c r="D166" s="23" t="s">
        <v>215</v>
      </c>
      <c r="E166" s="9"/>
    </row>
    <row r="167" spans="1:5" x14ac:dyDescent="0.25">
      <c r="A167" s="9" t="s">
        <v>162</v>
      </c>
      <c r="B167" s="9">
        <v>0</v>
      </c>
      <c r="C167" s="9"/>
      <c r="D167" s="17"/>
      <c r="E167" s="9"/>
    </row>
    <row r="168" spans="1:5" x14ac:dyDescent="0.25">
      <c r="A168" s="9" t="s">
        <v>29</v>
      </c>
      <c r="B168" s="9">
        <v>1255.3599999999999</v>
      </c>
      <c r="C168" s="9"/>
      <c r="D168" s="17"/>
      <c r="E168" s="9"/>
    </row>
    <row r="169" spans="1:5" x14ac:dyDescent="0.25">
      <c r="A169" s="9" t="s">
        <v>30</v>
      </c>
      <c r="B169" s="9">
        <v>200</v>
      </c>
      <c r="C169" s="9"/>
      <c r="D169" s="9"/>
      <c r="E169" s="9"/>
    </row>
    <row r="170" spans="1:5" ht="13" x14ac:dyDescent="0.3">
      <c r="A170" s="10" t="s">
        <v>70</v>
      </c>
      <c r="B170" s="7">
        <f>SUM(B166:B169)</f>
        <v>1829.1399999999999</v>
      </c>
      <c r="C170" s="7"/>
      <c r="D170" s="7"/>
      <c r="E170" s="7"/>
    </row>
    <row r="171" spans="1:5" ht="13" x14ac:dyDescent="0.3">
      <c r="A171" s="10"/>
      <c r="B171" s="7"/>
      <c r="C171" s="7"/>
      <c r="D171" s="7"/>
      <c r="E171" s="7"/>
    </row>
    <row r="172" spans="1:5" ht="13" x14ac:dyDescent="0.3">
      <c r="A172" s="10" t="s">
        <v>87</v>
      </c>
      <c r="B172" s="7">
        <f>SUM(B146,B153,B163)-B170</f>
        <v>5246.43</v>
      </c>
      <c r="C172" s="7"/>
      <c r="D172" s="7"/>
      <c r="E172" s="7"/>
    </row>
    <row r="173" spans="1:5" ht="13" x14ac:dyDescent="0.3">
      <c r="A173" s="10"/>
      <c r="B173" s="7"/>
      <c r="C173" s="7"/>
      <c r="D173" s="7"/>
      <c r="E173" s="7"/>
    </row>
    <row r="174" spans="1:5" ht="13" x14ac:dyDescent="0.3">
      <c r="A174" s="11" t="s">
        <v>73</v>
      </c>
      <c r="B174" s="7"/>
      <c r="C174" s="7"/>
      <c r="D174" s="7"/>
      <c r="E174" s="7"/>
    </row>
    <row r="175" spans="1:5" ht="13" x14ac:dyDescent="0.3">
      <c r="A175" s="8" t="s">
        <v>75</v>
      </c>
      <c r="B175" s="8" t="s">
        <v>66</v>
      </c>
      <c r="C175" s="5" t="s">
        <v>101</v>
      </c>
      <c r="D175" s="8" t="s">
        <v>67</v>
      </c>
      <c r="E175" s="7"/>
    </row>
    <row r="176" spans="1:5" x14ac:dyDescent="0.25">
      <c r="A176" s="9" t="s">
        <v>74</v>
      </c>
      <c r="B176" s="9">
        <v>0</v>
      </c>
      <c r="C176" s="9"/>
      <c r="D176" s="9"/>
      <c r="E176" s="9"/>
    </row>
    <row r="177" spans="1:5" x14ac:dyDescent="0.25">
      <c r="A177" s="9"/>
      <c r="B177" s="9"/>
      <c r="C177" s="9"/>
      <c r="D177" s="9"/>
      <c r="E177" s="9"/>
    </row>
    <row r="178" spans="1:5" ht="13" x14ac:dyDescent="0.3">
      <c r="A178" s="10" t="s">
        <v>70</v>
      </c>
      <c r="B178" s="7">
        <f>SUM(B176:B177)</f>
        <v>0</v>
      </c>
      <c r="C178" s="7"/>
      <c r="D178" s="7"/>
      <c r="E178" s="7"/>
    </row>
    <row r="179" spans="1:5" ht="13" x14ac:dyDescent="0.3">
      <c r="A179" s="11"/>
      <c r="B179" s="7"/>
      <c r="C179" s="7"/>
      <c r="D179" s="7"/>
      <c r="E179" s="7"/>
    </row>
    <row r="180" spans="1:5" ht="13" x14ac:dyDescent="0.3">
      <c r="A180" s="8" t="s">
        <v>76</v>
      </c>
      <c r="B180" s="8" t="s">
        <v>66</v>
      </c>
      <c r="C180" s="5" t="s">
        <v>101</v>
      </c>
      <c r="D180" s="8" t="s">
        <v>67</v>
      </c>
      <c r="E180" s="7"/>
    </row>
    <row r="181" spans="1:5" x14ac:dyDescent="0.25">
      <c r="A181" s="9"/>
      <c r="B181" s="9"/>
      <c r="C181" s="9"/>
      <c r="D181" s="9"/>
      <c r="E181" s="9"/>
    </row>
    <row r="182" spans="1:5" x14ac:dyDescent="0.25">
      <c r="A182" s="9"/>
      <c r="B182" s="9"/>
      <c r="C182" s="9"/>
      <c r="D182" s="9"/>
      <c r="E182" s="9"/>
    </row>
    <row r="183" spans="1:5" ht="13" x14ac:dyDescent="0.3">
      <c r="A183" s="10" t="s">
        <v>70</v>
      </c>
      <c r="B183" s="7">
        <f>SUM(B181:B182)</f>
        <v>0</v>
      </c>
      <c r="C183" s="7"/>
      <c r="D183" s="7"/>
      <c r="E183" s="7"/>
    </row>
    <row r="184" spans="1:5" x14ac:dyDescent="0.25">
      <c r="A184" s="7"/>
      <c r="B184" s="7"/>
      <c r="C184" s="7"/>
      <c r="D184" s="7"/>
      <c r="E184" s="7"/>
    </row>
    <row r="185" spans="1:5" ht="13" x14ac:dyDescent="0.3">
      <c r="A185" s="8" t="s">
        <v>86</v>
      </c>
      <c r="B185" s="8" t="s">
        <v>66</v>
      </c>
      <c r="C185" s="5" t="s">
        <v>101</v>
      </c>
      <c r="D185" s="8" t="s">
        <v>67</v>
      </c>
      <c r="E185" s="7"/>
    </row>
    <row r="186" spans="1:5" ht="62.5" x14ac:dyDescent="0.25">
      <c r="A186" s="9" t="s">
        <v>26</v>
      </c>
      <c r="B186" s="9">
        <v>0</v>
      </c>
      <c r="C186" s="9"/>
      <c r="D186" s="23" t="s">
        <v>208</v>
      </c>
      <c r="E186" s="9"/>
    </row>
    <row r="187" spans="1:5" x14ac:dyDescent="0.25">
      <c r="A187" s="9"/>
      <c r="B187" s="9"/>
      <c r="C187" s="9"/>
      <c r="D187" s="9"/>
      <c r="E187" s="9"/>
    </row>
    <row r="188" spans="1:5" ht="13" x14ac:dyDescent="0.3">
      <c r="A188" s="10" t="s">
        <v>70</v>
      </c>
      <c r="B188" s="7">
        <f>SUM(B186:B187)</f>
        <v>0</v>
      </c>
      <c r="C188" s="7"/>
      <c r="D188" s="7"/>
      <c r="E188" s="7"/>
    </row>
    <row r="189" spans="1:5" x14ac:dyDescent="0.25">
      <c r="A189" s="7"/>
      <c r="B189" s="7"/>
      <c r="C189" s="7"/>
      <c r="D189" s="7"/>
      <c r="E189" s="7"/>
    </row>
    <row r="190" spans="1:5" ht="13" x14ac:dyDescent="0.3">
      <c r="A190" s="10" t="s">
        <v>88</v>
      </c>
      <c r="B190" s="7">
        <f>SUM(B178,B183)-B188</f>
        <v>0</v>
      </c>
      <c r="C190" s="7"/>
      <c r="D190" s="7"/>
      <c r="E190" s="7"/>
    </row>
    <row r="191" spans="1:5" x14ac:dyDescent="0.25">
      <c r="A191" s="7"/>
      <c r="B191" s="7"/>
      <c r="C191" s="7"/>
      <c r="D191" s="7"/>
      <c r="E191" s="7"/>
    </row>
    <row r="192" spans="1:5" ht="13" x14ac:dyDescent="0.3">
      <c r="A192" s="5" t="s">
        <v>89</v>
      </c>
      <c r="B192" s="7"/>
      <c r="C192" s="7"/>
      <c r="D192" s="7"/>
      <c r="E192" s="7"/>
    </row>
    <row r="193" spans="1:5" ht="13" x14ac:dyDescent="0.3">
      <c r="A193" s="8" t="s">
        <v>94</v>
      </c>
      <c r="B193" s="8" t="s">
        <v>66</v>
      </c>
      <c r="C193" s="5" t="s">
        <v>101</v>
      </c>
      <c r="D193" s="8" t="s">
        <v>67</v>
      </c>
      <c r="E193" s="7"/>
    </row>
    <row r="194" spans="1:5" x14ac:dyDescent="0.25">
      <c r="A194" s="9" t="s">
        <v>90</v>
      </c>
      <c r="B194" s="15">
        <v>27218.61</v>
      </c>
      <c r="C194" s="9"/>
      <c r="D194" s="9"/>
      <c r="E194" s="9"/>
    </row>
    <row r="195" spans="1:5" x14ac:dyDescent="0.25">
      <c r="A195" s="9" t="s">
        <v>91</v>
      </c>
      <c r="B195" s="9">
        <v>-882.5</v>
      </c>
      <c r="C195" s="9"/>
      <c r="D195" s="9"/>
      <c r="E195" s="9"/>
    </row>
    <row r="196" spans="1:5" x14ac:dyDescent="0.25">
      <c r="A196" s="9" t="s">
        <v>92</v>
      </c>
      <c r="B196" s="9">
        <v>40000</v>
      </c>
      <c r="C196" s="19"/>
      <c r="D196" s="28" t="s">
        <v>206</v>
      </c>
      <c r="E196" s="9"/>
    </row>
    <row r="197" spans="1:5" x14ac:dyDescent="0.25">
      <c r="A197" s="9" t="s">
        <v>93</v>
      </c>
      <c r="B197" s="9">
        <v>27000</v>
      </c>
      <c r="C197" s="19"/>
      <c r="D197" s="28" t="s">
        <v>207</v>
      </c>
      <c r="E197" s="9"/>
    </row>
    <row r="198" spans="1:5" x14ac:dyDescent="0.25">
      <c r="A198" s="9" t="s">
        <v>122</v>
      </c>
      <c r="B198" s="28">
        <v>0</v>
      </c>
      <c r="C198" s="25"/>
      <c r="D198" s="25"/>
      <c r="E198" s="9"/>
    </row>
    <row r="199" spans="1:5" ht="13" x14ac:dyDescent="0.3">
      <c r="A199" s="10" t="s">
        <v>70</v>
      </c>
      <c r="B199" s="7">
        <f>SUM(B194:B198)</f>
        <v>93336.11</v>
      </c>
      <c r="C199" s="7"/>
      <c r="D199" s="7"/>
      <c r="E199" s="7"/>
    </row>
    <row r="200" spans="1:5" x14ac:dyDescent="0.25">
      <c r="A200" s="7"/>
      <c r="B200" s="7"/>
      <c r="C200" s="7"/>
      <c r="D200" s="7"/>
      <c r="E200" s="7"/>
    </row>
    <row r="201" spans="1:5" ht="13" x14ac:dyDescent="0.3">
      <c r="A201" s="5" t="s">
        <v>133</v>
      </c>
      <c r="B201" s="7">
        <f xml:space="preserve"> B190-B172</f>
        <v>-5246.43</v>
      </c>
      <c r="C201" s="7"/>
      <c r="D201" s="7"/>
      <c r="E201" s="7"/>
    </row>
    <row r="202" spans="1:5" ht="13" x14ac:dyDescent="0.3">
      <c r="A202" s="5" t="s">
        <v>129</v>
      </c>
      <c r="B202" s="7">
        <f>SUM(B199,B201)</f>
        <v>88089.68</v>
      </c>
      <c r="C202" s="7"/>
      <c r="D202" s="7"/>
      <c r="E202" s="7"/>
    </row>
    <row r="203" spans="1:5" ht="13" x14ac:dyDescent="0.3">
      <c r="A203" s="5" t="s">
        <v>134</v>
      </c>
      <c r="B203" s="7">
        <f>B202-B273</f>
        <v>-21.600000000005821</v>
      </c>
      <c r="C203" s="7"/>
      <c r="D203" s="24" t="s">
        <v>217</v>
      </c>
      <c r="E203" s="7"/>
    </row>
    <row r="204" spans="1:5" x14ac:dyDescent="0.25">
      <c r="A204" s="69"/>
      <c r="B204" s="69"/>
      <c r="C204" s="69"/>
      <c r="D204" s="69"/>
      <c r="E204" s="69"/>
    </row>
    <row r="205" spans="1:5" x14ac:dyDescent="0.25">
      <c r="A205" s="69"/>
      <c r="B205" s="69"/>
      <c r="C205" s="69"/>
      <c r="D205" s="69"/>
      <c r="E205" s="69"/>
    </row>
    <row r="206" spans="1:5" x14ac:dyDescent="0.25">
      <c r="A206" s="69"/>
      <c r="B206" s="69"/>
      <c r="C206" s="69"/>
      <c r="D206" s="69"/>
      <c r="E206" s="69"/>
    </row>
    <row r="207" spans="1:5" ht="13" x14ac:dyDescent="0.3">
      <c r="A207" s="3" t="s">
        <v>166</v>
      </c>
      <c r="B207" s="68" t="s">
        <v>71</v>
      </c>
      <c r="C207" s="68"/>
      <c r="D207" s="68"/>
      <c r="E207" s="4"/>
    </row>
    <row r="208" spans="1:5" ht="13" x14ac:dyDescent="0.3">
      <c r="A208" s="5" t="s">
        <v>95</v>
      </c>
      <c r="B208" s="12">
        <v>41970</v>
      </c>
      <c r="C208" s="6"/>
      <c r="D208" s="6"/>
      <c r="E208" s="7"/>
    </row>
    <row r="209" spans="1:5" ht="13" x14ac:dyDescent="0.3">
      <c r="A209" s="5" t="s">
        <v>102</v>
      </c>
      <c r="B209" s="13">
        <v>0.86736111111111114</v>
      </c>
      <c r="C209" s="6"/>
      <c r="D209" s="6"/>
      <c r="E209" s="7"/>
    </row>
    <row r="210" spans="1:5" ht="13" x14ac:dyDescent="0.3">
      <c r="A210" s="5"/>
      <c r="B210" s="6"/>
      <c r="C210" s="6"/>
      <c r="D210" s="6"/>
      <c r="E210" s="7"/>
    </row>
    <row r="211" spans="1:5" ht="13" x14ac:dyDescent="0.3">
      <c r="A211" s="5" t="s">
        <v>84</v>
      </c>
      <c r="B211" s="6"/>
      <c r="C211" s="6"/>
      <c r="D211" s="6"/>
      <c r="E211" s="7"/>
    </row>
    <row r="212" spans="1:5" ht="13" x14ac:dyDescent="0.3">
      <c r="A212" s="8" t="s">
        <v>0</v>
      </c>
      <c r="B212" s="8" t="s">
        <v>66</v>
      </c>
      <c r="C212" s="8" t="s">
        <v>67</v>
      </c>
      <c r="D212" s="7"/>
      <c r="E212" s="7"/>
    </row>
    <row r="213" spans="1:5" x14ac:dyDescent="0.25">
      <c r="A213" s="9" t="s">
        <v>1</v>
      </c>
      <c r="B213" s="9">
        <v>1400</v>
      </c>
      <c r="C213" s="9"/>
      <c r="D213" s="9"/>
      <c r="E213" s="9"/>
    </row>
    <row r="214" spans="1:5" x14ac:dyDescent="0.25">
      <c r="A214" s="9" t="s">
        <v>3</v>
      </c>
      <c r="B214" s="9">
        <v>0</v>
      </c>
      <c r="C214" s="9"/>
      <c r="D214" s="9"/>
      <c r="E214" s="9"/>
    </row>
    <row r="215" spans="1:5" x14ac:dyDescent="0.25">
      <c r="A215" s="9" t="s">
        <v>2</v>
      </c>
      <c r="B215" s="9">
        <v>0</v>
      </c>
      <c r="C215" s="9"/>
      <c r="D215" s="9"/>
      <c r="E215" s="9"/>
    </row>
    <row r="216" spans="1:5" x14ac:dyDescent="0.25">
      <c r="A216" s="9" t="s">
        <v>5</v>
      </c>
      <c r="B216" s="9">
        <v>0</v>
      </c>
      <c r="C216" s="9"/>
      <c r="D216" s="9"/>
      <c r="E216" s="9"/>
    </row>
    <row r="217" spans="1:5" x14ac:dyDescent="0.25">
      <c r="A217" s="9" t="s">
        <v>4</v>
      </c>
      <c r="B217" s="9">
        <v>0</v>
      </c>
      <c r="C217" s="9"/>
      <c r="D217" s="9"/>
      <c r="E217" s="9"/>
    </row>
    <row r="218" spans="1:5" x14ac:dyDescent="0.25">
      <c r="A218" s="9" t="s">
        <v>14</v>
      </c>
      <c r="B218" s="9">
        <v>0</v>
      </c>
      <c r="C218" s="9"/>
      <c r="D218" s="9"/>
      <c r="E218" s="9"/>
    </row>
    <row r="219" spans="1:5" x14ac:dyDescent="0.25">
      <c r="A219" s="9" t="s">
        <v>42</v>
      </c>
      <c r="B219" s="9">
        <v>0</v>
      </c>
      <c r="C219" s="9"/>
      <c r="D219" s="9"/>
      <c r="E219" s="9"/>
    </row>
    <row r="220" spans="1:5" x14ac:dyDescent="0.25">
      <c r="A220" s="9" t="s">
        <v>149</v>
      </c>
      <c r="B220" s="9">
        <v>0</v>
      </c>
      <c r="C220" s="9"/>
      <c r="D220" s="9"/>
      <c r="E220" s="9"/>
    </row>
    <row r="221" spans="1:5" x14ac:dyDescent="0.25">
      <c r="A221" s="9" t="s">
        <v>39</v>
      </c>
      <c r="B221" s="9">
        <v>0</v>
      </c>
      <c r="C221" s="9"/>
      <c r="D221" s="9"/>
      <c r="E221" s="9"/>
    </row>
    <row r="222" spans="1:5" ht="13" x14ac:dyDescent="0.3">
      <c r="A222" s="10" t="s">
        <v>70</v>
      </c>
      <c r="B222" s="7">
        <f>SUM(B213:B221)</f>
        <v>1400</v>
      </c>
      <c r="C222" s="7"/>
      <c r="D222" s="7"/>
      <c r="E222" s="7"/>
    </row>
    <row r="223" spans="1:5" x14ac:dyDescent="0.25">
      <c r="A223" s="7"/>
      <c r="B223" s="7"/>
      <c r="C223" s="7"/>
      <c r="D223" s="7"/>
      <c r="E223" s="7"/>
    </row>
    <row r="224" spans="1:5" ht="13" x14ac:dyDescent="0.3">
      <c r="A224" s="8" t="s">
        <v>31</v>
      </c>
      <c r="B224" s="8" t="s">
        <v>66</v>
      </c>
      <c r="C224" s="8" t="s">
        <v>67</v>
      </c>
      <c r="D224" s="7"/>
      <c r="E224" s="7"/>
    </row>
    <row r="225" spans="1:5" x14ac:dyDescent="0.25">
      <c r="A225" s="9"/>
      <c r="B225" s="9"/>
      <c r="C225" s="9"/>
      <c r="D225" s="9"/>
      <c r="E225" s="9"/>
    </row>
    <row r="226" spans="1:5" x14ac:dyDescent="0.25">
      <c r="A226" s="9"/>
      <c r="B226" s="9"/>
      <c r="C226" s="9"/>
      <c r="D226" s="9"/>
      <c r="E226" s="9"/>
    </row>
    <row r="227" spans="1:5" ht="13" x14ac:dyDescent="0.3">
      <c r="A227" s="10" t="s">
        <v>70</v>
      </c>
      <c r="B227" s="7">
        <f>SUM(B225:B226)</f>
        <v>0</v>
      </c>
      <c r="C227" s="7"/>
      <c r="D227" s="7"/>
      <c r="E227" s="7"/>
    </row>
    <row r="228" spans="1:5" x14ac:dyDescent="0.25">
      <c r="A228" s="7"/>
      <c r="B228" s="7"/>
      <c r="C228" s="7"/>
      <c r="D228" s="7"/>
      <c r="E228" s="7"/>
    </row>
    <row r="229" spans="1:5" ht="13" x14ac:dyDescent="0.3">
      <c r="A229" s="8" t="s">
        <v>82</v>
      </c>
      <c r="B229" s="8" t="s">
        <v>66</v>
      </c>
      <c r="C229" s="8" t="s">
        <v>67</v>
      </c>
      <c r="D229" s="7"/>
      <c r="E229" s="7"/>
    </row>
    <row r="230" spans="1:5" ht="37.5" x14ac:dyDescent="0.25">
      <c r="A230" s="9" t="s">
        <v>150</v>
      </c>
      <c r="B230" s="9">
        <v>0</v>
      </c>
      <c r="C230" s="9"/>
      <c r="D230" s="23" t="s">
        <v>198</v>
      </c>
      <c r="E230" s="9"/>
    </row>
    <row r="231" spans="1:5" x14ac:dyDescent="0.25">
      <c r="A231" s="9"/>
      <c r="B231" s="9"/>
      <c r="C231" s="9"/>
      <c r="D231" s="9"/>
      <c r="E231" s="9"/>
    </row>
    <row r="232" spans="1:5" ht="13" x14ac:dyDescent="0.3">
      <c r="A232" s="10" t="s">
        <v>70</v>
      </c>
      <c r="B232" s="7">
        <f>SUM(B230:B231)</f>
        <v>0</v>
      </c>
      <c r="C232" s="7"/>
      <c r="D232" s="7"/>
      <c r="E232" s="7"/>
    </row>
    <row r="233" spans="1:5" x14ac:dyDescent="0.25">
      <c r="A233" s="7"/>
      <c r="B233" s="7"/>
      <c r="C233" s="7"/>
      <c r="D233" s="7"/>
      <c r="E233" s="7"/>
    </row>
    <row r="234" spans="1:5" ht="13" x14ac:dyDescent="0.3">
      <c r="A234" s="8" t="s">
        <v>85</v>
      </c>
      <c r="B234" s="8" t="s">
        <v>66</v>
      </c>
      <c r="C234" s="8" t="s">
        <v>67</v>
      </c>
      <c r="D234" s="7"/>
      <c r="E234" s="7"/>
    </row>
    <row r="235" spans="1:5" x14ac:dyDescent="0.25">
      <c r="A235" s="9" t="s">
        <v>155</v>
      </c>
      <c r="B235" s="19">
        <v>298.62</v>
      </c>
      <c r="C235" s="28" t="s">
        <v>210</v>
      </c>
      <c r="D235" s="9"/>
      <c r="E235" s="9"/>
    </row>
    <row r="236" spans="1:5" ht="37.5" x14ac:dyDescent="0.25">
      <c r="A236" s="9" t="s">
        <v>104</v>
      </c>
      <c r="B236" s="9">
        <v>0</v>
      </c>
      <c r="C236" s="9"/>
      <c r="D236" s="23" t="s">
        <v>198</v>
      </c>
      <c r="E236" s="9"/>
    </row>
    <row r="237" spans="1:5" x14ac:dyDescent="0.25">
      <c r="A237" s="9" t="s">
        <v>137</v>
      </c>
      <c r="B237" s="9">
        <v>0</v>
      </c>
      <c r="C237" s="9"/>
      <c r="D237" s="9"/>
      <c r="E237" s="9"/>
    </row>
    <row r="238" spans="1:5" x14ac:dyDescent="0.25">
      <c r="A238" s="9" t="s">
        <v>29</v>
      </c>
      <c r="B238" s="9">
        <v>1255.3599999999999</v>
      </c>
      <c r="C238" s="9"/>
      <c r="D238" s="9"/>
      <c r="E238" s="9"/>
    </row>
    <row r="239" spans="1:5" x14ac:dyDescent="0.25">
      <c r="A239" s="9" t="s">
        <v>30</v>
      </c>
      <c r="B239" s="9">
        <v>200</v>
      </c>
      <c r="C239" s="9"/>
      <c r="D239" s="9"/>
      <c r="E239" s="9"/>
    </row>
    <row r="240" spans="1:5" ht="13" x14ac:dyDescent="0.3">
      <c r="A240" s="10" t="s">
        <v>70</v>
      </c>
      <c r="B240" s="7">
        <f>SUM(B235:B239)</f>
        <v>1753.98</v>
      </c>
      <c r="C240" s="7"/>
      <c r="D240" s="7"/>
      <c r="E240" s="7"/>
    </row>
    <row r="241" spans="1:5" ht="13" x14ac:dyDescent="0.3">
      <c r="A241" s="10"/>
      <c r="B241" s="7"/>
      <c r="C241" s="7"/>
      <c r="D241" s="7"/>
      <c r="E241" s="7"/>
    </row>
    <row r="242" spans="1:5" ht="13" x14ac:dyDescent="0.3">
      <c r="A242" s="10" t="s">
        <v>87</v>
      </c>
      <c r="B242" s="7">
        <f>SUM(B222,B227,B232) - B240</f>
        <v>-353.98</v>
      </c>
      <c r="C242" s="7"/>
      <c r="D242" s="7"/>
      <c r="E242" s="7"/>
    </row>
    <row r="243" spans="1:5" ht="13" x14ac:dyDescent="0.3">
      <c r="A243" s="10"/>
      <c r="B243" s="7"/>
      <c r="C243" s="7"/>
      <c r="D243" s="7"/>
      <c r="E243" s="7"/>
    </row>
    <row r="244" spans="1:5" ht="13" x14ac:dyDescent="0.3">
      <c r="A244" s="11" t="s">
        <v>73</v>
      </c>
      <c r="B244" s="7"/>
      <c r="C244" s="7"/>
      <c r="D244" s="7"/>
      <c r="E244" s="7"/>
    </row>
    <row r="245" spans="1:5" ht="13" x14ac:dyDescent="0.3">
      <c r="A245" s="8" t="s">
        <v>75</v>
      </c>
      <c r="B245" s="8" t="s">
        <v>66</v>
      </c>
      <c r="C245" s="8" t="s">
        <v>67</v>
      </c>
      <c r="D245" s="7"/>
      <c r="E245" s="7"/>
    </row>
    <row r="246" spans="1:5" x14ac:dyDescent="0.25">
      <c r="A246" s="9"/>
      <c r="B246" s="9"/>
      <c r="C246" s="9"/>
      <c r="D246" s="9"/>
      <c r="E246" s="9"/>
    </row>
    <row r="247" spans="1:5" x14ac:dyDescent="0.25">
      <c r="A247" s="9"/>
      <c r="B247" s="9"/>
      <c r="C247" s="9"/>
      <c r="D247" s="9"/>
      <c r="E247" s="9"/>
    </row>
    <row r="248" spans="1:5" ht="13" x14ac:dyDescent="0.3">
      <c r="A248" s="10" t="s">
        <v>70</v>
      </c>
      <c r="B248" s="7">
        <f>SUM(B246:B247)</f>
        <v>0</v>
      </c>
      <c r="C248" s="7"/>
      <c r="D248" s="7"/>
      <c r="E248" s="7"/>
    </row>
    <row r="249" spans="1:5" ht="13" x14ac:dyDescent="0.3">
      <c r="A249" s="11"/>
      <c r="B249" s="7"/>
      <c r="C249" s="7"/>
      <c r="D249" s="7"/>
      <c r="E249" s="7"/>
    </row>
    <row r="250" spans="1:5" ht="13" x14ac:dyDescent="0.3">
      <c r="A250" s="8" t="s">
        <v>76</v>
      </c>
      <c r="B250" s="8" t="s">
        <v>66</v>
      </c>
      <c r="C250" s="8" t="s">
        <v>67</v>
      </c>
      <c r="D250" s="7"/>
      <c r="E250" s="7"/>
    </row>
    <row r="251" spans="1:5" x14ac:dyDescent="0.25">
      <c r="A251" s="9"/>
      <c r="B251" s="9"/>
      <c r="C251" s="9"/>
      <c r="D251" s="9"/>
      <c r="E251" s="9"/>
    </row>
    <row r="252" spans="1:5" x14ac:dyDescent="0.25">
      <c r="A252" s="9"/>
      <c r="B252" s="9"/>
      <c r="C252" s="9"/>
      <c r="D252" s="9"/>
      <c r="E252" s="9"/>
    </row>
    <row r="253" spans="1:5" ht="13" x14ac:dyDescent="0.3">
      <c r="A253" s="10" t="s">
        <v>70</v>
      </c>
      <c r="B253" s="7">
        <f>SUM(B251:B252)</f>
        <v>0</v>
      </c>
      <c r="C253" s="7"/>
      <c r="D253" s="7"/>
      <c r="E253" s="7"/>
    </row>
    <row r="254" spans="1:5" x14ac:dyDescent="0.25">
      <c r="A254" s="7"/>
      <c r="B254" s="7"/>
      <c r="C254" s="7"/>
      <c r="D254" s="7"/>
      <c r="E254" s="7"/>
    </row>
    <row r="255" spans="1:5" ht="13" x14ac:dyDescent="0.3">
      <c r="A255" s="8" t="s">
        <v>86</v>
      </c>
      <c r="B255" s="8" t="s">
        <v>66</v>
      </c>
      <c r="C255" s="8" t="s">
        <v>67</v>
      </c>
      <c r="D255" s="7"/>
      <c r="E255" s="7"/>
    </row>
    <row r="256" spans="1:5" ht="87.5" x14ac:dyDescent="0.25">
      <c r="A256" s="9" t="s">
        <v>209</v>
      </c>
      <c r="B256" s="9">
        <v>550.67999999999995</v>
      </c>
      <c r="C256" s="23" t="s">
        <v>208</v>
      </c>
      <c r="D256" s="9"/>
      <c r="E256" s="9"/>
    </row>
    <row r="257" spans="1:5" x14ac:dyDescent="0.25">
      <c r="A257" s="9" t="s">
        <v>157</v>
      </c>
      <c r="B257" s="15">
        <v>5028.13</v>
      </c>
      <c r="C257" s="9"/>
      <c r="D257" s="9"/>
      <c r="E257" s="9"/>
    </row>
    <row r="258" spans="1:5" x14ac:dyDescent="0.25">
      <c r="A258" s="9"/>
      <c r="B258" s="9"/>
      <c r="C258" s="9"/>
      <c r="D258" s="9"/>
      <c r="E258" s="9"/>
    </row>
    <row r="259" spans="1:5" ht="13" x14ac:dyDescent="0.3">
      <c r="A259" s="10" t="s">
        <v>70</v>
      </c>
      <c r="B259" s="7">
        <f>SUM(B256:B258)</f>
        <v>5578.81</v>
      </c>
      <c r="C259" s="7"/>
      <c r="D259" s="7"/>
      <c r="E259" s="7"/>
    </row>
    <row r="260" spans="1:5" x14ac:dyDescent="0.25">
      <c r="A260" s="7"/>
      <c r="B260" s="7"/>
      <c r="C260" s="7"/>
      <c r="D260" s="7"/>
      <c r="E260" s="7"/>
    </row>
    <row r="261" spans="1:5" ht="13" x14ac:dyDescent="0.3">
      <c r="A261" s="10" t="s">
        <v>88</v>
      </c>
      <c r="B261" s="7">
        <f>SUM(B248,B253) - B259</f>
        <v>-5578.81</v>
      </c>
      <c r="C261" s="7"/>
      <c r="D261" s="7"/>
      <c r="E261" s="7"/>
    </row>
    <row r="262" spans="1:5" x14ac:dyDescent="0.25">
      <c r="A262" s="7"/>
      <c r="B262" s="7"/>
      <c r="C262" s="7"/>
      <c r="D262" s="7"/>
      <c r="E262" s="7"/>
    </row>
    <row r="263" spans="1:5" ht="13" x14ac:dyDescent="0.3">
      <c r="A263" s="5" t="s">
        <v>89</v>
      </c>
      <c r="B263" s="7"/>
      <c r="C263" s="7"/>
      <c r="D263" s="7"/>
      <c r="E263" s="7"/>
    </row>
    <row r="264" spans="1:5" ht="13" x14ac:dyDescent="0.3">
      <c r="A264" s="8" t="s">
        <v>94</v>
      </c>
      <c r="B264" s="8" t="s">
        <v>66</v>
      </c>
      <c r="C264" s="8" t="s">
        <v>67</v>
      </c>
      <c r="D264" s="7"/>
      <c r="E264" s="7"/>
    </row>
    <row r="265" spans="1:5" x14ac:dyDescent="0.25">
      <c r="A265" s="9" t="s">
        <v>90</v>
      </c>
      <c r="B265" s="15">
        <v>27218.61</v>
      </c>
      <c r="C265" s="9"/>
      <c r="D265" s="9"/>
      <c r="E265" s="9"/>
    </row>
    <row r="266" spans="1:5" x14ac:dyDescent="0.25">
      <c r="A266" s="9" t="s">
        <v>91</v>
      </c>
      <c r="B266" s="9">
        <v>-882.5</v>
      </c>
      <c r="C266" s="9"/>
      <c r="D266" s="9"/>
      <c r="E266" s="9"/>
    </row>
    <row r="267" spans="1:5" x14ac:dyDescent="0.25">
      <c r="A267" s="9" t="s">
        <v>92</v>
      </c>
      <c r="B267" s="9">
        <v>40000</v>
      </c>
      <c r="C267" s="28" t="s">
        <v>206</v>
      </c>
      <c r="D267" s="9"/>
      <c r="E267" s="9"/>
    </row>
    <row r="268" spans="1:5" x14ac:dyDescent="0.25">
      <c r="A268" s="9" t="s">
        <v>93</v>
      </c>
      <c r="B268" s="9">
        <v>27000</v>
      </c>
      <c r="C268" s="28" t="s">
        <v>207</v>
      </c>
      <c r="D268" s="9"/>
      <c r="E268" s="9"/>
    </row>
    <row r="269" spans="1:5" x14ac:dyDescent="0.25">
      <c r="A269" s="9" t="s">
        <v>122</v>
      </c>
      <c r="B269" s="28">
        <v>0</v>
      </c>
      <c r="C269" s="25"/>
      <c r="D269" s="9"/>
      <c r="E269" s="9"/>
    </row>
    <row r="270" spans="1:5" ht="13" x14ac:dyDescent="0.3">
      <c r="A270" s="10" t="s">
        <v>70</v>
      </c>
      <c r="B270" s="7">
        <f>SUM(B265:B269)</f>
        <v>93336.11</v>
      </c>
      <c r="C270" s="7"/>
      <c r="D270" s="7"/>
      <c r="E270" s="7"/>
    </row>
    <row r="271" spans="1:5" x14ac:dyDescent="0.25">
      <c r="A271" s="7"/>
      <c r="B271" s="7"/>
      <c r="C271" s="7"/>
      <c r="D271" s="7"/>
      <c r="E271" s="7"/>
    </row>
    <row r="272" spans="1:5" ht="13" x14ac:dyDescent="0.3">
      <c r="A272" s="5" t="s">
        <v>99</v>
      </c>
      <c r="B272" s="7">
        <f xml:space="preserve"> B261-B242</f>
        <v>-5224.83</v>
      </c>
      <c r="C272" s="7"/>
      <c r="D272" s="7"/>
      <c r="E272" s="7"/>
    </row>
    <row r="273" spans="1:5" ht="63" x14ac:dyDescent="0.3">
      <c r="A273" s="5" t="s">
        <v>100</v>
      </c>
      <c r="B273" s="7">
        <f>SUM(B270,B272)</f>
        <v>88111.28</v>
      </c>
      <c r="C273" s="21" t="s">
        <v>200</v>
      </c>
      <c r="D273" s="7"/>
      <c r="E273" s="7"/>
    </row>
    <row r="274" spans="1:5" ht="13" x14ac:dyDescent="0.3">
      <c r="A274" s="5" t="s">
        <v>108</v>
      </c>
      <c r="B274" s="7">
        <v>87256.92</v>
      </c>
      <c r="C274" s="29" t="s">
        <v>211</v>
      </c>
      <c r="D274" s="7"/>
      <c r="E274" s="7"/>
    </row>
    <row r="275" spans="1:5" ht="100.5" x14ac:dyDescent="0.3">
      <c r="A275" s="5" t="s">
        <v>110</v>
      </c>
      <c r="B275" s="7">
        <f xml:space="preserve"> B273 - B274</f>
        <v>854.36000000000058</v>
      </c>
      <c r="C275" s="22" t="s">
        <v>197</v>
      </c>
      <c r="D275" s="7"/>
      <c r="E275" s="7"/>
    </row>
  </sheetData>
  <mergeCells count="4">
    <mergeCell ref="A109:E111"/>
    <mergeCell ref="B112:D112"/>
    <mergeCell ref="A204:E206"/>
    <mergeCell ref="B207:D207"/>
  </mergeCells>
  <dataValidations count="10">
    <dataValidation type="list" allowBlank="1" showInputMessage="1" showErrorMessage="1" sqref="A118:A145 A213:A221" xr:uid="{00000000-0002-0000-0900-000000000000}">
      <formula1>$A$3:$A$31</formula1>
    </dataValidation>
    <dataValidation type="date" operator="greaterThan" allowBlank="1" showInputMessage="1" showErrorMessage="1" sqref="B208 B113" xr:uid="{00000000-0002-0000-0900-000001000000}">
      <formula1>41275</formula1>
    </dataValidation>
    <dataValidation type="time" operator="greaterThan" allowBlank="1" showInputMessage="1" showErrorMessage="1" sqref="B209 B114" xr:uid="{00000000-0002-0000-0900-000002000000}">
      <formula1>0</formula1>
    </dataValidation>
    <dataValidation type="list" allowBlank="1" showInputMessage="1" showErrorMessage="1" sqref="A256:A258 A186:A187" xr:uid="{00000000-0002-0000-0900-000003000000}">
      <formula1>$A$88:$A$90</formula1>
    </dataValidation>
    <dataValidation type="list" allowBlank="1" showInputMessage="1" showErrorMessage="1" sqref="A225:A226 A149:A152" xr:uid="{00000000-0002-0000-0900-000004000000}">
      <formula1>$A$34:$A$43</formula1>
    </dataValidation>
    <dataValidation type="list" allowBlank="1" showInputMessage="1" showErrorMessage="1" sqref="A230:A231 A156:A162" xr:uid="{00000000-0002-0000-0900-000005000000}">
      <formula1>$A$46:$A$75</formula1>
    </dataValidation>
    <dataValidation type="list" allowBlank="1" showInputMessage="1" showErrorMessage="1" sqref="A235:A239 A166:A169" xr:uid="{00000000-0002-0000-0900-000006000000}">
      <formula1>$A$78:$A$85</formula1>
    </dataValidation>
    <dataValidation type="list" allowBlank="1" showInputMessage="1" showErrorMessage="1" sqref="A246:A247 A176:A177" xr:uid="{00000000-0002-0000-0900-000007000000}">
      <formula1>$A$93:$A$94</formula1>
    </dataValidation>
    <dataValidation type="list" allowBlank="1" showInputMessage="1" showErrorMessage="1" sqref="A251:A252 A181:A182" xr:uid="{00000000-0002-0000-0900-000008000000}">
      <formula1>$A$97:$A$100</formula1>
    </dataValidation>
    <dataValidation type="list" allowBlank="1" showInputMessage="1" showErrorMessage="1" sqref="A265:A269 A194:A198" xr:uid="{00000000-0002-0000-0900-000009000000}">
      <formula1>$A$103:$A$107</formula1>
    </dataValidation>
  </dataValidations>
  <pageMargins left="0.75" right="0.75" top="1" bottom="1"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2"/>
  <sheetViews>
    <sheetView topLeftCell="A191" workbookViewId="0">
      <selection activeCell="A214" sqref="A214"/>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s="27" t="s">
        <v>231</v>
      </c>
    </row>
    <row r="59" spans="1:1" x14ac:dyDescent="0.25">
      <c r="A59" s="27" t="s">
        <v>230</v>
      </c>
    </row>
    <row r="60" spans="1:1" x14ac:dyDescent="0.25">
      <c r="A60" t="s">
        <v>53</v>
      </c>
    </row>
    <row r="61" spans="1:1" x14ac:dyDescent="0.25">
      <c r="A61" t="s">
        <v>54</v>
      </c>
    </row>
    <row r="62" spans="1:1" x14ac:dyDescent="0.25">
      <c r="A62" t="s">
        <v>55</v>
      </c>
    </row>
    <row r="63" spans="1:1" x14ac:dyDescent="0.25">
      <c r="A63" t="s">
        <v>56</v>
      </c>
    </row>
    <row r="64" spans="1:1" x14ac:dyDescent="0.25">
      <c r="A64" t="s">
        <v>57</v>
      </c>
    </row>
    <row r="65" spans="1:1" x14ac:dyDescent="0.25">
      <c r="A65" t="s">
        <v>58</v>
      </c>
    </row>
    <row r="66" spans="1:1" x14ac:dyDescent="0.25">
      <c r="A66" t="s">
        <v>59</v>
      </c>
    </row>
    <row r="67" spans="1:1" x14ac:dyDescent="0.25">
      <c r="A67" t="s">
        <v>60</v>
      </c>
    </row>
    <row r="68" spans="1:1" x14ac:dyDescent="0.25">
      <c r="A68" t="s">
        <v>61</v>
      </c>
    </row>
    <row r="69" spans="1:1" x14ac:dyDescent="0.25">
      <c r="A69" t="s">
        <v>62</v>
      </c>
    </row>
    <row r="70" spans="1:1" x14ac:dyDescent="0.25">
      <c r="A70" t="s">
        <v>81</v>
      </c>
    </row>
    <row r="71" spans="1:1" x14ac:dyDescent="0.25">
      <c r="A71" t="s">
        <v>63</v>
      </c>
    </row>
    <row r="72" spans="1:1" x14ac:dyDescent="0.25">
      <c r="A72" t="s">
        <v>64</v>
      </c>
    </row>
    <row r="73" spans="1:1" x14ac:dyDescent="0.25">
      <c r="A73" s="27" t="s">
        <v>212</v>
      </c>
    </row>
    <row r="74" spans="1:1" x14ac:dyDescent="0.25">
      <c r="A74" t="s">
        <v>161</v>
      </c>
    </row>
    <row r="75" spans="1:1" x14ac:dyDescent="0.25">
      <c r="A75" t="s">
        <v>177</v>
      </c>
    </row>
    <row r="76" spans="1:1" x14ac:dyDescent="0.25">
      <c r="A76" s="27" t="s">
        <v>202</v>
      </c>
    </row>
    <row r="77" spans="1:1" x14ac:dyDescent="0.25">
      <c r="A77" t="s">
        <v>150</v>
      </c>
    </row>
    <row r="79" spans="1:1" ht="13" x14ac:dyDescent="0.3">
      <c r="A79" s="1" t="s">
        <v>85</v>
      </c>
    </row>
    <row r="80" spans="1:1" x14ac:dyDescent="0.25">
      <c r="A80" t="s">
        <v>23</v>
      </c>
    </row>
    <row r="81" spans="1:1" x14ac:dyDescent="0.25">
      <c r="A81" t="s">
        <v>24</v>
      </c>
    </row>
    <row r="82" spans="1:1" x14ac:dyDescent="0.25">
      <c r="A82" t="s">
        <v>29</v>
      </c>
    </row>
    <row r="83" spans="1:1" x14ac:dyDescent="0.25">
      <c r="A83" t="s">
        <v>137</v>
      </c>
    </row>
    <row r="84" spans="1:1" x14ac:dyDescent="0.25">
      <c r="A84" t="s">
        <v>104</v>
      </c>
    </row>
    <row r="85" spans="1:1" x14ac:dyDescent="0.25">
      <c r="A85" t="s">
        <v>155</v>
      </c>
    </row>
    <row r="86" spans="1:1" x14ac:dyDescent="0.25">
      <c r="A86" t="s">
        <v>162</v>
      </c>
    </row>
    <row r="87" spans="1:1" x14ac:dyDescent="0.25">
      <c r="A87" t="s">
        <v>30</v>
      </c>
    </row>
    <row r="89" spans="1:1" ht="13" x14ac:dyDescent="0.3">
      <c r="A89" s="1" t="s">
        <v>86</v>
      </c>
    </row>
    <row r="90" spans="1:1" x14ac:dyDescent="0.25">
      <c r="A90" s="27" t="s">
        <v>209</v>
      </c>
    </row>
    <row r="91" spans="1:1" x14ac:dyDescent="0.25">
      <c r="A91" t="s">
        <v>157</v>
      </c>
    </row>
    <row r="92" spans="1:1" x14ac:dyDescent="0.25">
      <c r="A92" t="s">
        <v>72</v>
      </c>
    </row>
    <row r="94" spans="1:1" ht="13" x14ac:dyDescent="0.3">
      <c r="A94" s="1" t="s">
        <v>75</v>
      </c>
    </row>
    <row r="95" spans="1:1" x14ac:dyDescent="0.25">
      <c r="A95" t="s">
        <v>74</v>
      </c>
    </row>
    <row r="96" spans="1:1" x14ac:dyDescent="0.25">
      <c r="A96" t="s">
        <v>83</v>
      </c>
    </row>
    <row r="98" spans="1:5" ht="13" x14ac:dyDescent="0.3">
      <c r="A98" s="1" t="s">
        <v>76</v>
      </c>
    </row>
    <row r="99" spans="1:5" x14ac:dyDescent="0.25">
      <c r="A99" t="s">
        <v>77</v>
      </c>
    </row>
    <row r="100" spans="1:5" x14ac:dyDescent="0.25">
      <c r="A100" t="s">
        <v>78</v>
      </c>
    </row>
    <row r="101" spans="1:5" x14ac:dyDescent="0.25">
      <c r="A101" t="s">
        <v>79</v>
      </c>
    </row>
    <row r="102" spans="1:5" x14ac:dyDescent="0.25">
      <c r="A102" t="s">
        <v>80</v>
      </c>
    </row>
    <row r="104" spans="1:5" ht="13" x14ac:dyDescent="0.3">
      <c r="A104" s="1" t="s">
        <v>89</v>
      </c>
    </row>
    <row r="105" spans="1:5" x14ac:dyDescent="0.25">
      <c r="A105" t="s">
        <v>90</v>
      </c>
    </row>
    <row r="106" spans="1:5" x14ac:dyDescent="0.25">
      <c r="A106" t="s">
        <v>91</v>
      </c>
    </row>
    <row r="107" spans="1:5" x14ac:dyDescent="0.25">
      <c r="A107" t="s">
        <v>92</v>
      </c>
    </row>
    <row r="108" spans="1:5" x14ac:dyDescent="0.25">
      <c r="A108" t="s">
        <v>122</v>
      </c>
    </row>
    <row r="109" spans="1:5" x14ac:dyDescent="0.25">
      <c r="A109" s="27" t="s">
        <v>228</v>
      </c>
    </row>
    <row r="110" spans="1:5" x14ac:dyDescent="0.25">
      <c r="A110" t="s">
        <v>93</v>
      </c>
    </row>
    <row r="112" spans="1:5" x14ac:dyDescent="0.25">
      <c r="A112" s="66"/>
      <c r="B112" s="66"/>
      <c r="C112" s="66"/>
      <c r="D112" s="66"/>
      <c r="E112" s="66"/>
    </row>
    <row r="113" spans="1:6" x14ac:dyDescent="0.25">
      <c r="A113" s="66"/>
      <c r="B113" s="66"/>
      <c r="C113" s="66"/>
      <c r="D113" s="66"/>
      <c r="E113" s="66"/>
    </row>
    <row r="114" spans="1:6" x14ac:dyDescent="0.25">
      <c r="A114" s="67"/>
      <c r="B114" s="67"/>
      <c r="C114" s="67"/>
      <c r="D114" s="67"/>
      <c r="E114" s="67"/>
    </row>
    <row r="115" spans="1:6" ht="13" x14ac:dyDescent="0.3">
      <c r="A115" s="3" t="s">
        <v>227</v>
      </c>
      <c r="B115" s="68" t="s">
        <v>71</v>
      </c>
      <c r="C115" s="68"/>
      <c r="D115" s="68"/>
      <c r="E115" s="4"/>
    </row>
    <row r="116" spans="1:6" ht="13" x14ac:dyDescent="0.3">
      <c r="A116" s="5" t="s">
        <v>95</v>
      </c>
      <c r="B116" s="12">
        <v>42154</v>
      </c>
      <c r="C116" s="6"/>
      <c r="D116" s="6"/>
      <c r="E116" s="7"/>
    </row>
    <row r="117" spans="1:6" ht="13" x14ac:dyDescent="0.3">
      <c r="A117" s="5" t="s">
        <v>102</v>
      </c>
      <c r="B117" s="13">
        <v>0.90138888888888891</v>
      </c>
      <c r="C117" s="6"/>
      <c r="D117" s="6"/>
      <c r="E117" s="7"/>
    </row>
    <row r="118" spans="1:6" ht="13" x14ac:dyDescent="0.3">
      <c r="A118" s="5"/>
      <c r="B118" s="6"/>
      <c r="C118" s="6"/>
      <c r="D118" s="6"/>
      <c r="E118" s="7"/>
    </row>
    <row r="119" spans="1:6" ht="13" x14ac:dyDescent="0.3">
      <c r="A119" s="5" t="s">
        <v>84</v>
      </c>
      <c r="B119" s="6"/>
      <c r="C119" s="6"/>
      <c r="D119" s="6"/>
      <c r="E119" s="7"/>
    </row>
    <row r="120" spans="1:6" ht="13" x14ac:dyDescent="0.3">
      <c r="A120" s="8" t="s">
        <v>0</v>
      </c>
      <c r="B120" s="8" t="s">
        <v>66</v>
      </c>
      <c r="C120" s="5" t="s">
        <v>101</v>
      </c>
      <c r="D120" s="8" t="s">
        <v>67</v>
      </c>
      <c r="E120" s="7"/>
    </row>
    <row r="121" spans="1:6" ht="25.5" x14ac:dyDescent="0.25">
      <c r="A121" s="9" t="s">
        <v>1</v>
      </c>
      <c r="B121" s="9">
        <v>4550</v>
      </c>
      <c r="C121" s="9"/>
      <c r="D121" s="23" t="s">
        <v>234</v>
      </c>
      <c r="E121" s="9"/>
      <c r="F121" s="2"/>
    </row>
    <row r="122" spans="1:6" x14ac:dyDescent="0.25">
      <c r="A122" s="9" t="s">
        <v>3</v>
      </c>
      <c r="B122" s="9">
        <v>2566.6999999999998</v>
      </c>
      <c r="C122" s="9"/>
      <c r="D122" s="17"/>
      <c r="E122" s="9"/>
      <c r="F122" s="2"/>
    </row>
    <row r="123" spans="1:6" x14ac:dyDescent="0.25">
      <c r="A123" s="9" t="s">
        <v>4</v>
      </c>
      <c r="B123" s="9">
        <v>199</v>
      </c>
      <c r="C123" s="9"/>
      <c r="D123" s="17"/>
      <c r="E123" s="9"/>
      <c r="F123" s="2"/>
    </row>
    <row r="124" spans="1:6" x14ac:dyDescent="0.25">
      <c r="A124" s="9" t="s">
        <v>5</v>
      </c>
      <c r="B124" s="9">
        <v>-4.4800000000000004</v>
      </c>
      <c r="C124" s="9"/>
      <c r="D124" s="17"/>
      <c r="E124" s="9"/>
      <c r="F124" s="2"/>
    </row>
    <row r="125" spans="1:6" x14ac:dyDescent="0.25">
      <c r="A125" s="9" t="s">
        <v>16</v>
      </c>
      <c r="B125" s="9">
        <v>0</v>
      </c>
      <c r="C125" s="9"/>
      <c r="D125" s="9"/>
      <c r="E125" s="9"/>
      <c r="F125" s="2"/>
    </row>
    <row r="126" spans="1:6" x14ac:dyDescent="0.25">
      <c r="A126" s="9" t="s">
        <v>6</v>
      </c>
      <c r="B126" s="9">
        <v>0</v>
      </c>
      <c r="C126" s="9"/>
      <c r="D126" s="9"/>
      <c r="E126" s="9"/>
      <c r="F126" s="2"/>
    </row>
    <row r="127" spans="1:6" x14ac:dyDescent="0.25">
      <c r="A127" s="19" t="s">
        <v>7</v>
      </c>
      <c r="B127" s="9">
        <v>0</v>
      </c>
      <c r="C127" s="9"/>
      <c r="D127" s="9"/>
      <c r="E127" s="9"/>
      <c r="F127" s="2"/>
    </row>
    <row r="128" spans="1:6" x14ac:dyDescent="0.25">
      <c r="A128" s="9" t="s">
        <v>8</v>
      </c>
      <c r="B128" s="9">
        <v>401</v>
      </c>
      <c r="C128" s="9"/>
      <c r="D128" s="9"/>
      <c r="E128" s="9"/>
      <c r="F128" s="2"/>
    </row>
    <row r="129" spans="1:6" x14ac:dyDescent="0.25">
      <c r="A129" s="9" t="s">
        <v>10</v>
      </c>
      <c r="B129" s="9">
        <v>0</v>
      </c>
      <c r="C129" s="9"/>
      <c r="D129" s="9"/>
      <c r="E129" s="9"/>
      <c r="F129" s="2"/>
    </row>
    <row r="130" spans="1:6" x14ac:dyDescent="0.25">
      <c r="A130" s="9" t="s">
        <v>11</v>
      </c>
      <c r="B130" s="9">
        <v>44</v>
      </c>
      <c r="C130" s="9"/>
      <c r="D130" s="9"/>
      <c r="E130" s="9"/>
      <c r="F130" s="2"/>
    </row>
    <row r="131" spans="1:6" x14ac:dyDescent="0.25">
      <c r="A131" s="9" t="s">
        <v>12</v>
      </c>
      <c r="B131" s="9">
        <v>20</v>
      </c>
      <c r="C131" s="9"/>
      <c r="D131" s="9"/>
      <c r="E131" s="9"/>
      <c r="F131" s="2"/>
    </row>
    <row r="132" spans="1:6" x14ac:dyDescent="0.25">
      <c r="A132" s="9" t="s">
        <v>13</v>
      </c>
      <c r="B132" s="9">
        <v>70</v>
      </c>
      <c r="C132" s="9"/>
      <c r="D132" s="9"/>
      <c r="E132" s="9"/>
      <c r="F132" s="2"/>
    </row>
    <row r="133" spans="1:6" x14ac:dyDescent="0.25">
      <c r="A133" s="9" t="s">
        <v>17</v>
      </c>
      <c r="B133" s="9">
        <v>0</v>
      </c>
      <c r="C133" s="9"/>
      <c r="D133" s="9"/>
      <c r="E133" s="9"/>
      <c r="F133" s="2"/>
    </row>
    <row r="134" spans="1:6" x14ac:dyDescent="0.25">
      <c r="A134" s="9" t="s">
        <v>22</v>
      </c>
      <c r="B134" s="9">
        <v>0</v>
      </c>
      <c r="C134" s="9"/>
      <c r="D134" s="9"/>
      <c r="E134" s="9"/>
      <c r="F134" s="2"/>
    </row>
    <row r="135" spans="1:6" x14ac:dyDescent="0.25">
      <c r="A135" s="9" t="s">
        <v>14</v>
      </c>
      <c r="B135" s="9">
        <v>868</v>
      </c>
      <c r="C135" s="9"/>
      <c r="D135" s="9"/>
      <c r="E135" s="9"/>
      <c r="F135" s="2"/>
    </row>
    <row r="136" spans="1:6" x14ac:dyDescent="0.25">
      <c r="A136" s="9" t="s">
        <v>15</v>
      </c>
      <c r="B136" s="9">
        <v>150</v>
      </c>
      <c r="C136" s="9"/>
      <c r="D136" s="17"/>
      <c r="E136" s="9"/>
      <c r="F136" s="2"/>
    </row>
    <row r="137" spans="1:6" x14ac:dyDescent="0.25">
      <c r="A137" s="9" t="s">
        <v>9</v>
      </c>
      <c r="B137" s="9">
        <v>2400</v>
      </c>
      <c r="C137" s="9"/>
      <c r="D137" s="28" t="s">
        <v>225</v>
      </c>
      <c r="E137" s="9"/>
      <c r="F137" s="2"/>
    </row>
    <row r="138" spans="1:6" x14ac:dyDescent="0.25">
      <c r="A138" s="9" t="s">
        <v>28</v>
      </c>
      <c r="B138" s="9">
        <v>50</v>
      </c>
      <c r="C138" s="9"/>
      <c r="D138" s="17"/>
      <c r="E138" s="9"/>
      <c r="F138" s="2"/>
    </row>
    <row r="139" spans="1:6" x14ac:dyDescent="0.25">
      <c r="A139" s="9" t="s">
        <v>153</v>
      </c>
      <c r="B139" s="9">
        <v>0</v>
      </c>
      <c r="C139" s="9"/>
      <c r="D139" s="17"/>
      <c r="E139" s="9"/>
      <c r="F139" s="2"/>
    </row>
    <row r="140" spans="1:6" x14ac:dyDescent="0.25">
      <c r="A140" s="9" t="s">
        <v>32</v>
      </c>
      <c r="B140" s="9">
        <v>0</v>
      </c>
      <c r="C140" s="9"/>
      <c r="D140" s="9"/>
      <c r="E140" s="9"/>
      <c r="F140" s="2"/>
    </row>
    <row r="141" spans="1:6" x14ac:dyDescent="0.25">
      <c r="A141" s="9" t="s">
        <v>33</v>
      </c>
      <c r="B141" s="9">
        <v>0</v>
      </c>
      <c r="C141" s="9"/>
      <c r="D141" s="9"/>
      <c r="E141" s="9"/>
      <c r="F141" s="2"/>
    </row>
    <row r="142" spans="1:6" x14ac:dyDescent="0.25">
      <c r="A142" s="9" t="s">
        <v>34</v>
      </c>
      <c r="B142" s="9">
        <v>0</v>
      </c>
      <c r="C142" s="9"/>
      <c r="D142" s="9"/>
      <c r="E142" s="9"/>
      <c r="F142" s="2"/>
    </row>
    <row r="143" spans="1:6" x14ac:dyDescent="0.25">
      <c r="A143" s="9" t="s">
        <v>35</v>
      </c>
      <c r="B143" s="9">
        <v>0</v>
      </c>
      <c r="C143" s="9"/>
      <c r="D143" s="9"/>
      <c r="E143" s="9"/>
      <c r="F143" s="2"/>
    </row>
    <row r="144" spans="1:6" x14ac:dyDescent="0.25">
      <c r="A144" s="9" t="s">
        <v>39</v>
      </c>
      <c r="B144" s="9">
        <v>100</v>
      </c>
      <c r="C144" s="9"/>
      <c r="D144" s="9" t="s">
        <v>146</v>
      </c>
      <c r="E144" s="9"/>
      <c r="F144" s="2"/>
    </row>
    <row r="145" spans="1:6" x14ac:dyDescent="0.25">
      <c r="A145" s="9" t="s">
        <v>42</v>
      </c>
      <c r="B145" s="9">
        <v>50</v>
      </c>
      <c r="C145" s="9"/>
      <c r="D145" s="9"/>
      <c r="E145" s="9"/>
      <c r="F145" s="2"/>
    </row>
    <row r="146" spans="1:6" x14ac:dyDescent="0.25">
      <c r="A146" s="9" t="s">
        <v>49</v>
      </c>
      <c r="B146" s="9">
        <v>50</v>
      </c>
      <c r="C146" s="9"/>
      <c r="D146" s="9"/>
      <c r="E146" s="9"/>
      <c r="F146" s="2"/>
    </row>
    <row r="147" spans="1:6" x14ac:dyDescent="0.25">
      <c r="A147" s="9" t="s">
        <v>151</v>
      </c>
      <c r="B147" s="9">
        <v>0</v>
      </c>
      <c r="C147" s="9"/>
      <c r="D147" s="9"/>
      <c r="E147" s="9"/>
      <c r="F147" s="2"/>
    </row>
    <row r="148" spans="1:6" x14ac:dyDescent="0.25">
      <c r="A148" s="9" t="s">
        <v>149</v>
      </c>
      <c r="B148" s="9">
        <v>0</v>
      </c>
      <c r="C148" s="9"/>
      <c r="D148" s="9"/>
      <c r="E148" s="9"/>
      <c r="F148" s="2"/>
    </row>
    <row r="149" spans="1:6" ht="38" x14ac:dyDescent="0.3">
      <c r="A149" s="10" t="s">
        <v>70</v>
      </c>
      <c r="B149" s="7">
        <f>SUM(B121:B148)</f>
        <v>11514.220000000001</v>
      </c>
      <c r="C149" s="7"/>
      <c r="D149" s="22" t="s">
        <v>179</v>
      </c>
      <c r="E149" s="7"/>
    </row>
    <row r="150" spans="1:6" x14ac:dyDescent="0.25">
      <c r="A150" s="7"/>
      <c r="B150" s="7"/>
      <c r="C150" s="7"/>
      <c r="D150" s="7"/>
      <c r="E150" s="7"/>
    </row>
    <row r="151" spans="1:6" ht="13" x14ac:dyDescent="0.3">
      <c r="A151" s="8" t="s">
        <v>31</v>
      </c>
      <c r="B151" s="8" t="s">
        <v>66</v>
      </c>
      <c r="C151" s="5" t="s">
        <v>101</v>
      </c>
      <c r="D151" s="8" t="s">
        <v>67</v>
      </c>
      <c r="E151" s="7"/>
    </row>
    <row r="152" spans="1:6" x14ac:dyDescent="0.25">
      <c r="A152" s="9" t="s">
        <v>18</v>
      </c>
      <c r="B152" s="9">
        <v>0</v>
      </c>
      <c r="C152" s="9"/>
      <c r="D152" s="9"/>
      <c r="E152" s="9"/>
    </row>
    <row r="153" spans="1:6" x14ac:dyDescent="0.25">
      <c r="A153" s="9" t="s">
        <v>173</v>
      </c>
      <c r="B153" s="9">
        <v>0</v>
      </c>
      <c r="C153" s="9"/>
      <c r="D153" s="9"/>
      <c r="E153" s="9"/>
    </row>
    <row r="154" spans="1:6" x14ac:dyDescent="0.25">
      <c r="A154" s="9" t="s">
        <v>175</v>
      </c>
      <c r="B154" s="9">
        <v>0</v>
      </c>
      <c r="C154" s="9"/>
      <c r="D154" s="9"/>
      <c r="E154" s="9"/>
    </row>
    <row r="155" spans="1:6" x14ac:dyDescent="0.25">
      <c r="A155" s="9" t="s">
        <v>21</v>
      </c>
      <c r="B155" s="9">
        <v>300</v>
      </c>
      <c r="C155" s="9"/>
      <c r="D155" s="26" t="s">
        <v>201</v>
      </c>
      <c r="E155" s="9"/>
    </row>
    <row r="156" spans="1:6" ht="13" x14ac:dyDescent="0.3">
      <c r="A156" s="10" t="s">
        <v>70</v>
      </c>
      <c r="B156" s="7">
        <f>SUM(B152:B155)</f>
        <v>300</v>
      </c>
      <c r="C156" s="7"/>
      <c r="D156" s="7"/>
      <c r="E156" s="7"/>
    </row>
    <row r="157" spans="1:6" x14ac:dyDescent="0.25">
      <c r="A157" s="7"/>
      <c r="B157" s="7"/>
      <c r="C157" s="7"/>
      <c r="D157" s="7"/>
      <c r="E157" s="7"/>
    </row>
    <row r="158" spans="1:6" ht="13" x14ac:dyDescent="0.3">
      <c r="A158" s="8" t="s">
        <v>82</v>
      </c>
      <c r="B158" s="8" t="s">
        <v>66</v>
      </c>
      <c r="C158" s="5" t="s">
        <v>101</v>
      </c>
      <c r="D158" s="8" t="s">
        <v>67</v>
      </c>
      <c r="E158" s="7"/>
    </row>
    <row r="159" spans="1:6" x14ac:dyDescent="0.25">
      <c r="A159" s="9" t="s">
        <v>150</v>
      </c>
      <c r="B159" s="9">
        <v>4205.75</v>
      </c>
      <c r="C159" s="9"/>
      <c r="D159" s="23"/>
      <c r="E159" s="9"/>
    </row>
    <row r="160" spans="1:6" x14ac:dyDescent="0.25">
      <c r="A160" s="9" t="s">
        <v>44</v>
      </c>
      <c r="B160" s="9">
        <v>400</v>
      </c>
      <c r="C160" s="9"/>
      <c r="D160" s="23" t="s">
        <v>224</v>
      </c>
      <c r="E160" s="9"/>
    </row>
    <row r="161" spans="1:5" x14ac:dyDescent="0.25">
      <c r="A161" s="9" t="s">
        <v>230</v>
      </c>
      <c r="B161" s="9">
        <v>100</v>
      </c>
      <c r="C161" s="9"/>
      <c r="D161" s="17"/>
      <c r="E161" s="9"/>
    </row>
    <row r="162" spans="1:5" x14ac:dyDescent="0.25">
      <c r="A162" s="9" t="s">
        <v>161</v>
      </c>
      <c r="B162" s="9">
        <v>0</v>
      </c>
      <c r="C162" s="9"/>
      <c r="D162" s="17"/>
      <c r="E162" s="9"/>
    </row>
    <row r="163" spans="1:5" x14ac:dyDescent="0.25">
      <c r="A163" s="9" t="s">
        <v>212</v>
      </c>
      <c r="B163" s="9">
        <v>0</v>
      </c>
      <c r="C163" s="9"/>
      <c r="D163" s="23"/>
      <c r="E163" s="9"/>
    </row>
    <row r="164" spans="1:5" x14ac:dyDescent="0.25">
      <c r="A164" s="9" t="s">
        <v>231</v>
      </c>
      <c r="B164" s="9">
        <v>300</v>
      </c>
      <c r="C164" s="9"/>
      <c r="D164" s="23" t="s">
        <v>232</v>
      </c>
      <c r="E164" s="9"/>
    </row>
    <row r="165" spans="1:5" x14ac:dyDescent="0.25">
      <c r="A165" s="9" t="s">
        <v>47</v>
      </c>
      <c r="B165" s="9">
        <v>20</v>
      </c>
      <c r="C165" s="9"/>
      <c r="D165" s="17"/>
      <c r="E165" s="9"/>
    </row>
    <row r="166" spans="1:5" x14ac:dyDescent="0.25">
      <c r="A166" s="9" t="s">
        <v>177</v>
      </c>
      <c r="B166" s="9">
        <v>0</v>
      </c>
      <c r="C166" s="9"/>
      <c r="D166" s="23"/>
      <c r="E166" s="9"/>
    </row>
    <row r="167" spans="1:5" ht="13" x14ac:dyDescent="0.3">
      <c r="A167" s="10" t="s">
        <v>70</v>
      </c>
      <c r="B167" s="7">
        <f>SUM(B159:B166)</f>
        <v>5025.75</v>
      </c>
      <c r="C167" s="7"/>
      <c r="D167" s="7"/>
      <c r="E167" s="7"/>
    </row>
    <row r="168" spans="1:5" x14ac:dyDescent="0.25">
      <c r="A168" s="7"/>
      <c r="B168" s="7"/>
      <c r="C168" s="7"/>
      <c r="D168" s="7"/>
      <c r="E168" s="7"/>
    </row>
    <row r="169" spans="1:5" ht="13" x14ac:dyDescent="0.3">
      <c r="A169" s="8" t="s">
        <v>85</v>
      </c>
      <c r="B169" s="8" t="s">
        <v>66</v>
      </c>
      <c r="C169" s="5" t="s">
        <v>101</v>
      </c>
      <c r="D169" s="8" t="s">
        <v>214</v>
      </c>
      <c r="E169" s="7"/>
    </row>
    <row r="170" spans="1:5" x14ac:dyDescent="0.25">
      <c r="A170" s="9" t="s">
        <v>104</v>
      </c>
      <c r="B170" s="9">
        <v>0</v>
      </c>
      <c r="C170" s="9"/>
      <c r="D170" s="23"/>
      <c r="E170" s="9"/>
    </row>
    <row r="171" spans="1:5" x14ac:dyDescent="0.25">
      <c r="A171" s="9" t="s">
        <v>162</v>
      </c>
      <c r="B171" s="9">
        <v>0</v>
      </c>
      <c r="C171" s="9"/>
      <c r="D171" s="17"/>
      <c r="E171" s="9"/>
    </row>
    <row r="172" spans="1:5" x14ac:dyDescent="0.25">
      <c r="A172" s="9" t="s">
        <v>29</v>
      </c>
      <c r="B172" s="9">
        <v>4671.3599999999997</v>
      </c>
      <c r="C172" s="9"/>
      <c r="D172" s="17"/>
      <c r="E172" s="9"/>
    </row>
    <row r="173" spans="1:5" x14ac:dyDescent="0.25">
      <c r="A173" s="9" t="s">
        <v>30</v>
      </c>
      <c r="B173" s="9">
        <v>490</v>
      </c>
      <c r="C173" s="9"/>
      <c r="D173" s="9"/>
      <c r="E173" s="9"/>
    </row>
    <row r="174" spans="1:5" ht="13" x14ac:dyDescent="0.3">
      <c r="A174" s="10" t="s">
        <v>70</v>
      </c>
      <c r="B174" s="7">
        <f>SUM(B170:B173)</f>
        <v>5161.3599999999997</v>
      </c>
      <c r="C174" s="7"/>
      <c r="D174" s="7"/>
      <c r="E174" s="7"/>
    </row>
    <row r="175" spans="1:5" ht="13" x14ac:dyDescent="0.3">
      <c r="A175" s="10"/>
      <c r="B175" s="7"/>
      <c r="C175" s="7"/>
      <c r="D175" s="7"/>
      <c r="E175" s="7"/>
    </row>
    <row r="176" spans="1:5" ht="13" x14ac:dyDescent="0.3">
      <c r="A176" s="10" t="s">
        <v>87</v>
      </c>
      <c r="B176" s="7">
        <f>SUM(B149,B156,B167)-B174</f>
        <v>11678.61</v>
      </c>
      <c r="C176" s="7"/>
      <c r="D176" s="7"/>
      <c r="E176" s="7"/>
    </row>
    <row r="177" spans="1:5" ht="13" x14ac:dyDescent="0.3">
      <c r="A177" s="10"/>
      <c r="B177" s="7"/>
      <c r="C177" s="7"/>
      <c r="D177" s="7"/>
      <c r="E177" s="7"/>
    </row>
    <row r="178" spans="1:5" ht="13" x14ac:dyDescent="0.3">
      <c r="A178" s="11" t="s">
        <v>73</v>
      </c>
      <c r="B178" s="7"/>
      <c r="C178" s="7"/>
      <c r="D178" s="7"/>
      <c r="E178" s="7"/>
    </row>
    <row r="179" spans="1:5" ht="13" x14ac:dyDescent="0.3">
      <c r="A179" s="8" t="s">
        <v>75</v>
      </c>
      <c r="B179" s="8" t="s">
        <v>66</v>
      </c>
      <c r="C179" s="5" t="s">
        <v>101</v>
      </c>
      <c r="D179" s="8" t="s">
        <v>67</v>
      </c>
      <c r="E179" s="7"/>
    </row>
    <row r="180" spans="1:5" x14ac:dyDescent="0.25">
      <c r="A180" s="9" t="s">
        <v>74</v>
      </c>
      <c r="B180" s="9">
        <v>0</v>
      </c>
      <c r="C180" s="9"/>
      <c r="D180" s="9"/>
      <c r="E180" s="9"/>
    </row>
    <row r="181" spans="1:5" x14ac:dyDescent="0.25">
      <c r="A181" s="9"/>
      <c r="B181" s="9"/>
      <c r="C181" s="9"/>
      <c r="D181" s="9"/>
      <c r="E181" s="9"/>
    </row>
    <row r="182" spans="1:5" ht="13" x14ac:dyDescent="0.3">
      <c r="A182" s="10" t="s">
        <v>70</v>
      </c>
      <c r="B182" s="7">
        <f>SUM(B180:B181)</f>
        <v>0</v>
      </c>
      <c r="C182" s="7"/>
      <c r="D182" s="7"/>
      <c r="E182" s="7"/>
    </row>
    <row r="183" spans="1:5" ht="13" x14ac:dyDescent="0.3">
      <c r="A183" s="11"/>
      <c r="B183" s="7"/>
      <c r="C183" s="7"/>
      <c r="D183" s="7"/>
      <c r="E183" s="7"/>
    </row>
    <row r="184" spans="1:5" ht="13" x14ac:dyDescent="0.3">
      <c r="A184" s="8" t="s">
        <v>76</v>
      </c>
      <c r="B184" s="8" t="s">
        <v>66</v>
      </c>
      <c r="C184" s="5" t="s">
        <v>101</v>
      </c>
      <c r="D184" s="8" t="s">
        <v>67</v>
      </c>
      <c r="E184" s="7"/>
    </row>
    <row r="185" spans="1:5" x14ac:dyDescent="0.25">
      <c r="A185" s="9"/>
      <c r="B185" s="9"/>
      <c r="C185" s="9"/>
      <c r="D185" s="9"/>
      <c r="E185" s="9"/>
    </row>
    <row r="186" spans="1:5" x14ac:dyDescent="0.25">
      <c r="A186" s="9"/>
      <c r="B186" s="9"/>
      <c r="C186" s="9"/>
      <c r="D186" s="9"/>
      <c r="E186" s="9"/>
    </row>
    <row r="187" spans="1:5" ht="13" x14ac:dyDescent="0.3">
      <c r="A187" s="10" t="s">
        <v>70</v>
      </c>
      <c r="B187" s="7">
        <f>SUM(B185:B186)</f>
        <v>0</v>
      </c>
      <c r="C187" s="7"/>
      <c r="D187" s="7"/>
      <c r="E187" s="7"/>
    </row>
    <row r="188" spans="1:5" x14ac:dyDescent="0.25">
      <c r="A188" s="7"/>
      <c r="B188" s="7"/>
      <c r="C188" s="7"/>
      <c r="D188" s="7"/>
      <c r="E188" s="7"/>
    </row>
    <row r="189" spans="1:5" ht="13" x14ac:dyDescent="0.3">
      <c r="A189" s="8" t="s">
        <v>86</v>
      </c>
      <c r="B189" s="8" t="s">
        <v>66</v>
      </c>
      <c r="C189" s="5" t="s">
        <v>101</v>
      </c>
      <c r="D189" s="8" t="s">
        <v>67</v>
      </c>
      <c r="E189" s="7"/>
    </row>
    <row r="190" spans="1:5" ht="50" x14ac:dyDescent="0.25">
      <c r="A190" s="9" t="s">
        <v>26</v>
      </c>
      <c r="B190" s="9">
        <v>256.75</v>
      </c>
      <c r="C190" s="9"/>
      <c r="D190" s="23" t="s">
        <v>219</v>
      </c>
      <c r="E190" s="9"/>
    </row>
    <row r="191" spans="1:5" x14ac:dyDescent="0.25">
      <c r="A191" s="9"/>
      <c r="B191" s="9"/>
      <c r="C191" s="9"/>
      <c r="D191" s="9"/>
      <c r="E191" s="9"/>
    </row>
    <row r="192" spans="1:5" ht="13" x14ac:dyDescent="0.3">
      <c r="A192" s="10" t="s">
        <v>70</v>
      </c>
      <c r="B192" s="7">
        <f>SUM(B190:B191)</f>
        <v>256.75</v>
      </c>
      <c r="C192" s="7"/>
      <c r="D192" s="7"/>
      <c r="E192" s="7"/>
    </row>
    <row r="193" spans="1:5" x14ac:dyDescent="0.25">
      <c r="A193" s="7"/>
      <c r="B193" s="7"/>
      <c r="C193" s="7"/>
      <c r="D193" s="7"/>
      <c r="E193" s="7"/>
    </row>
    <row r="194" spans="1:5" ht="13" x14ac:dyDescent="0.3">
      <c r="A194" s="10" t="s">
        <v>88</v>
      </c>
      <c r="B194" s="7">
        <f>SUM(B182,B187)-B192</f>
        <v>-256.75</v>
      </c>
      <c r="C194" s="7"/>
      <c r="D194" s="7"/>
      <c r="E194" s="7"/>
    </row>
    <row r="195" spans="1:5" x14ac:dyDescent="0.25">
      <c r="A195" s="7"/>
      <c r="B195" s="7"/>
      <c r="C195" s="7"/>
      <c r="D195" s="7"/>
      <c r="E195" s="7"/>
    </row>
    <row r="196" spans="1:5" ht="13" x14ac:dyDescent="0.3">
      <c r="A196" s="5" t="s">
        <v>89</v>
      </c>
      <c r="B196" s="7"/>
      <c r="C196" s="7"/>
      <c r="D196" s="7"/>
      <c r="E196" s="7"/>
    </row>
    <row r="197" spans="1:5" ht="13" x14ac:dyDescent="0.3">
      <c r="A197" s="8" t="s">
        <v>94</v>
      </c>
      <c r="B197" s="8" t="s">
        <v>66</v>
      </c>
      <c r="C197" s="5" t="s">
        <v>101</v>
      </c>
      <c r="D197" s="8" t="s">
        <v>67</v>
      </c>
      <c r="E197" s="7"/>
    </row>
    <row r="198" spans="1:5" x14ac:dyDescent="0.25">
      <c r="A198" s="9" t="s">
        <v>90</v>
      </c>
      <c r="B198" s="15">
        <v>39020.769999999997</v>
      </c>
      <c r="C198" s="9"/>
      <c r="D198" s="9"/>
      <c r="E198" s="9"/>
    </row>
    <row r="199" spans="1:5" x14ac:dyDescent="0.25">
      <c r="A199" s="9" t="s">
        <v>91</v>
      </c>
      <c r="B199" s="9">
        <v>764.61</v>
      </c>
      <c r="C199" s="9"/>
      <c r="D199" s="9"/>
      <c r="E199" s="9"/>
    </row>
    <row r="200" spans="1:5" x14ac:dyDescent="0.25">
      <c r="A200" s="9" t="s">
        <v>92</v>
      </c>
      <c r="B200" s="9">
        <v>40000</v>
      </c>
      <c r="C200" s="19"/>
      <c r="D200" s="28" t="s">
        <v>220</v>
      </c>
      <c r="E200" s="9"/>
    </row>
    <row r="201" spans="1:5" x14ac:dyDescent="0.25">
      <c r="A201" s="9" t="s">
        <v>93</v>
      </c>
      <c r="B201" s="9">
        <v>27000</v>
      </c>
      <c r="C201" s="19"/>
      <c r="D201" s="28" t="s">
        <v>222</v>
      </c>
      <c r="E201" s="9"/>
    </row>
    <row r="202" spans="1:5" x14ac:dyDescent="0.25">
      <c r="A202" s="9" t="s">
        <v>122</v>
      </c>
      <c r="B202" s="28">
        <v>320</v>
      </c>
      <c r="C202" s="25"/>
      <c r="D202" s="25"/>
      <c r="E202" s="9"/>
    </row>
    <row r="203" spans="1:5" x14ac:dyDescent="0.25">
      <c r="A203" s="9" t="s">
        <v>228</v>
      </c>
      <c r="B203" s="28">
        <v>631.99</v>
      </c>
      <c r="C203" s="25"/>
      <c r="D203" s="28" t="s">
        <v>229</v>
      </c>
      <c r="E203" s="9"/>
    </row>
    <row r="204" spans="1:5" ht="13" x14ac:dyDescent="0.3">
      <c r="A204" s="10" t="s">
        <v>70</v>
      </c>
      <c r="B204" s="7">
        <f>SUM(B198:B203)</f>
        <v>107737.37000000001</v>
      </c>
      <c r="C204" s="7"/>
      <c r="D204" s="7"/>
      <c r="E204" s="7"/>
    </row>
    <row r="205" spans="1:5" x14ac:dyDescent="0.25">
      <c r="A205" s="7"/>
      <c r="B205" s="7"/>
      <c r="C205" s="7"/>
      <c r="D205" s="7"/>
      <c r="E205" s="7"/>
    </row>
    <row r="206" spans="1:5" ht="13" x14ac:dyDescent="0.3">
      <c r="A206" s="5" t="s">
        <v>133</v>
      </c>
      <c r="B206" s="7">
        <f xml:space="preserve"> B194-B176</f>
        <v>-11935.36</v>
      </c>
      <c r="C206" s="7"/>
      <c r="D206" s="7"/>
      <c r="E206" s="7"/>
    </row>
    <row r="207" spans="1:5" ht="13" x14ac:dyDescent="0.3">
      <c r="A207" s="5" t="s">
        <v>129</v>
      </c>
      <c r="B207" s="7">
        <f>SUM(B204,B206)</f>
        <v>95802.010000000009</v>
      </c>
      <c r="C207" s="7"/>
      <c r="D207" s="7"/>
      <c r="E207" s="7"/>
    </row>
    <row r="208" spans="1:5" ht="13" x14ac:dyDescent="0.3">
      <c r="A208" s="5" t="s">
        <v>134</v>
      </c>
      <c r="B208" s="7">
        <f>B207-B280</f>
        <v>654.45000000001164</v>
      </c>
      <c r="C208" s="7"/>
      <c r="D208" s="24"/>
      <c r="E208" s="7"/>
    </row>
    <row r="209" spans="1:5" x14ac:dyDescent="0.25">
      <c r="A209" s="69"/>
      <c r="B209" s="69"/>
      <c r="C209" s="69"/>
      <c r="D209" s="69"/>
      <c r="E209" s="69"/>
    </row>
    <row r="210" spans="1:5" x14ac:dyDescent="0.25">
      <c r="A210" s="69"/>
      <c r="B210" s="69"/>
      <c r="C210" s="69"/>
      <c r="D210" s="69"/>
      <c r="E210" s="69"/>
    </row>
    <row r="211" spans="1:5" x14ac:dyDescent="0.25">
      <c r="A211" s="69"/>
      <c r="B211" s="69"/>
      <c r="C211" s="69"/>
      <c r="D211" s="69"/>
      <c r="E211" s="69"/>
    </row>
    <row r="212" spans="1:5" ht="13" x14ac:dyDescent="0.3">
      <c r="A212" s="3" t="s">
        <v>235</v>
      </c>
      <c r="B212" s="68" t="s">
        <v>71</v>
      </c>
      <c r="C212" s="68"/>
      <c r="D212" s="68"/>
      <c r="E212" s="4"/>
    </row>
    <row r="213" spans="1:5" ht="13" x14ac:dyDescent="0.3">
      <c r="A213" s="5" t="s">
        <v>95</v>
      </c>
      <c r="B213" s="12">
        <v>42154</v>
      </c>
      <c r="C213" s="6"/>
      <c r="D213" s="6"/>
      <c r="E213" s="7"/>
    </row>
    <row r="214" spans="1:5" ht="13" x14ac:dyDescent="0.3">
      <c r="A214" s="5" t="s">
        <v>102</v>
      </c>
      <c r="B214" s="13">
        <v>0.90138888888888891</v>
      </c>
      <c r="C214" s="6"/>
      <c r="D214" s="6"/>
      <c r="E214" s="7"/>
    </row>
    <row r="215" spans="1:5" ht="13" x14ac:dyDescent="0.3">
      <c r="A215" s="5"/>
      <c r="B215" s="6"/>
      <c r="C215" s="6"/>
      <c r="D215" s="6"/>
      <c r="E215" s="7"/>
    </row>
    <row r="216" spans="1:5" ht="13" x14ac:dyDescent="0.3">
      <c r="A216" s="5" t="s">
        <v>84</v>
      </c>
      <c r="B216" s="6"/>
      <c r="C216" s="6"/>
      <c r="D216" s="6"/>
      <c r="E216" s="7"/>
    </row>
    <row r="217" spans="1:5" ht="13" x14ac:dyDescent="0.3">
      <c r="A217" s="8" t="s">
        <v>0</v>
      </c>
      <c r="B217" s="8" t="s">
        <v>66</v>
      </c>
      <c r="C217" s="8" t="s">
        <v>67</v>
      </c>
      <c r="D217" s="7"/>
      <c r="E217" s="7"/>
    </row>
    <row r="218" spans="1:5" x14ac:dyDescent="0.25">
      <c r="A218" s="9" t="s">
        <v>1</v>
      </c>
      <c r="B218" s="9">
        <v>4100</v>
      </c>
      <c r="C218" s="9"/>
      <c r="D218" s="9"/>
      <c r="E218" s="9"/>
    </row>
    <row r="219" spans="1:5" x14ac:dyDescent="0.25">
      <c r="A219" s="9" t="s">
        <v>9</v>
      </c>
      <c r="B219" s="9">
        <v>1800</v>
      </c>
      <c r="C219" s="28" t="s">
        <v>218</v>
      </c>
      <c r="D219" s="9"/>
      <c r="E219" s="9"/>
    </row>
    <row r="220" spans="1:5" x14ac:dyDescent="0.25">
      <c r="A220" s="9" t="s">
        <v>3</v>
      </c>
      <c r="B220" s="9">
        <v>0</v>
      </c>
      <c r="C220" s="9"/>
      <c r="D220" s="9"/>
      <c r="E220" s="9"/>
    </row>
    <row r="221" spans="1:5" x14ac:dyDescent="0.25">
      <c r="A221" s="9" t="s">
        <v>2</v>
      </c>
      <c r="B221" s="9">
        <v>0</v>
      </c>
      <c r="C221" s="9"/>
      <c r="D221" s="9"/>
      <c r="E221" s="9"/>
    </row>
    <row r="222" spans="1:5" x14ac:dyDescent="0.25">
      <c r="A222" s="9" t="s">
        <v>5</v>
      </c>
      <c r="B222" s="9">
        <v>0</v>
      </c>
      <c r="C222" s="9"/>
      <c r="D222" s="9"/>
      <c r="E222" s="9"/>
    </row>
    <row r="223" spans="1:5" x14ac:dyDescent="0.25">
      <c r="A223" s="9" t="s">
        <v>4</v>
      </c>
      <c r="B223" s="9">
        <v>0</v>
      </c>
      <c r="C223" s="9"/>
      <c r="D223" s="9"/>
      <c r="E223" s="9"/>
    </row>
    <row r="224" spans="1:5" x14ac:dyDescent="0.25">
      <c r="A224" s="9" t="s">
        <v>14</v>
      </c>
      <c r="B224" s="9">
        <v>0</v>
      </c>
      <c r="C224" s="9"/>
      <c r="D224" s="9"/>
      <c r="E224" s="9"/>
    </row>
    <row r="225" spans="1:5" x14ac:dyDescent="0.25">
      <c r="A225" s="9" t="s">
        <v>42</v>
      </c>
      <c r="B225" s="9">
        <v>0</v>
      </c>
      <c r="C225" s="9"/>
      <c r="D225" s="9"/>
      <c r="E225" s="9"/>
    </row>
    <row r="226" spans="1:5" x14ac:dyDescent="0.25">
      <c r="A226" s="9" t="s">
        <v>149</v>
      </c>
      <c r="B226" s="9">
        <v>0</v>
      </c>
      <c r="C226" s="9"/>
      <c r="D226" s="9"/>
      <c r="E226" s="9"/>
    </row>
    <row r="227" spans="1:5" x14ac:dyDescent="0.25">
      <c r="A227" s="9" t="s">
        <v>39</v>
      </c>
      <c r="B227" s="9">
        <v>0</v>
      </c>
      <c r="C227" s="9"/>
      <c r="D227" s="9"/>
      <c r="E227" s="9"/>
    </row>
    <row r="228" spans="1:5" ht="13" x14ac:dyDescent="0.3">
      <c r="A228" s="10" t="s">
        <v>70</v>
      </c>
      <c r="B228" s="7">
        <f>SUM(B218:B227)</f>
        <v>5900</v>
      </c>
      <c r="C228" s="7"/>
      <c r="D228" s="7"/>
      <c r="E228" s="7"/>
    </row>
    <row r="229" spans="1:5" x14ac:dyDescent="0.25">
      <c r="A229" s="7"/>
      <c r="B229" s="7"/>
      <c r="C229" s="7"/>
      <c r="D229" s="7"/>
      <c r="E229" s="7"/>
    </row>
    <row r="230" spans="1:5" ht="13" x14ac:dyDescent="0.3">
      <c r="A230" s="8" t="s">
        <v>31</v>
      </c>
      <c r="B230" s="8" t="s">
        <v>66</v>
      </c>
      <c r="C230" s="8" t="s">
        <v>67</v>
      </c>
      <c r="D230" s="7"/>
      <c r="E230" s="7"/>
    </row>
    <row r="231" spans="1:5" x14ac:dyDescent="0.25">
      <c r="A231" s="9"/>
      <c r="B231" s="9"/>
      <c r="C231" s="9"/>
      <c r="D231" s="9"/>
      <c r="E231" s="9"/>
    </row>
    <row r="232" spans="1:5" x14ac:dyDescent="0.25">
      <c r="A232" s="9"/>
      <c r="B232" s="9"/>
      <c r="C232" s="9"/>
      <c r="D232" s="9"/>
      <c r="E232" s="9"/>
    </row>
    <row r="233" spans="1:5" ht="13" x14ac:dyDescent="0.3">
      <c r="A233" s="10" t="s">
        <v>70</v>
      </c>
      <c r="B233" s="7">
        <f>SUM(B231:B232)</f>
        <v>0</v>
      </c>
      <c r="C233" s="7"/>
      <c r="D233" s="7"/>
      <c r="E233" s="7"/>
    </row>
    <row r="234" spans="1:5" x14ac:dyDescent="0.25">
      <c r="A234" s="7"/>
      <c r="B234" s="7"/>
      <c r="C234" s="7"/>
      <c r="D234" s="7"/>
      <c r="E234" s="7"/>
    </row>
    <row r="235" spans="1:5" ht="13" x14ac:dyDescent="0.3">
      <c r="A235" s="8" t="s">
        <v>82</v>
      </c>
      <c r="B235" s="8" t="s">
        <v>66</v>
      </c>
      <c r="C235" s="8" t="s">
        <v>67</v>
      </c>
      <c r="D235" s="7"/>
      <c r="E235" s="7"/>
    </row>
    <row r="236" spans="1:5" ht="37.5" x14ac:dyDescent="0.25">
      <c r="A236" s="9" t="s">
        <v>150</v>
      </c>
      <c r="B236" s="9">
        <v>4205.75</v>
      </c>
      <c r="C236" s="9"/>
      <c r="D236" s="23" t="s">
        <v>198</v>
      </c>
      <c r="E236" s="9"/>
    </row>
    <row r="237" spans="1:5" x14ac:dyDescent="0.25">
      <c r="A237" s="9"/>
      <c r="B237" s="9"/>
      <c r="C237" s="9"/>
      <c r="D237" s="9"/>
      <c r="E237" s="9"/>
    </row>
    <row r="238" spans="1:5" ht="13" x14ac:dyDescent="0.3">
      <c r="A238" s="10" t="s">
        <v>70</v>
      </c>
      <c r="B238" s="7">
        <f>SUM(B236:B237)</f>
        <v>4205.75</v>
      </c>
      <c r="C238" s="7"/>
      <c r="D238" s="7"/>
      <c r="E238" s="7"/>
    </row>
    <row r="239" spans="1:5" x14ac:dyDescent="0.25">
      <c r="A239" s="7"/>
      <c r="B239" s="7"/>
      <c r="C239" s="7"/>
      <c r="D239" s="7"/>
      <c r="E239" s="7"/>
    </row>
    <row r="240" spans="1:5" ht="13" x14ac:dyDescent="0.3">
      <c r="A240" s="8" t="s">
        <v>85</v>
      </c>
      <c r="B240" s="8" t="s">
        <v>66</v>
      </c>
      <c r="C240" s="8" t="s">
        <v>67</v>
      </c>
      <c r="D240" s="7"/>
      <c r="E240" s="7"/>
    </row>
    <row r="241" spans="1:5" x14ac:dyDescent="0.25">
      <c r="A241" s="9" t="s">
        <v>155</v>
      </c>
      <c r="B241" s="19">
        <v>105.73</v>
      </c>
      <c r="C241" s="28" t="s">
        <v>221</v>
      </c>
      <c r="D241" s="9"/>
      <c r="E241" s="9"/>
    </row>
    <row r="242" spans="1:5" ht="37.5" x14ac:dyDescent="0.25">
      <c r="A242" s="9" t="s">
        <v>104</v>
      </c>
      <c r="B242" s="9">
        <v>0</v>
      </c>
      <c r="C242" s="9"/>
      <c r="D242" s="23" t="s">
        <v>198</v>
      </c>
      <c r="E242" s="9"/>
    </row>
    <row r="243" spans="1:5" x14ac:dyDescent="0.25">
      <c r="A243" s="9" t="s">
        <v>137</v>
      </c>
      <c r="B243" s="9">
        <v>0</v>
      </c>
      <c r="C243" s="9"/>
      <c r="D243" s="9"/>
      <c r="E243" s="9"/>
    </row>
    <row r="244" spans="1:5" x14ac:dyDescent="0.25">
      <c r="A244" s="9" t="s">
        <v>29</v>
      </c>
      <c r="B244" s="9">
        <v>4671.3599999999997</v>
      </c>
      <c r="C244" s="9"/>
      <c r="D244" s="9"/>
      <c r="E244" s="9"/>
    </row>
    <row r="245" spans="1:5" x14ac:dyDescent="0.25">
      <c r="A245" s="9" t="s">
        <v>30</v>
      </c>
      <c r="B245" s="9">
        <v>490</v>
      </c>
      <c r="C245" s="9"/>
      <c r="D245" s="9"/>
      <c r="E245" s="9"/>
    </row>
    <row r="246" spans="1:5" ht="13" x14ac:dyDescent="0.3">
      <c r="A246" s="10" t="s">
        <v>70</v>
      </c>
      <c r="B246" s="7">
        <f>SUM(B241:B245)</f>
        <v>5267.0899999999992</v>
      </c>
      <c r="C246" s="7"/>
      <c r="D246" s="7"/>
      <c r="E246" s="7"/>
    </row>
    <row r="247" spans="1:5" ht="13" x14ac:dyDescent="0.3">
      <c r="A247" s="10"/>
      <c r="B247" s="7"/>
      <c r="C247" s="7"/>
      <c r="D247" s="7"/>
      <c r="E247" s="7"/>
    </row>
    <row r="248" spans="1:5" ht="13" x14ac:dyDescent="0.3">
      <c r="A248" s="10" t="s">
        <v>87</v>
      </c>
      <c r="B248" s="7">
        <f>SUM(B228,B233,B238) - B246</f>
        <v>4838.6600000000008</v>
      </c>
      <c r="C248" s="7"/>
      <c r="D248" s="7"/>
      <c r="E248" s="7"/>
    </row>
    <row r="249" spans="1:5" ht="13" x14ac:dyDescent="0.3">
      <c r="A249" s="10"/>
      <c r="B249" s="7"/>
      <c r="C249" s="7"/>
      <c r="D249" s="7"/>
      <c r="E249" s="7"/>
    </row>
    <row r="250" spans="1:5" ht="13" x14ac:dyDescent="0.3">
      <c r="A250" s="11" t="s">
        <v>73</v>
      </c>
      <c r="B250" s="7"/>
      <c r="C250" s="7"/>
      <c r="D250" s="7"/>
      <c r="E250" s="7"/>
    </row>
    <row r="251" spans="1:5" ht="13" x14ac:dyDescent="0.3">
      <c r="A251" s="8" t="s">
        <v>75</v>
      </c>
      <c r="B251" s="8" t="s">
        <v>66</v>
      </c>
      <c r="C251" s="8" t="s">
        <v>67</v>
      </c>
      <c r="D251" s="7"/>
      <c r="E251" s="7"/>
    </row>
    <row r="252" spans="1:5" x14ac:dyDescent="0.25">
      <c r="A252" s="9"/>
      <c r="B252" s="9"/>
      <c r="C252" s="9"/>
      <c r="D252" s="9"/>
      <c r="E252" s="9"/>
    </row>
    <row r="253" spans="1:5" x14ac:dyDescent="0.25">
      <c r="A253" s="9"/>
      <c r="B253" s="9"/>
      <c r="C253" s="9"/>
      <c r="D253" s="9"/>
      <c r="E253" s="9"/>
    </row>
    <row r="254" spans="1:5" ht="13" x14ac:dyDescent="0.3">
      <c r="A254" s="10" t="s">
        <v>70</v>
      </c>
      <c r="B254" s="7">
        <f>SUM(B252:B253)</f>
        <v>0</v>
      </c>
      <c r="C254" s="7"/>
      <c r="D254" s="7"/>
      <c r="E254" s="7"/>
    </row>
    <row r="255" spans="1:5" ht="13" x14ac:dyDescent="0.3">
      <c r="A255" s="11"/>
      <c r="B255" s="7"/>
      <c r="C255" s="7"/>
      <c r="D255" s="7"/>
      <c r="E255" s="7"/>
    </row>
    <row r="256" spans="1:5" ht="13" x14ac:dyDescent="0.3">
      <c r="A256" s="8" t="s">
        <v>76</v>
      </c>
      <c r="B256" s="8" t="s">
        <v>66</v>
      </c>
      <c r="C256" s="8" t="s">
        <v>67</v>
      </c>
      <c r="D256" s="7"/>
      <c r="E256" s="7"/>
    </row>
    <row r="257" spans="1:5" x14ac:dyDescent="0.25">
      <c r="A257" s="9"/>
      <c r="B257" s="9"/>
      <c r="C257" s="9"/>
      <c r="D257" s="9"/>
      <c r="E257" s="9"/>
    </row>
    <row r="258" spans="1:5" x14ac:dyDescent="0.25">
      <c r="A258" s="9"/>
      <c r="B258" s="9"/>
      <c r="C258" s="9"/>
      <c r="D258" s="9"/>
      <c r="E258" s="9"/>
    </row>
    <row r="259" spans="1:5" ht="13" x14ac:dyDescent="0.3">
      <c r="A259" s="10" t="s">
        <v>70</v>
      </c>
      <c r="B259" s="7">
        <f>SUM(B257:B258)</f>
        <v>0</v>
      </c>
      <c r="C259" s="7"/>
      <c r="D259" s="7"/>
      <c r="E259" s="7"/>
    </row>
    <row r="260" spans="1:5" x14ac:dyDescent="0.25">
      <c r="A260" s="7"/>
      <c r="B260" s="7"/>
      <c r="C260" s="7"/>
      <c r="D260" s="7"/>
      <c r="E260" s="7"/>
    </row>
    <row r="261" spans="1:5" ht="13" x14ac:dyDescent="0.3">
      <c r="A261" s="8" t="s">
        <v>86</v>
      </c>
      <c r="B261" s="8" t="s">
        <v>66</v>
      </c>
      <c r="C261" s="8" t="s">
        <v>67</v>
      </c>
      <c r="D261" s="7"/>
      <c r="E261" s="7"/>
    </row>
    <row r="262" spans="1:5" ht="125" x14ac:dyDescent="0.25">
      <c r="A262" s="9" t="s">
        <v>209</v>
      </c>
      <c r="B262" s="9">
        <v>1829.55</v>
      </c>
      <c r="C262" s="23" t="s">
        <v>233</v>
      </c>
      <c r="D262" s="9"/>
      <c r="E262" s="9"/>
    </row>
    <row r="263" spans="1:5" x14ac:dyDescent="0.25">
      <c r="A263" s="9" t="s">
        <v>157</v>
      </c>
      <c r="B263" s="15">
        <v>5289.61</v>
      </c>
      <c r="C263" s="9"/>
      <c r="D263" s="9"/>
      <c r="E263" s="9"/>
    </row>
    <row r="264" spans="1:5" x14ac:dyDescent="0.25">
      <c r="A264" s="9"/>
      <c r="B264" s="9"/>
      <c r="C264" s="9"/>
      <c r="D264" s="9"/>
      <c r="E264" s="9"/>
    </row>
    <row r="265" spans="1:5" ht="13" x14ac:dyDescent="0.3">
      <c r="A265" s="10" t="s">
        <v>70</v>
      </c>
      <c r="B265" s="7">
        <f>SUM(B262:B264)</f>
        <v>7119.16</v>
      </c>
      <c r="C265" s="7"/>
      <c r="D265" s="7"/>
      <c r="E265" s="7"/>
    </row>
    <row r="266" spans="1:5" x14ac:dyDescent="0.25">
      <c r="A266" s="7"/>
      <c r="B266" s="7"/>
      <c r="C266" s="7"/>
      <c r="D266" s="7"/>
      <c r="E266" s="7"/>
    </row>
    <row r="267" spans="1:5" ht="13" x14ac:dyDescent="0.3">
      <c r="A267" s="10" t="s">
        <v>88</v>
      </c>
      <c r="B267" s="7">
        <f>SUM(B254,B259) - B265</f>
        <v>-7119.16</v>
      </c>
      <c r="C267" s="7"/>
      <c r="D267" s="7"/>
      <c r="E267" s="7"/>
    </row>
    <row r="268" spans="1:5" x14ac:dyDescent="0.25">
      <c r="A268" s="7"/>
      <c r="B268" s="7"/>
      <c r="C268" s="7"/>
      <c r="D268" s="7"/>
      <c r="E268" s="7"/>
    </row>
    <row r="269" spans="1:5" ht="13" x14ac:dyDescent="0.3">
      <c r="A269" s="5" t="s">
        <v>89</v>
      </c>
      <c r="B269" s="7"/>
      <c r="C269" s="7"/>
      <c r="D269" s="7"/>
      <c r="E269" s="7"/>
    </row>
    <row r="270" spans="1:5" ht="13" x14ac:dyDescent="0.3">
      <c r="A270" s="8" t="s">
        <v>94</v>
      </c>
      <c r="B270" s="8" t="s">
        <v>66</v>
      </c>
      <c r="C270" s="8" t="s">
        <v>67</v>
      </c>
      <c r="D270" s="7"/>
      <c r="E270" s="7"/>
    </row>
    <row r="271" spans="1:5" x14ac:dyDescent="0.25">
      <c r="A271" s="9" t="s">
        <v>90</v>
      </c>
      <c r="B271" s="15">
        <v>39020.769999999997</v>
      </c>
      <c r="C271" s="9"/>
      <c r="D271" s="9"/>
      <c r="E271" s="9"/>
    </row>
    <row r="272" spans="1:5" x14ac:dyDescent="0.25">
      <c r="A272" s="9" t="s">
        <v>91</v>
      </c>
      <c r="B272" s="9">
        <v>764.61</v>
      </c>
      <c r="C272" s="9"/>
      <c r="D272" s="9"/>
      <c r="E272" s="9"/>
    </row>
    <row r="273" spans="1:5" x14ac:dyDescent="0.25">
      <c r="A273" s="9" t="s">
        <v>92</v>
      </c>
      <c r="B273" s="9">
        <v>40000</v>
      </c>
      <c r="C273" s="28" t="s">
        <v>220</v>
      </c>
      <c r="D273" s="9"/>
      <c r="E273" s="9"/>
    </row>
    <row r="274" spans="1:5" x14ac:dyDescent="0.25">
      <c r="A274" s="9" t="s">
        <v>93</v>
      </c>
      <c r="B274" s="9">
        <v>27000</v>
      </c>
      <c r="C274" s="28" t="s">
        <v>222</v>
      </c>
      <c r="D274" s="9"/>
      <c r="E274" s="9"/>
    </row>
    <row r="275" spans="1:5" x14ac:dyDescent="0.25">
      <c r="A275" s="9" t="s">
        <v>122</v>
      </c>
      <c r="B275" s="28">
        <v>320</v>
      </c>
      <c r="C275" s="25"/>
      <c r="D275" s="9"/>
      <c r="E275" s="9"/>
    </row>
    <row r="276" spans="1:5" x14ac:dyDescent="0.25">
      <c r="A276" s="9" t="s">
        <v>228</v>
      </c>
      <c r="B276" s="28">
        <v>631.99</v>
      </c>
      <c r="C276" s="28" t="s">
        <v>229</v>
      </c>
      <c r="D276" s="9"/>
      <c r="E276" s="9"/>
    </row>
    <row r="277" spans="1:5" ht="13" x14ac:dyDescent="0.3">
      <c r="A277" s="10" t="s">
        <v>70</v>
      </c>
      <c r="B277" s="7">
        <f>SUM(B271:B275)</f>
        <v>107105.38</v>
      </c>
      <c r="C277" s="7"/>
      <c r="D277" s="7"/>
      <c r="E277" s="7"/>
    </row>
    <row r="278" spans="1:5" x14ac:dyDescent="0.25">
      <c r="A278" s="7"/>
      <c r="B278" s="7"/>
      <c r="C278" s="7"/>
      <c r="D278" s="7"/>
      <c r="E278" s="7"/>
    </row>
    <row r="279" spans="1:5" ht="13" x14ac:dyDescent="0.3">
      <c r="A279" s="5" t="s">
        <v>99</v>
      </c>
      <c r="B279" s="7">
        <f xml:space="preserve"> B267-B248</f>
        <v>-11957.82</v>
      </c>
      <c r="C279" s="7"/>
      <c r="D279" s="7"/>
      <c r="E279" s="7"/>
    </row>
    <row r="280" spans="1:5" ht="63" x14ac:dyDescent="0.3">
      <c r="A280" s="5" t="s">
        <v>100</v>
      </c>
      <c r="B280" s="7">
        <f>SUM(B277,B279)</f>
        <v>95147.56</v>
      </c>
      <c r="C280" s="21" t="s">
        <v>223</v>
      </c>
      <c r="D280" s="7"/>
      <c r="E280" s="7"/>
    </row>
    <row r="281" spans="1:5" ht="13" x14ac:dyDescent="0.3">
      <c r="A281" s="5" t="s">
        <v>108</v>
      </c>
      <c r="B281" s="7">
        <v>88111.28</v>
      </c>
      <c r="C281" s="29" t="s">
        <v>226</v>
      </c>
      <c r="D281" s="7"/>
      <c r="E281" s="7"/>
    </row>
    <row r="282" spans="1:5" ht="100.5" x14ac:dyDescent="0.3">
      <c r="A282" s="5" t="s">
        <v>110</v>
      </c>
      <c r="B282" s="7">
        <f xml:space="preserve"> B280 - B281</f>
        <v>7036.2799999999988</v>
      </c>
      <c r="C282" s="22" t="s">
        <v>197</v>
      </c>
      <c r="D282" s="7"/>
      <c r="E282" s="7"/>
    </row>
  </sheetData>
  <mergeCells count="4">
    <mergeCell ref="A112:E114"/>
    <mergeCell ref="B115:D115"/>
    <mergeCell ref="A209:E211"/>
    <mergeCell ref="B212:D212"/>
  </mergeCells>
  <dataValidations count="10">
    <dataValidation type="list" allowBlank="1" showInputMessage="1" showErrorMessage="1" sqref="A271:A276 A198:A203" xr:uid="{00000000-0002-0000-0A00-000000000000}">
      <formula1>$A$105:$A$110</formula1>
    </dataValidation>
    <dataValidation type="list" allowBlank="1" showInputMessage="1" showErrorMessage="1" sqref="A257:A258 A185:A186" xr:uid="{00000000-0002-0000-0A00-000001000000}">
      <formula1>$A$99:$A$102</formula1>
    </dataValidation>
    <dataValidation type="list" allowBlank="1" showInputMessage="1" showErrorMessage="1" sqref="A252:A253 A180:A181" xr:uid="{00000000-0002-0000-0A00-000002000000}">
      <formula1>$A$95:$A$96</formula1>
    </dataValidation>
    <dataValidation type="list" allowBlank="1" showInputMessage="1" showErrorMessage="1" sqref="A241:A245 A170:A173" xr:uid="{00000000-0002-0000-0A00-000003000000}">
      <formula1>$A$80:$A$87</formula1>
    </dataValidation>
    <dataValidation type="list" allowBlank="1" showInputMessage="1" showErrorMessage="1" sqref="A236:A237 A159:A166" xr:uid="{00000000-0002-0000-0A00-000004000000}">
      <formula1>$A$46:$A$77</formula1>
    </dataValidation>
    <dataValidation type="list" allowBlank="1" showInputMessage="1" showErrorMessage="1" sqref="A231:A232 A152:A155" xr:uid="{00000000-0002-0000-0A00-000005000000}">
      <formula1>$A$34:$A$43</formula1>
    </dataValidation>
    <dataValidation type="list" allowBlank="1" showInputMessage="1" showErrorMessage="1" sqref="A262:A264 A190:A191" xr:uid="{00000000-0002-0000-0A00-000006000000}">
      <formula1>$A$90:$A$92</formula1>
    </dataValidation>
    <dataValidation type="time" operator="greaterThan" allowBlank="1" showInputMessage="1" showErrorMessage="1" sqref="B117 B214" xr:uid="{00000000-0002-0000-0A00-000007000000}">
      <formula1>0</formula1>
    </dataValidation>
    <dataValidation type="date" operator="greaterThan" allowBlank="1" showInputMessage="1" showErrorMessage="1" sqref="B116 B213" xr:uid="{00000000-0002-0000-0A00-000008000000}">
      <formula1>41275</formula1>
    </dataValidation>
    <dataValidation type="list" allowBlank="1" showInputMessage="1" showErrorMessage="1" sqref="A121:A148 A218:A227" xr:uid="{00000000-0002-0000-0A00-000009000000}">
      <formula1>$A$3:$A$31</formula1>
    </dataValidation>
  </dataValidations>
  <pageMargins left="0.75" right="0.75" top="1" bottom="1"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82"/>
  <sheetViews>
    <sheetView topLeftCell="A263" workbookViewId="0">
      <selection activeCell="C280" sqref="C280"/>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s="27" t="s">
        <v>231</v>
      </c>
    </row>
    <row r="59" spans="1:1" x14ac:dyDescent="0.25">
      <c r="A59" s="27" t="s">
        <v>230</v>
      </c>
    </row>
    <row r="60" spans="1:1" x14ac:dyDescent="0.25">
      <c r="A60" t="s">
        <v>53</v>
      </c>
    </row>
    <row r="61" spans="1:1" x14ac:dyDescent="0.25">
      <c r="A61" t="s">
        <v>54</v>
      </c>
    </row>
    <row r="62" spans="1:1" x14ac:dyDescent="0.25">
      <c r="A62" t="s">
        <v>55</v>
      </c>
    </row>
    <row r="63" spans="1:1" x14ac:dyDescent="0.25">
      <c r="A63" t="s">
        <v>56</v>
      </c>
    </row>
    <row r="64" spans="1:1" x14ac:dyDescent="0.25">
      <c r="A64" t="s">
        <v>57</v>
      </c>
    </row>
    <row r="65" spans="1:1" x14ac:dyDescent="0.25">
      <c r="A65" t="s">
        <v>58</v>
      </c>
    </row>
    <row r="66" spans="1:1" x14ac:dyDescent="0.25">
      <c r="A66" t="s">
        <v>59</v>
      </c>
    </row>
    <row r="67" spans="1:1" x14ac:dyDescent="0.25">
      <c r="A67" t="s">
        <v>60</v>
      </c>
    </row>
    <row r="68" spans="1:1" x14ac:dyDescent="0.25">
      <c r="A68" t="s">
        <v>61</v>
      </c>
    </row>
    <row r="69" spans="1:1" x14ac:dyDescent="0.25">
      <c r="A69" t="s">
        <v>62</v>
      </c>
    </row>
    <row r="70" spans="1:1" x14ac:dyDescent="0.25">
      <c r="A70" t="s">
        <v>81</v>
      </c>
    </row>
    <row r="71" spans="1:1" x14ac:dyDescent="0.25">
      <c r="A71" t="s">
        <v>63</v>
      </c>
    </row>
    <row r="72" spans="1:1" x14ac:dyDescent="0.25">
      <c r="A72" t="s">
        <v>64</v>
      </c>
    </row>
    <row r="73" spans="1:1" x14ac:dyDescent="0.25">
      <c r="A73" s="27" t="s">
        <v>212</v>
      </c>
    </row>
    <row r="74" spans="1:1" x14ac:dyDescent="0.25">
      <c r="A74" t="s">
        <v>161</v>
      </c>
    </row>
    <row r="75" spans="1:1" x14ac:dyDescent="0.25">
      <c r="A75" t="s">
        <v>177</v>
      </c>
    </row>
    <row r="76" spans="1:1" x14ac:dyDescent="0.25">
      <c r="A76" s="27" t="s">
        <v>202</v>
      </c>
    </row>
    <row r="77" spans="1:1" x14ac:dyDescent="0.25">
      <c r="A77" t="s">
        <v>150</v>
      </c>
    </row>
    <row r="79" spans="1:1" ht="13" x14ac:dyDescent="0.3">
      <c r="A79" s="1" t="s">
        <v>85</v>
      </c>
    </row>
    <row r="80" spans="1:1" x14ac:dyDescent="0.25">
      <c r="A80" t="s">
        <v>23</v>
      </c>
    </row>
    <row r="81" spans="1:1" x14ac:dyDescent="0.25">
      <c r="A81" t="s">
        <v>24</v>
      </c>
    </row>
    <row r="82" spans="1:1" x14ac:dyDescent="0.25">
      <c r="A82" t="s">
        <v>29</v>
      </c>
    </row>
    <row r="83" spans="1:1" x14ac:dyDescent="0.25">
      <c r="A83" t="s">
        <v>137</v>
      </c>
    </row>
    <row r="84" spans="1:1" x14ac:dyDescent="0.25">
      <c r="A84" t="s">
        <v>104</v>
      </c>
    </row>
    <row r="85" spans="1:1" x14ac:dyDescent="0.25">
      <c r="A85" t="s">
        <v>155</v>
      </c>
    </row>
    <row r="86" spans="1:1" x14ac:dyDescent="0.25">
      <c r="A86" t="s">
        <v>162</v>
      </c>
    </row>
    <row r="87" spans="1:1" x14ac:dyDescent="0.25">
      <c r="A87" t="s">
        <v>30</v>
      </c>
    </row>
    <row r="89" spans="1:1" ht="13" x14ac:dyDescent="0.3">
      <c r="A89" s="1" t="s">
        <v>86</v>
      </c>
    </row>
    <row r="90" spans="1:1" x14ac:dyDescent="0.25">
      <c r="A90" s="27" t="s">
        <v>209</v>
      </c>
    </row>
    <row r="91" spans="1:1" x14ac:dyDescent="0.25">
      <c r="A91" t="s">
        <v>157</v>
      </c>
    </row>
    <row r="92" spans="1:1" x14ac:dyDescent="0.25">
      <c r="A92" t="s">
        <v>72</v>
      </c>
    </row>
    <row r="94" spans="1:1" ht="13" x14ac:dyDescent="0.3">
      <c r="A94" s="1" t="s">
        <v>75</v>
      </c>
    </row>
    <row r="95" spans="1:1" x14ac:dyDescent="0.25">
      <c r="A95" t="s">
        <v>74</v>
      </c>
    </row>
    <row r="96" spans="1:1" x14ac:dyDescent="0.25">
      <c r="A96" t="s">
        <v>83</v>
      </c>
    </row>
    <row r="98" spans="1:5" ht="13" x14ac:dyDescent="0.3">
      <c r="A98" s="1" t="s">
        <v>76</v>
      </c>
    </row>
    <row r="99" spans="1:5" x14ac:dyDescent="0.25">
      <c r="A99" t="s">
        <v>77</v>
      </c>
    </row>
    <row r="100" spans="1:5" x14ac:dyDescent="0.25">
      <c r="A100" t="s">
        <v>78</v>
      </c>
    </row>
    <row r="101" spans="1:5" x14ac:dyDescent="0.25">
      <c r="A101" t="s">
        <v>79</v>
      </c>
    </row>
    <row r="102" spans="1:5" x14ac:dyDescent="0.25">
      <c r="A102" t="s">
        <v>80</v>
      </c>
    </row>
    <row r="104" spans="1:5" ht="13" x14ac:dyDescent="0.3">
      <c r="A104" s="1" t="s">
        <v>89</v>
      </c>
    </row>
    <row r="105" spans="1:5" x14ac:dyDescent="0.25">
      <c r="A105" t="s">
        <v>90</v>
      </c>
    </row>
    <row r="106" spans="1:5" x14ac:dyDescent="0.25">
      <c r="A106" t="s">
        <v>91</v>
      </c>
    </row>
    <row r="107" spans="1:5" x14ac:dyDescent="0.25">
      <c r="A107" t="s">
        <v>92</v>
      </c>
    </row>
    <row r="108" spans="1:5" x14ac:dyDescent="0.25">
      <c r="A108" t="s">
        <v>122</v>
      </c>
    </row>
    <row r="109" spans="1:5" x14ac:dyDescent="0.25">
      <c r="A109" s="27" t="s">
        <v>228</v>
      </c>
    </row>
    <row r="110" spans="1:5" x14ac:dyDescent="0.25">
      <c r="A110" t="s">
        <v>93</v>
      </c>
    </row>
    <row r="112" spans="1:5" x14ac:dyDescent="0.25">
      <c r="A112" s="66"/>
      <c r="B112" s="66"/>
      <c r="C112" s="66"/>
      <c r="D112" s="66"/>
      <c r="E112" s="66"/>
    </row>
    <row r="113" spans="1:6" x14ac:dyDescent="0.25">
      <c r="A113" s="66"/>
      <c r="B113" s="66"/>
      <c r="C113" s="66"/>
      <c r="D113" s="66"/>
      <c r="E113" s="66"/>
    </row>
    <row r="114" spans="1:6" x14ac:dyDescent="0.25">
      <c r="A114" s="67"/>
      <c r="B114" s="67"/>
      <c r="C114" s="67"/>
      <c r="D114" s="67"/>
      <c r="E114" s="67"/>
    </row>
    <row r="115" spans="1:6" ht="13" x14ac:dyDescent="0.3">
      <c r="A115" s="3" t="s">
        <v>205</v>
      </c>
      <c r="B115" s="68" t="s">
        <v>71</v>
      </c>
      <c r="C115" s="68"/>
      <c r="D115" s="68"/>
      <c r="E115" s="4"/>
    </row>
    <row r="116" spans="1:6" ht="13" x14ac:dyDescent="0.3">
      <c r="A116" s="5" t="s">
        <v>95</v>
      </c>
      <c r="B116" s="12">
        <v>42221</v>
      </c>
      <c r="C116" s="6"/>
      <c r="D116" s="6"/>
      <c r="E116" s="7"/>
    </row>
    <row r="117" spans="1:6" ht="13" x14ac:dyDescent="0.3">
      <c r="A117" s="5" t="s">
        <v>102</v>
      </c>
      <c r="B117" s="13">
        <v>0.66180555555555554</v>
      </c>
      <c r="C117" s="6"/>
      <c r="D117" s="6"/>
      <c r="E117" s="7"/>
    </row>
    <row r="118" spans="1:6" ht="13" x14ac:dyDescent="0.3">
      <c r="A118" s="5"/>
      <c r="B118" s="6"/>
      <c r="C118" s="6"/>
      <c r="D118" s="6"/>
      <c r="E118" s="7"/>
    </row>
    <row r="119" spans="1:6" ht="13" x14ac:dyDescent="0.3">
      <c r="A119" s="5" t="s">
        <v>84</v>
      </c>
      <c r="B119" s="6"/>
      <c r="C119" s="6"/>
      <c r="D119" s="6"/>
      <c r="E119" s="7"/>
    </row>
    <row r="120" spans="1:6" ht="13" x14ac:dyDescent="0.3">
      <c r="A120" s="8" t="s">
        <v>0</v>
      </c>
      <c r="B120" s="8" t="s">
        <v>66</v>
      </c>
      <c r="C120" s="5" t="s">
        <v>101</v>
      </c>
      <c r="D120" s="8" t="s">
        <v>67</v>
      </c>
      <c r="E120" s="7"/>
    </row>
    <row r="121" spans="1:6" x14ac:dyDescent="0.25">
      <c r="A121" s="9" t="s">
        <v>1</v>
      </c>
      <c r="B121" s="9">
        <v>4100</v>
      </c>
      <c r="C121" s="9"/>
      <c r="D121" s="17"/>
      <c r="E121" s="9"/>
      <c r="F121" s="2"/>
    </row>
    <row r="122" spans="1:6" x14ac:dyDescent="0.25">
      <c r="A122" s="9" t="s">
        <v>3</v>
      </c>
      <c r="B122" s="9">
        <v>2566.6999999999998</v>
      </c>
      <c r="C122" s="9"/>
      <c r="D122" s="17"/>
      <c r="E122" s="9"/>
      <c r="F122" s="2"/>
    </row>
    <row r="123" spans="1:6" x14ac:dyDescent="0.25">
      <c r="A123" s="9" t="s">
        <v>4</v>
      </c>
      <c r="B123" s="9">
        <v>199</v>
      </c>
      <c r="C123" s="9"/>
      <c r="D123" s="17"/>
      <c r="E123" s="9"/>
      <c r="F123" s="2"/>
    </row>
    <row r="124" spans="1:6" x14ac:dyDescent="0.25">
      <c r="A124" s="9" t="s">
        <v>5</v>
      </c>
      <c r="B124" s="9">
        <v>-4.4800000000000004</v>
      </c>
      <c r="C124" s="9"/>
      <c r="D124" s="17"/>
      <c r="E124" s="9"/>
      <c r="F124" s="2"/>
    </row>
    <row r="125" spans="1:6" x14ac:dyDescent="0.25">
      <c r="A125" s="9" t="s">
        <v>16</v>
      </c>
      <c r="B125" s="9">
        <v>0</v>
      </c>
      <c r="C125" s="9"/>
      <c r="D125" s="9"/>
      <c r="E125" s="9"/>
      <c r="F125" s="2"/>
    </row>
    <row r="126" spans="1:6" x14ac:dyDescent="0.25">
      <c r="A126" s="9" t="s">
        <v>6</v>
      </c>
      <c r="B126" s="9">
        <v>0</v>
      </c>
      <c r="C126" s="9"/>
      <c r="D126" s="9"/>
      <c r="E126" s="9"/>
      <c r="F126" s="2"/>
    </row>
    <row r="127" spans="1:6" x14ac:dyDescent="0.25">
      <c r="A127" s="9" t="s">
        <v>7</v>
      </c>
      <c r="B127" s="9">
        <v>0</v>
      </c>
      <c r="C127" s="9"/>
      <c r="D127" s="9"/>
      <c r="E127" s="9"/>
      <c r="F127" s="2"/>
    </row>
    <row r="128" spans="1:6" x14ac:dyDescent="0.25">
      <c r="A128" s="9" t="s">
        <v>8</v>
      </c>
      <c r="B128" s="9">
        <v>401</v>
      </c>
      <c r="C128" s="9"/>
      <c r="D128" s="9"/>
      <c r="E128" s="9"/>
      <c r="F128" s="2"/>
    </row>
    <row r="129" spans="1:6" x14ac:dyDescent="0.25">
      <c r="A129" s="9" t="s">
        <v>10</v>
      </c>
      <c r="B129" s="9">
        <v>0</v>
      </c>
      <c r="C129" s="9"/>
      <c r="D129" s="9"/>
      <c r="E129" s="9"/>
      <c r="F129" s="2"/>
    </row>
    <row r="130" spans="1:6" x14ac:dyDescent="0.25">
      <c r="A130" s="9" t="s">
        <v>11</v>
      </c>
      <c r="B130" s="9">
        <v>44</v>
      </c>
      <c r="C130" s="9"/>
      <c r="D130" s="9"/>
      <c r="E130" s="9"/>
      <c r="F130" s="2"/>
    </row>
    <row r="131" spans="1:6" x14ac:dyDescent="0.25">
      <c r="A131" s="9" t="s">
        <v>12</v>
      </c>
      <c r="B131" s="9">
        <v>20</v>
      </c>
      <c r="C131" s="9"/>
      <c r="D131" s="9"/>
      <c r="E131" s="9"/>
      <c r="F131" s="2"/>
    </row>
    <row r="132" spans="1:6" x14ac:dyDescent="0.25">
      <c r="A132" s="9" t="s">
        <v>13</v>
      </c>
      <c r="B132" s="9">
        <v>70</v>
      </c>
      <c r="C132" s="9"/>
      <c r="D132" s="9"/>
      <c r="E132" s="9"/>
      <c r="F132" s="2"/>
    </row>
    <row r="133" spans="1:6" x14ac:dyDescent="0.25">
      <c r="A133" s="9" t="s">
        <v>17</v>
      </c>
      <c r="B133" s="9">
        <v>0</v>
      </c>
      <c r="C133" s="9"/>
      <c r="D133" s="9"/>
      <c r="E133" s="9"/>
      <c r="F133" s="2"/>
    </row>
    <row r="134" spans="1:6" x14ac:dyDescent="0.25">
      <c r="A134" s="9" t="s">
        <v>22</v>
      </c>
      <c r="B134" s="9">
        <v>0</v>
      </c>
      <c r="C134" s="9"/>
      <c r="D134" s="9"/>
      <c r="E134" s="9"/>
      <c r="F134" s="2"/>
    </row>
    <row r="135" spans="1:6" x14ac:dyDescent="0.25">
      <c r="A135" s="9" t="s">
        <v>14</v>
      </c>
      <c r="B135" s="9">
        <v>868</v>
      </c>
      <c r="C135" s="9"/>
      <c r="D135" s="9"/>
      <c r="E135" s="9"/>
      <c r="F135" s="2"/>
    </row>
    <row r="136" spans="1:6" x14ac:dyDescent="0.25">
      <c r="A136" s="9" t="s">
        <v>15</v>
      </c>
      <c r="B136" s="9">
        <v>150</v>
      </c>
      <c r="C136" s="9"/>
      <c r="D136" s="17"/>
      <c r="E136" s="9"/>
      <c r="F136" s="2"/>
    </row>
    <row r="137" spans="1:6" x14ac:dyDescent="0.25">
      <c r="A137" s="9" t="s">
        <v>9</v>
      </c>
      <c r="B137" s="9">
        <v>2400</v>
      </c>
      <c r="C137" s="9"/>
      <c r="D137" s="28" t="s">
        <v>225</v>
      </c>
      <c r="E137" s="9"/>
      <c r="F137" s="2"/>
    </row>
    <row r="138" spans="1:6" x14ac:dyDescent="0.25">
      <c r="A138" s="9" t="s">
        <v>28</v>
      </c>
      <c r="B138" s="9">
        <v>50</v>
      </c>
      <c r="C138" s="9"/>
      <c r="D138" s="17"/>
      <c r="E138" s="9"/>
      <c r="F138" s="2"/>
    </row>
    <row r="139" spans="1:6" x14ac:dyDescent="0.25">
      <c r="A139" s="9" t="s">
        <v>153</v>
      </c>
      <c r="B139" s="9">
        <v>0</v>
      </c>
      <c r="C139" s="9"/>
      <c r="D139" s="17"/>
      <c r="E139" s="9"/>
      <c r="F139" s="2"/>
    </row>
    <row r="140" spans="1:6" x14ac:dyDescent="0.25">
      <c r="A140" s="9" t="s">
        <v>32</v>
      </c>
      <c r="B140" s="9">
        <v>0</v>
      </c>
      <c r="C140" s="9"/>
      <c r="D140" s="9"/>
      <c r="E140" s="9"/>
      <c r="F140" s="2"/>
    </row>
    <row r="141" spans="1:6" x14ac:dyDescent="0.25">
      <c r="A141" s="9" t="s">
        <v>33</v>
      </c>
      <c r="B141" s="9">
        <v>0</v>
      </c>
      <c r="C141" s="9"/>
      <c r="D141" s="9"/>
      <c r="E141" s="9"/>
      <c r="F141" s="2"/>
    </row>
    <row r="142" spans="1:6" x14ac:dyDescent="0.25">
      <c r="A142" s="9" t="s">
        <v>34</v>
      </c>
      <c r="B142" s="9">
        <v>0</v>
      </c>
      <c r="C142" s="9"/>
      <c r="D142" s="9"/>
      <c r="E142" s="9"/>
      <c r="F142" s="2"/>
    </row>
    <row r="143" spans="1:6" x14ac:dyDescent="0.25">
      <c r="A143" s="9" t="s">
        <v>35</v>
      </c>
      <c r="B143" s="9">
        <v>0</v>
      </c>
      <c r="C143" s="9"/>
      <c r="D143" s="9"/>
      <c r="E143" s="9"/>
      <c r="F143" s="2"/>
    </row>
    <row r="144" spans="1:6" x14ac:dyDescent="0.25">
      <c r="A144" s="9" t="s">
        <v>39</v>
      </c>
      <c r="B144" s="9">
        <v>100</v>
      </c>
      <c r="C144" s="9"/>
      <c r="D144" s="9" t="s">
        <v>146</v>
      </c>
      <c r="E144" s="9"/>
      <c r="F144" s="2"/>
    </row>
    <row r="145" spans="1:6" x14ac:dyDescent="0.25">
      <c r="A145" s="9" t="s">
        <v>42</v>
      </c>
      <c r="B145" s="9">
        <v>50</v>
      </c>
      <c r="C145" s="9"/>
      <c r="D145" s="9"/>
      <c r="E145" s="9"/>
      <c r="F145" s="2"/>
    </row>
    <row r="146" spans="1:6" x14ac:dyDescent="0.25">
      <c r="A146" s="9" t="s">
        <v>49</v>
      </c>
      <c r="B146" s="9">
        <v>50</v>
      </c>
      <c r="C146" s="9"/>
      <c r="D146" s="9"/>
      <c r="E146" s="9"/>
      <c r="F146" s="2"/>
    </row>
    <row r="147" spans="1:6" x14ac:dyDescent="0.25">
      <c r="A147" s="9" t="s">
        <v>151</v>
      </c>
      <c r="B147" s="9">
        <v>0</v>
      </c>
      <c r="C147" s="9"/>
      <c r="D147" s="9"/>
      <c r="E147" s="9"/>
      <c r="F147" s="2"/>
    </row>
    <row r="148" spans="1:6" x14ac:dyDescent="0.25">
      <c r="A148" s="9" t="s">
        <v>149</v>
      </c>
      <c r="B148" s="9">
        <v>0</v>
      </c>
      <c r="C148" s="9"/>
      <c r="D148" s="9"/>
      <c r="E148" s="9"/>
      <c r="F148" s="2"/>
    </row>
    <row r="149" spans="1:6" ht="38" x14ac:dyDescent="0.3">
      <c r="A149" s="10" t="s">
        <v>70</v>
      </c>
      <c r="B149" s="7">
        <f>SUM(B121:B148)</f>
        <v>11064.220000000001</v>
      </c>
      <c r="C149" s="7"/>
      <c r="D149" s="22" t="s">
        <v>179</v>
      </c>
      <c r="E149" s="7"/>
    </row>
    <row r="150" spans="1:6" x14ac:dyDescent="0.25">
      <c r="A150" s="7"/>
      <c r="B150" s="7"/>
      <c r="C150" s="7"/>
      <c r="D150" s="7"/>
      <c r="E150" s="7"/>
    </row>
    <row r="151" spans="1:6" ht="13" x14ac:dyDescent="0.3">
      <c r="A151" s="8" t="s">
        <v>31</v>
      </c>
      <c r="B151" s="8" t="s">
        <v>66</v>
      </c>
      <c r="C151" s="5" t="s">
        <v>101</v>
      </c>
      <c r="D151" s="8" t="s">
        <v>67</v>
      </c>
      <c r="E151" s="7"/>
    </row>
    <row r="152" spans="1:6" x14ac:dyDescent="0.25">
      <c r="A152" s="9" t="s">
        <v>18</v>
      </c>
      <c r="B152" s="9">
        <v>0</v>
      </c>
      <c r="C152" s="9"/>
      <c r="D152" s="9"/>
      <c r="E152" s="9"/>
    </row>
    <row r="153" spans="1:6" x14ac:dyDescent="0.25">
      <c r="A153" s="9" t="s">
        <v>173</v>
      </c>
      <c r="B153" s="9">
        <v>0</v>
      </c>
      <c r="C153" s="9"/>
      <c r="D153" s="9"/>
      <c r="E153" s="9"/>
    </row>
    <row r="154" spans="1:6" x14ac:dyDescent="0.25">
      <c r="A154" s="9" t="s">
        <v>175</v>
      </c>
      <c r="B154" s="9">
        <v>0</v>
      </c>
      <c r="C154" s="9"/>
      <c r="D154" s="9"/>
      <c r="E154" s="9"/>
    </row>
    <row r="155" spans="1:6" x14ac:dyDescent="0.25">
      <c r="A155" s="9" t="s">
        <v>21</v>
      </c>
      <c r="B155" s="9">
        <v>300</v>
      </c>
      <c r="C155" s="9"/>
      <c r="D155" s="26" t="s">
        <v>201</v>
      </c>
      <c r="E155" s="9"/>
    </row>
    <row r="156" spans="1:6" ht="13" x14ac:dyDescent="0.3">
      <c r="A156" s="10" t="s">
        <v>70</v>
      </c>
      <c r="B156" s="7">
        <f>SUM(B152:B155)</f>
        <v>300</v>
      </c>
      <c r="C156" s="7"/>
      <c r="D156" s="7"/>
      <c r="E156" s="7"/>
    </row>
    <row r="157" spans="1:6" x14ac:dyDescent="0.25">
      <c r="A157" s="7"/>
      <c r="B157" s="7"/>
      <c r="C157" s="7"/>
      <c r="D157" s="7"/>
      <c r="E157" s="7"/>
    </row>
    <row r="158" spans="1:6" ht="13" x14ac:dyDescent="0.3">
      <c r="A158" s="8" t="s">
        <v>82</v>
      </c>
      <c r="B158" s="8" t="s">
        <v>66</v>
      </c>
      <c r="C158" s="5" t="s">
        <v>101</v>
      </c>
      <c r="D158" s="8" t="s">
        <v>67</v>
      </c>
      <c r="E158" s="7"/>
    </row>
    <row r="159" spans="1:6" x14ac:dyDescent="0.25">
      <c r="A159" s="9" t="s">
        <v>150</v>
      </c>
      <c r="B159" s="9">
        <v>4205.75</v>
      </c>
      <c r="C159" s="9"/>
      <c r="D159" s="23"/>
      <c r="E159" s="9"/>
    </row>
    <row r="160" spans="1:6" x14ac:dyDescent="0.25">
      <c r="A160" s="9" t="s">
        <v>44</v>
      </c>
      <c r="B160" s="9">
        <v>400</v>
      </c>
      <c r="C160" s="9"/>
      <c r="D160" s="23" t="s">
        <v>224</v>
      </c>
      <c r="E160" s="9"/>
    </row>
    <row r="161" spans="1:5" x14ac:dyDescent="0.25">
      <c r="A161" s="9" t="s">
        <v>230</v>
      </c>
      <c r="B161" s="9">
        <v>100</v>
      </c>
      <c r="C161" s="9"/>
      <c r="D161" s="17"/>
      <c r="E161" s="9"/>
    </row>
    <row r="162" spans="1:5" x14ac:dyDescent="0.25">
      <c r="A162" s="9" t="s">
        <v>161</v>
      </c>
      <c r="B162" s="9">
        <v>0</v>
      </c>
      <c r="C162" s="9"/>
      <c r="D162" s="17"/>
      <c r="E162" s="9"/>
    </row>
    <row r="163" spans="1:5" x14ac:dyDescent="0.25">
      <c r="A163" s="9" t="s">
        <v>212</v>
      </c>
      <c r="B163" s="9">
        <v>0</v>
      </c>
      <c r="C163" s="9"/>
      <c r="D163" s="23"/>
      <c r="E163" s="9"/>
    </row>
    <row r="164" spans="1:5" x14ac:dyDescent="0.25">
      <c r="A164" s="9" t="s">
        <v>231</v>
      </c>
      <c r="B164" s="9">
        <v>300</v>
      </c>
      <c r="C164" s="9"/>
      <c r="D164" s="23" t="s">
        <v>232</v>
      </c>
      <c r="E164" s="9"/>
    </row>
    <row r="165" spans="1:5" x14ac:dyDescent="0.25">
      <c r="A165" s="9" t="s">
        <v>47</v>
      </c>
      <c r="B165" s="9">
        <v>20</v>
      </c>
      <c r="C165" s="9"/>
      <c r="D165" s="17"/>
      <c r="E165" s="9"/>
    </row>
    <row r="166" spans="1:5" x14ac:dyDescent="0.25">
      <c r="A166" s="9" t="s">
        <v>177</v>
      </c>
      <c r="B166" s="9">
        <v>0</v>
      </c>
      <c r="C166" s="9"/>
      <c r="D166" s="23"/>
      <c r="E166" s="9"/>
    </row>
    <row r="167" spans="1:5" ht="13" x14ac:dyDescent="0.3">
      <c r="A167" s="10" t="s">
        <v>70</v>
      </c>
      <c r="B167" s="7">
        <f>SUM(B159:B166)</f>
        <v>5025.75</v>
      </c>
      <c r="C167" s="7"/>
      <c r="D167" s="7"/>
      <c r="E167" s="7"/>
    </row>
    <row r="168" spans="1:5" x14ac:dyDescent="0.25">
      <c r="A168" s="7"/>
      <c r="B168" s="7"/>
      <c r="C168" s="7"/>
      <c r="D168" s="7"/>
      <c r="E168" s="7"/>
    </row>
    <row r="169" spans="1:5" ht="13" x14ac:dyDescent="0.3">
      <c r="A169" s="8" t="s">
        <v>85</v>
      </c>
      <c r="B169" s="8" t="s">
        <v>66</v>
      </c>
      <c r="C169" s="5" t="s">
        <v>101</v>
      </c>
      <c r="D169" s="8" t="s">
        <v>214</v>
      </c>
      <c r="E169" s="7"/>
    </row>
    <row r="170" spans="1:5" x14ac:dyDescent="0.25">
      <c r="A170" s="9" t="s">
        <v>104</v>
      </c>
      <c r="B170" s="9">
        <v>0</v>
      </c>
      <c r="C170" s="9"/>
      <c r="D170" s="23"/>
      <c r="E170" s="9"/>
    </row>
    <row r="171" spans="1:5" x14ac:dyDescent="0.25">
      <c r="A171" s="9" t="s">
        <v>162</v>
      </c>
      <c r="B171" s="9">
        <v>0</v>
      </c>
      <c r="C171" s="9"/>
      <c r="D171" s="17"/>
      <c r="E171" s="9"/>
    </row>
    <row r="172" spans="1:5" x14ac:dyDescent="0.25">
      <c r="A172" s="9" t="s">
        <v>29</v>
      </c>
      <c r="B172" s="9">
        <v>4671.3599999999997</v>
      </c>
      <c r="C172" s="9"/>
      <c r="D172" s="17"/>
      <c r="E172" s="9"/>
    </row>
    <row r="173" spans="1:5" x14ac:dyDescent="0.25">
      <c r="A173" s="9" t="s">
        <v>30</v>
      </c>
      <c r="B173" s="9">
        <v>490</v>
      </c>
      <c r="C173" s="9"/>
      <c r="D173" s="9"/>
      <c r="E173" s="9"/>
    </row>
    <row r="174" spans="1:5" ht="13" x14ac:dyDescent="0.3">
      <c r="A174" s="10" t="s">
        <v>70</v>
      </c>
      <c r="B174" s="7">
        <f>SUM(B170:B173)</f>
        <v>5161.3599999999997</v>
      </c>
      <c r="C174" s="7"/>
      <c r="D174" s="7"/>
      <c r="E174" s="7"/>
    </row>
    <row r="175" spans="1:5" ht="13" x14ac:dyDescent="0.3">
      <c r="A175" s="10"/>
      <c r="B175" s="7"/>
      <c r="C175" s="7"/>
      <c r="D175" s="7"/>
      <c r="E175" s="7"/>
    </row>
    <row r="176" spans="1:5" ht="13" x14ac:dyDescent="0.3">
      <c r="A176" s="10" t="s">
        <v>87</v>
      </c>
      <c r="B176" s="7">
        <f>SUM(B149,B156,B167)-B174</f>
        <v>11228.61</v>
      </c>
      <c r="C176" s="7"/>
      <c r="D176" s="7"/>
      <c r="E176" s="7"/>
    </row>
    <row r="177" spans="1:5" ht="13" x14ac:dyDescent="0.3">
      <c r="A177" s="10"/>
      <c r="B177" s="7"/>
      <c r="C177" s="7"/>
      <c r="D177" s="7"/>
      <c r="E177" s="7"/>
    </row>
    <row r="178" spans="1:5" ht="13" x14ac:dyDescent="0.3">
      <c r="A178" s="11" t="s">
        <v>73</v>
      </c>
      <c r="B178" s="7"/>
      <c r="C178" s="7"/>
      <c r="D178" s="7"/>
      <c r="E178" s="7"/>
    </row>
    <row r="179" spans="1:5" ht="13" x14ac:dyDescent="0.3">
      <c r="A179" s="8" t="s">
        <v>75</v>
      </c>
      <c r="B179" s="8" t="s">
        <v>66</v>
      </c>
      <c r="C179" s="5" t="s">
        <v>101</v>
      </c>
      <c r="D179" s="8" t="s">
        <v>67</v>
      </c>
      <c r="E179" s="7"/>
    </row>
    <row r="180" spans="1:5" x14ac:dyDescent="0.25">
      <c r="A180" s="9" t="s">
        <v>74</v>
      </c>
      <c r="B180" s="9">
        <v>0</v>
      </c>
      <c r="C180" s="9"/>
      <c r="D180" s="9"/>
      <c r="E180" s="9"/>
    </row>
    <row r="181" spans="1:5" x14ac:dyDescent="0.25">
      <c r="A181" s="9"/>
      <c r="B181" s="9"/>
      <c r="C181" s="9"/>
      <c r="D181" s="9"/>
      <c r="E181" s="9"/>
    </row>
    <row r="182" spans="1:5" ht="13" x14ac:dyDescent="0.3">
      <c r="A182" s="10" t="s">
        <v>70</v>
      </c>
      <c r="B182" s="7">
        <f>SUM(B180:B181)</f>
        <v>0</v>
      </c>
      <c r="C182" s="7"/>
      <c r="D182" s="7"/>
      <c r="E182" s="7"/>
    </row>
    <row r="183" spans="1:5" ht="13" x14ac:dyDescent="0.3">
      <c r="A183" s="11"/>
      <c r="B183" s="7"/>
      <c r="C183" s="7"/>
      <c r="D183" s="7"/>
      <c r="E183" s="7"/>
    </row>
    <row r="184" spans="1:5" ht="13" x14ac:dyDescent="0.3">
      <c r="A184" s="8" t="s">
        <v>76</v>
      </c>
      <c r="B184" s="8" t="s">
        <v>66</v>
      </c>
      <c r="C184" s="5" t="s">
        <v>101</v>
      </c>
      <c r="D184" s="8" t="s">
        <v>67</v>
      </c>
      <c r="E184" s="7"/>
    </row>
    <row r="185" spans="1:5" x14ac:dyDescent="0.25">
      <c r="A185" s="9"/>
      <c r="B185" s="9"/>
      <c r="C185" s="9"/>
      <c r="D185" s="9"/>
      <c r="E185" s="9"/>
    </row>
    <row r="186" spans="1:5" x14ac:dyDescent="0.25">
      <c r="A186" s="9"/>
      <c r="B186" s="9"/>
      <c r="C186" s="9"/>
      <c r="D186" s="9"/>
      <c r="E186" s="9"/>
    </row>
    <row r="187" spans="1:5" ht="13" x14ac:dyDescent="0.3">
      <c r="A187" s="10" t="s">
        <v>70</v>
      </c>
      <c r="B187" s="7">
        <f>SUM(B185:B186)</f>
        <v>0</v>
      </c>
      <c r="C187" s="7"/>
      <c r="D187" s="7"/>
      <c r="E187" s="7"/>
    </row>
    <row r="188" spans="1:5" x14ac:dyDescent="0.25">
      <c r="A188" s="7"/>
      <c r="B188" s="7"/>
      <c r="C188" s="7"/>
      <c r="D188" s="7"/>
      <c r="E188" s="7"/>
    </row>
    <row r="189" spans="1:5" ht="13" x14ac:dyDescent="0.3">
      <c r="A189" s="8" t="s">
        <v>86</v>
      </c>
      <c r="B189" s="8" t="s">
        <v>66</v>
      </c>
      <c r="C189" s="5" t="s">
        <v>101</v>
      </c>
      <c r="D189" s="8" t="s">
        <v>67</v>
      </c>
      <c r="E189" s="7"/>
    </row>
    <row r="190" spans="1:5" ht="50" x14ac:dyDescent="0.25">
      <c r="A190" s="9" t="s">
        <v>26</v>
      </c>
      <c r="B190" s="9">
        <v>256.75</v>
      </c>
      <c r="C190" s="9"/>
      <c r="D190" s="23" t="s">
        <v>219</v>
      </c>
      <c r="E190" s="9"/>
    </row>
    <row r="191" spans="1:5" x14ac:dyDescent="0.25">
      <c r="A191" s="9"/>
      <c r="B191" s="9"/>
      <c r="C191" s="9"/>
      <c r="D191" s="9"/>
      <c r="E191" s="9"/>
    </row>
    <row r="192" spans="1:5" ht="13" x14ac:dyDescent="0.3">
      <c r="A192" s="10" t="s">
        <v>70</v>
      </c>
      <c r="B192" s="7">
        <f>SUM(B190:B191)</f>
        <v>256.75</v>
      </c>
      <c r="C192" s="7"/>
      <c r="D192" s="7"/>
      <c r="E192" s="7"/>
    </row>
    <row r="193" spans="1:5" x14ac:dyDescent="0.25">
      <c r="A193" s="7"/>
      <c r="B193" s="7"/>
      <c r="C193" s="7"/>
      <c r="D193" s="7"/>
      <c r="E193" s="7"/>
    </row>
    <row r="194" spans="1:5" ht="13" x14ac:dyDescent="0.3">
      <c r="A194" s="10" t="s">
        <v>88</v>
      </c>
      <c r="B194" s="7">
        <f>SUM(B182,B187)-B192</f>
        <v>-256.75</v>
      </c>
      <c r="C194" s="7"/>
      <c r="D194" s="7"/>
      <c r="E194" s="7"/>
    </row>
    <row r="195" spans="1:5" x14ac:dyDescent="0.25">
      <c r="A195" s="7"/>
      <c r="B195" s="7"/>
      <c r="C195" s="7"/>
      <c r="D195" s="7"/>
      <c r="E195" s="7"/>
    </row>
    <row r="196" spans="1:5" ht="13" x14ac:dyDescent="0.3">
      <c r="A196" s="5" t="s">
        <v>89</v>
      </c>
      <c r="B196" s="7"/>
      <c r="C196" s="7"/>
      <c r="D196" s="7"/>
      <c r="E196" s="7"/>
    </row>
    <row r="197" spans="1:5" ht="13" x14ac:dyDescent="0.3">
      <c r="A197" s="8" t="s">
        <v>94</v>
      </c>
      <c r="B197" s="8" t="s">
        <v>66</v>
      </c>
      <c r="C197" s="5" t="s">
        <v>101</v>
      </c>
      <c r="D197" s="8" t="s">
        <v>67</v>
      </c>
      <c r="E197" s="7"/>
    </row>
    <row r="198" spans="1:5" x14ac:dyDescent="0.25">
      <c r="A198" s="9" t="s">
        <v>90</v>
      </c>
      <c r="B198" s="15">
        <v>39020.769999999997</v>
      </c>
      <c r="C198" s="9"/>
      <c r="D198" s="9"/>
      <c r="E198" s="9"/>
    </row>
    <row r="199" spans="1:5" x14ac:dyDescent="0.25">
      <c r="A199" s="9" t="s">
        <v>91</v>
      </c>
      <c r="B199" s="9">
        <v>764.61</v>
      </c>
      <c r="C199" s="9"/>
      <c r="D199" s="9"/>
      <c r="E199" s="9"/>
    </row>
    <row r="200" spans="1:5" x14ac:dyDescent="0.25">
      <c r="A200" s="9" t="s">
        <v>92</v>
      </c>
      <c r="B200" s="9">
        <v>40000</v>
      </c>
      <c r="C200" s="19"/>
      <c r="D200" s="28" t="s">
        <v>220</v>
      </c>
      <c r="E200" s="9"/>
    </row>
    <row r="201" spans="1:5" x14ac:dyDescent="0.25">
      <c r="A201" s="9" t="s">
        <v>93</v>
      </c>
      <c r="B201" s="9">
        <v>27000</v>
      </c>
      <c r="C201" s="19"/>
      <c r="D201" s="28" t="s">
        <v>222</v>
      </c>
      <c r="E201" s="9"/>
    </row>
    <row r="202" spans="1:5" x14ac:dyDescent="0.25">
      <c r="A202" s="9" t="s">
        <v>122</v>
      </c>
      <c r="B202" s="28">
        <v>320</v>
      </c>
      <c r="C202" s="25"/>
      <c r="D202" s="25"/>
      <c r="E202" s="9"/>
    </row>
    <row r="203" spans="1:5" x14ac:dyDescent="0.25">
      <c r="A203" s="9" t="s">
        <v>228</v>
      </c>
      <c r="B203" s="28">
        <v>631.99</v>
      </c>
      <c r="C203" s="25"/>
      <c r="D203" s="28" t="s">
        <v>229</v>
      </c>
      <c r="E203" s="9"/>
    </row>
    <row r="204" spans="1:5" ht="13" x14ac:dyDescent="0.3">
      <c r="A204" s="10" t="s">
        <v>70</v>
      </c>
      <c r="B204" s="7">
        <f>SUM(B198:B203)</f>
        <v>107737.37000000001</v>
      </c>
      <c r="C204" s="7"/>
      <c r="D204" s="7"/>
      <c r="E204" s="7"/>
    </row>
    <row r="205" spans="1:5" x14ac:dyDescent="0.25">
      <c r="A205" s="7"/>
      <c r="B205" s="7"/>
      <c r="C205" s="7"/>
      <c r="D205" s="7"/>
      <c r="E205" s="7"/>
    </row>
    <row r="206" spans="1:5" ht="13" x14ac:dyDescent="0.3">
      <c r="A206" s="5" t="s">
        <v>133</v>
      </c>
      <c r="B206" s="7">
        <f xml:space="preserve"> B194-B176</f>
        <v>-11485.36</v>
      </c>
      <c r="C206" s="7"/>
      <c r="D206" s="7"/>
      <c r="E206" s="7"/>
    </row>
    <row r="207" spans="1:5" ht="13" x14ac:dyDescent="0.3">
      <c r="A207" s="5" t="s">
        <v>129</v>
      </c>
      <c r="B207" s="7">
        <f>SUM(B204,B206)</f>
        <v>96252.010000000009</v>
      </c>
      <c r="C207" s="7"/>
      <c r="D207" s="7"/>
      <c r="E207" s="7"/>
    </row>
    <row r="208" spans="1:5" ht="13" x14ac:dyDescent="0.3">
      <c r="A208" s="5" t="s">
        <v>134</v>
      </c>
      <c r="B208" s="7">
        <f>B207-B280</f>
        <v>-1795.5499999999884</v>
      </c>
      <c r="C208" s="7"/>
      <c r="D208" s="24"/>
      <c r="E208" s="7"/>
    </row>
    <row r="209" spans="1:5" x14ac:dyDescent="0.25">
      <c r="A209" s="69"/>
      <c r="B209" s="69"/>
      <c r="C209" s="69"/>
      <c r="D209" s="69"/>
      <c r="E209" s="69"/>
    </row>
    <row r="210" spans="1:5" x14ac:dyDescent="0.25">
      <c r="A210" s="69"/>
      <c r="B210" s="69"/>
      <c r="C210" s="69"/>
      <c r="D210" s="69"/>
      <c r="E210" s="69"/>
    </row>
    <row r="211" spans="1:5" x14ac:dyDescent="0.25">
      <c r="A211" s="69"/>
      <c r="B211" s="69"/>
      <c r="C211" s="69"/>
      <c r="D211" s="69"/>
      <c r="E211" s="69"/>
    </row>
    <row r="212" spans="1:5" ht="13" x14ac:dyDescent="0.3">
      <c r="A212" s="3" t="s">
        <v>236</v>
      </c>
      <c r="B212" s="68" t="s">
        <v>71</v>
      </c>
      <c r="C212" s="68"/>
      <c r="D212" s="68"/>
      <c r="E212" s="4"/>
    </row>
    <row r="213" spans="1:5" ht="13" x14ac:dyDescent="0.3">
      <c r="A213" s="5" t="s">
        <v>95</v>
      </c>
      <c r="B213" s="12">
        <v>42221</v>
      </c>
      <c r="C213" s="6"/>
      <c r="D213" s="6"/>
      <c r="E213" s="7"/>
    </row>
    <row r="214" spans="1:5" ht="13" x14ac:dyDescent="0.3">
      <c r="A214" s="5" t="s">
        <v>102</v>
      </c>
      <c r="B214" s="13">
        <v>0.66180555555555554</v>
      </c>
      <c r="C214" s="6"/>
      <c r="D214" s="6"/>
      <c r="E214" s="7"/>
    </row>
    <row r="215" spans="1:5" ht="13" x14ac:dyDescent="0.3">
      <c r="A215" s="5"/>
      <c r="B215" s="6"/>
      <c r="C215" s="6"/>
      <c r="D215" s="6"/>
      <c r="E215" s="7"/>
    </row>
    <row r="216" spans="1:5" ht="13" x14ac:dyDescent="0.3">
      <c r="A216" s="5" t="s">
        <v>84</v>
      </c>
      <c r="B216" s="6"/>
      <c r="C216" s="6"/>
      <c r="D216" s="6"/>
      <c r="E216" s="7"/>
    </row>
    <row r="217" spans="1:5" ht="13" x14ac:dyDescent="0.3">
      <c r="A217" s="8" t="s">
        <v>0</v>
      </c>
      <c r="B217" s="8" t="s">
        <v>66</v>
      </c>
      <c r="C217" s="8" t="s">
        <v>67</v>
      </c>
      <c r="D217" s="7"/>
      <c r="E217" s="7"/>
    </row>
    <row r="218" spans="1:5" x14ac:dyDescent="0.25">
      <c r="A218" s="9" t="s">
        <v>1</v>
      </c>
      <c r="B218" s="9">
        <v>0</v>
      </c>
      <c r="C218" s="9"/>
      <c r="D218" s="9"/>
      <c r="E218" s="9"/>
    </row>
    <row r="219" spans="1:5" ht="37.5" x14ac:dyDescent="0.25">
      <c r="A219" s="9" t="s">
        <v>9</v>
      </c>
      <c r="B219" s="9">
        <v>3000</v>
      </c>
      <c r="C219" s="23" t="s">
        <v>237</v>
      </c>
      <c r="D219" s="9"/>
      <c r="E219" s="9"/>
    </row>
    <row r="220" spans="1:5" x14ac:dyDescent="0.25">
      <c r="A220" s="9" t="s">
        <v>3</v>
      </c>
      <c r="B220" s="9">
        <v>0</v>
      </c>
      <c r="C220" s="9"/>
      <c r="D220" s="9"/>
      <c r="E220" s="9"/>
    </row>
    <row r="221" spans="1:5" x14ac:dyDescent="0.25">
      <c r="A221" s="9" t="s">
        <v>2</v>
      </c>
      <c r="B221" s="9">
        <v>0</v>
      </c>
      <c r="C221" s="9"/>
      <c r="D221" s="9"/>
      <c r="E221" s="9"/>
    </row>
    <row r="222" spans="1:5" x14ac:dyDescent="0.25">
      <c r="A222" s="9" t="s">
        <v>5</v>
      </c>
      <c r="B222" s="9">
        <v>0</v>
      </c>
      <c r="C222" s="9"/>
      <c r="D222" s="9"/>
      <c r="E222" s="9"/>
    </row>
    <row r="223" spans="1:5" x14ac:dyDescent="0.25">
      <c r="A223" s="9" t="s">
        <v>4</v>
      </c>
      <c r="B223" s="9">
        <v>0</v>
      </c>
      <c r="C223" s="9"/>
      <c r="D223" s="9"/>
      <c r="E223" s="9"/>
    </row>
    <row r="224" spans="1:5" x14ac:dyDescent="0.25">
      <c r="A224" s="9" t="s">
        <v>14</v>
      </c>
      <c r="B224" s="9">
        <v>0</v>
      </c>
      <c r="C224" s="9"/>
      <c r="D224" s="9"/>
      <c r="E224" s="9"/>
    </row>
    <row r="225" spans="1:5" x14ac:dyDescent="0.25">
      <c r="A225" s="9" t="s">
        <v>42</v>
      </c>
      <c r="B225" s="9">
        <v>0</v>
      </c>
      <c r="C225" s="9"/>
      <c r="D225" s="9"/>
      <c r="E225" s="9"/>
    </row>
    <row r="226" spans="1:5" x14ac:dyDescent="0.25">
      <c r="A226" s="9" t="s">
        <v>149</v>
      </c>
      <c r="B226" s="9">
        <v>0</v>
      </c>
      <c r="C226" s="9"/>
      <c r="D226" s="9"/>
      <c r="E226" s="9"/>
    </row>
    <row r="227" spans="1:5" x14ac:dyDescent="0.25">
      <c r="A227" s="9" t="s">
        <v>39</v>
      </c>
      <c r="B227" s="9">
        <v>0</v>
      </c>
      <c r="C227" s="9"/>
      <c r="D227" s="9"/>
      <c r="E227" s="9"/>
    </row>
    <row r="228" spans="1:5" ht="13" x14ac:dyDescent="0.3">
      <c r="A228" s="10" t="s">
        <v>70</v>
      </c>
      <c r="B228" s="7">
        <f>SUM(B218:B227)</f>
        <v>3000</v>
      </c>
      <c r="C228" s="7"/>
      <c r="D228" s="7"/>
      <c r="E228" s="7"/>
    </row>
    <row r="229" spans="1:5" x14ac:dyDescent="0.25">
      <c r="A229" s="7"/>
      <c r="B229" s="7"/>
      <c r="C229" s="7"/>
      <c r="D229" s="7"/>
      <c r="E229" s="7"/>
    </row>
    <row r="230" spans="1:5" ht="13" x14ac:dyDescent="0.3">
      <c r="A230" s="8" t="s">
        <v>31</v>
      </c>
      <c r="B230" s="8" t="s">
        <v>66</v>
      </c>
      <c r="C230" s="8" t="s">
        <v>67</v>
      </c>
      <c r="D230" s="7"/>
      <c r="E230" s="7"/>
    </row>
    <row r="231" spans="1:5" x14ac:dyDescent="0.25">
      <c r="A231" s="9"/>
      <c r="B231" s="9"/>
      <c r="C231" s="9"/>
      <c r="D231" s="9"/>
      <c r="E231" s="9"/>
    </row>
    <row r="232" spans="1:5" x14ac:dyDescent="0.25">
      <c r="A232" s="9"/>
      <c r="B232" s="9"/>
      <c r="C232" s="9"/>
      <c r="D232" s="9"/>
      <c r="E232" s="9"/>
    </row>
    <row r="233" spans="1:5" ht="13" x14ac:dyDescent="0.3">
      <c r="A233" s="10" t="s">
        <v>70</v>
      </c>
      <c r="B233" s="7">
        <f>SUM(B231:B232)</f>
        <v>0</v>
      </c>
      <c r="C233" s="7"/>
      <c r="D233" s="7"/>
      <c r="E233" s="7"/>
    </row>
    <row r="234" spans="1:5" x14ac:dyDescent="0.25">
      <c r="A234" s="7"/>
      <c r="B234" s="7"/>
      <c r="C234" s="7"/>
      <c r="D234" s="7"/>
      <c r="E234" s="7"/>
    </row>
    <row r="235" spans="1:5" ht="13" x14ac:dyDescent="0.3">
      <c r="A235" s="8" t="s">
        <v>82</v>
      </c>
      <c r="B235" s="8" t="s">
        <v>66</v>
      </c>
      <c r="C235" s="8" t="s">
        <v>67</v>
      </c>
      <c r="D235" s="7"/>
      <c r="E235" s="7"/>
    </row>
    <row r="236" spans="1:5" ht="25" x14ac:dyDescent="0.25">
      <c r="A236" s="9" t="s">
        <v>150</v>
      </c>
      <c r="B236" s="9">
        <v>4205.75</v>
      </c>
      <c r="C236" s="9"/>
      <c r="D236" s="23" t="s">
        <v>238</v>
      </c>
      <c r="E236" s="9"/>
    </row>
    <row r="237" spans="1:5" x14ac:dyDescent="0.25">
      <c r="A237" s="9"/>
      <c r="B237" s="9"/>
      <c r="C237" s="9"/>
      <c r="D237" s="9"/>
      <c r="E237" s="9"/>
    </row>
    <row r="238" spans="1:5" ht="13" x14ac:dyDescent="0.3">
      <c r="A238" s="10" t="s">
        <v>70</v>
      </c>
      <c r="B238" s="7">
        <f>SUM(B236:B237)</f>
        <v>4205.75</v>
      </c>
      <c r="C238" s="7"/>
      <c r="D238" s="7"/>
      <c r="E238" s="7"/>
    </row>
    <row r="239" spans="1:5" x14ac:dyDescent="0.25">
      <c r="A239" s="7"/>
      <c r="B239" s="7"/>
      <c r="C239" s="7"/>
      <c r="D239" s="7"/>
      <c r="E239" s="7"/>
    </row>
    <row r="240" spans="1:5" ht="13" x14ac:dyDescent="0.3">
      <c r="A240" s="8" t="s">
        <v>85</v>
      </c>
      <c r="B240" s="8" t="s">
        <v>66</v>
      </c>
      <c r="C240" s="8" t="s">
        <v>67</v>
      </c>
      <c r="D240" s="7"/>
      <c r="E240" s="7"/>
    </row>
    <row r="241" spans="1:5" x14ac:dyDescent="0.25">
      <c r="A241" s="9" t="s">
        <v>155</v>
      </c>
      <c r="B241" s="19">
        <v>105.73</v>
      </c>
      <c r="C241" s="28" t="s">
        <v>221</v>
      </c>
      <c r="D241" s="9"/>
      <c r="E241" s="9"/>
    </row>
    <row r="242" spans="1:5" ht="37.5" x14ac:dyDescent="0.25">
      <c r="A242" s="9" t="s">
        <v>104</v>
      </c>
      <c r="B242" s="9">
        <v>0</v>
      </c>
      <c r="C242" s="9"/>
      <c r="D242" s="23" t="s">
        <v>198</v>
      </c>
      <c r="E242" s="9"/>
    </row>
    <row r="243" spans="1:5" x14ac:dyDescent="0.25">
      <c r="A243" s="9" t="s">
        <v>137</v>
      </c>
      <c r="B243" s="9">
        <v>0</v>
      </c>
      <c r="C243" s="9"/>
      <c r="D243" s="9"/>
      <c r="E243" s="9"/>
    </row>
    <row r="244" spans="1:5" x14ac:dyDescent="0.25">
      <c r="A244" s="9" t="s">
        <v>29</v>
      </c>
      <c r="B244" s="9">
        <v>4671.3599999999997</v>
      </c>
      <c r="C244" s="9"/>
      <c r="D244" s="9"/>
      <c r="E244" s="9"/>
    </row>
    <row r="245" spans="1:5" x14ac:dyDescent="0.25">
      <c r="A245" s="9" t="s">
        <v>30</v>
      </c>
      <c r="B245" s="9">
        <v>490</v>
      </c>
      <c r="C245" s="9"/>
      <c r="D245" s="9"/>
      <c r="E245" s="9"/>
    </row>
    <row r="246" spans="1:5" ht="13" x14ac:dyDescent="0.3">
      <c r="A246" s="10" t="s">
        <v>70</v>
      </c>
      <c r="B246" s="7">
        <f>SUM(B241:B245)</f>
        <v>5267.0899999999992</v>
      </c>
      <c r="C246" s="7"/>
      <c r="D246" s="7"/>
      <c r="E246" s="7"/>
    </row>
    <row r="247" spans="1:5" ht="13" x14ac:dyDescent="0.3">
      <c r="A247" s="10"/>
      <c r="B247" s="7"/>
      <c r="C247" s="7"/>
      <c r="D247" s="7"/>
      <c r="E247" s="7"/>
    </row>
    <row r="248" spans="1:5" ht="13" x14ac:dyDescent="0.3">
      <c r="A248" s="10" t="s">
        <v>87</v>
      </c>
      <c r="B248" s="7">
        <f>SUM(B228,B233,B238) - B246</f>
        <v>1938.6600000000008</v>
      </c>
      <c r="C248" s="7"/>
      <c r="D248" s="7"/>
      <c r="E248" s="7"/>
    </row>
    <row r="249" spans="1:5" ht="13" x14ac:dyDescent="0.3">
      <c r="A249" s="10"/>
      <c r="B249" s="7"/>
      <c r="C249" s="7"/>
      <c r="D249" s="7"/>
      <c r="E249" s="7"/>
    </row>
    <row r="250" spans="1:5" ht="13" x14ac:dyDescent="0.3">
      <c r="A250" s="11" t="s">
        <v>73</v>
      </c>
      <c r="B250" s="7"/>
      <c r="C250" s="7"/>
      <c r="D250" s="7"/>
      <c r="E250" s="7"/>
    </row>
    <row r="251" spans="1:5" ht="13" x14ac:dyDescent="0.3">
      <c r="A251" s="8" t="s">
        <v>75</v>
      </c>
      <c r="B251" s="8" t="s">
        <v>66</v>
      </c>
      <c r="C251" s="8" t="s">
        <v>67</v>
      </c>
      <c r="D251" s="7"/>
      <c r="E251" s="7"/>
    </row>
    <row r="252" spans="1:5" x14ac:dyDescent="0.25">
      <c r="A252" s="9"/>
      <c r="B252" s="9"/>
      <c r="C252" s="9"/>
      <c r="D252" s="9"/>
      <c r="E252" s="9"/>
    </row>
    <row r="253" spans="1:5" x14ac:dyDescent="0.25">
      <c r="A253" s="9"/>
      <c r="B253" s="9"/>
      <c r="C253" s="9"/>
      <c r="D253" s="9"/>
      <c r="E253" s="9"/>
    </row>
    <row r="254" spans="1:5" ht="13" x14ac:dyDescent="0.3">
      <c r="A254" s="10" t="s">
        <v>70</v>
      </c>
      <c r="B254" s="7">
        <f>SUM(B252:B253)</f>
        <v>0</v>
      </c>
      <c r="C254" s="7"/>
      <c r="D254" s="7"/>
      <c r="E254" s="7"/>
    </row>
    <row r="255" spans="1:5" ht="13" x14ac:dyDescent="0.3">
      <c r="A255" s="11"/>
      <c r="B255" s="7"/>
      <c r="C255" s="7"/>
      <c r="D255" s="7"/>
      <c r="E255" s="7"/>
    </row>
    <row r="256" spans="1:5" ht="13" x14ac:dyDescent="0.3">
      <c r="A256" s="8" t="s">
        <v>76</v>
      </c>
      <c r="B256" s="8" t="s">
        <v>66</v>
      </c>
      <c r="C256" s="8" t="s">
        <v>67</v>
      </c>
      <c r="D256" s="7"/>
      <c r="E256" s="7"/>
    </row>
    <row r="257" spans="1:5" x14ac:dyDescent="0.25">
      <c r="A257" s="9"/>
      <c r="B257" s="9"/>
      <c r="C257" s="9"/>
      <c r="D257" s="9"/>
      <c r="E257" s="9"/>
    </row>
    <row r="258" spans="1:5" x14ac:dyDescent="0.25">
      <c r="A258" s="9"/>
      <c r="B258" s="9"/>
      <c r="C258" s="9"/>
      <c r="D258" s="9"/>
      <c r="E258" s="9"/>
    </row>
    <row r="259" spans="1:5" ht="13" x14ac:dyDescent="0.3">
      <c r="A259" s="10" t="s">
        <v>70</v>
      </c>
      <c r="B259" s="7">
        <f>SUM(B257:B258)</f>
        <v>0</v>
      </c>
      <c r="C259" s="7"/>
      <c r="D259" s="7"/>
      <c r="E259" s="7"/>
    </row>
    <row r="260" spans="1:5" x14ac:dyDescent="0.25">
      <c r="A260" s="7"/>
      <c r="B260" s="7"/>
      <c r="C260" s="7"/>
      <c r="D260" s="7"/>
      <c r="E260" s="7"/>
    </row>
    <row r="261" spans="1:5" ht="13" x14ac:dyDescent="0.3">
      <c r="A261" s="8" t="s">
        <v>86</v>
      </c>
      <c r="B261" s="8" t="s">
        <v>66</v>
      </c>
      <c r="C261" s="8" t="s">
        <v>67</v>
      </c>
      <c r="D261" s="7"/>
      <c r="E261" s="7"/>
    </row>
    <row r="262" spans="1:5" ht="125" x14ac:dyDescent="0.25">
      <c r="A262" s="9" t="s">
        <v>209</v>
      </c>
      <c r="B262" s="9">
        <v>1829.55</v>
      </c>
      <c r="C262" s="23" t="s">
        <v>233</v>
      </c>
      <c r="D262" s="9"/>
      <c r="E262" s="9"/>
    </row>
    <row r="263" spans="1:5" x14ac:dyDescent="0.25">
      <c r="A263" s="9" t="s">
        <v>157</v>
      </c>
      <c r="B263" s="15">
        <v>5289.61</v>
      </c>
      <c r="C263" s="9"/>
      <c r="D263" s="9"/>
      <c r="E263" s="9"/>
    </row>
    <row r="264" spans="1:5" x14ac:dyDescent="0.25">
      <c r="A264" s="9"/>
      <c r="B264" s="9"/>
      <c r="C264" s="9"/>
      <c r="D264" s="9"/>
      <c r="E264" s="9"/>
    </row>
    <row r="265" spans="1:5" ht="13" x14ac:dyDescent="0.3">
      <c r="A265" s="10" t="s">
        <v>70</v>
      </c>
      <c r="B265" s="7">
        <f>SUM(B262:B264)</f>
        <v>7119.16</v>
      </c>
      <c r="C265" s="7"/>
      <c r="D265" s="7"/>
      <c r="E265" s="7"/>
    </row>
    <row r="266" spans="1:5" x14ac:dyDescent="0.25">
      <c r="A266" s="7"/>
      <c r="B266" s="7"/>
      <c r="C266" s="7"/>
      <c r="D266" s="7"/>
      <c r="E266" s="7"/>
    </row>
    <row r="267" spans="1:5" ht="13" x14ac:dyDescent="0.3">
      <c r="A267" s="10" t="s">
        <v>88</v>
      </c>
      <c r="B267" s="7">
        <f>SUM(B254,B259) - B265</f>
        <v>-7119.16</v>
      </c>
      <c r="C267" s="7"/>
      <c r="D267" s="7"/>
      <c r="E267" s="7"/>
    </row>
    <row r="268" spans="1:5" x14ac:dyDescent="0.25">
      <c r="A268" s="7"/>
      <c r="B268" s="7"/>
      <c r="C268" s="7"/>
      <c r="D268" s="7"/>
      <c r="E268" s="7"/>
    </row>
    <row r="269" spans="1:5" ht="13" x14ac:dyDescent="0.3">
      <c r="A269" s="5" t="s">
        <v>89</v>
      </c>
      <c r="B269" s="7"/>
      <c r="C269" s="7"/>
      <c r="D269" s="7"/>
      <c r="E269" s="7"/>
    </row>
    <row r="270" spans="1:5" ht="13" x14ac:dyDescent="0.3">
      <c r="A270" s="8" t="s">
        <v>94</v>
      </c>
      <c r="B270" s="8" t="s">
        <v>66</v>
      </c>
      <c r="C270" s="8" t="s">
        <v>67</v>
      </c>
      <c r="D270" s="7"/>
      <c r="E270" s="7"/>
    </row>
    <row r="271" spans="1:5" x14ac:dyDescent="0.25">
      <c r="A271" s="9" t="s">
        <v>90</v>
      </c>
      <c r="B271" s="15">
        <v>39020.769999999997</v>
      </c>
      <c r="C271" s="9"/>
      <c r="D271" s="9"/>
      <c r="E271" s="9"/>
    </row>
    <row r="272" spans="1:5" x14ac:dyDescent="0.25">
      <c r="A272" s="9" t="s">
        <v>91</v>
      </c>
      <c r="B272" s="9">
        <v>764.61</v>
      </c>
      <c r="C272" s="9"/>
      <c r="D272" s="9"/>
      <c r="E272" s="9"/>
    </row>
    <row r="273" spans="1:5" x14ac:dyDescent="0.25">
      <c r="A273" s="9" t="s">
        <v>92</v>
      </c>
      <c r="B273" s="9">
        <v>40000</v>
      </c>
      <c r="C273" s="28" t="s">
        <v>220</v>
      </c>
      <c r="D273" s="9"/>
      <c r="E273" s="9"/>
    </row>
    <row r="274" spans="1:5" x14ac:dyDescent="0.25">
      <c r="A274" s="9" t="s">
        <v>93</v>
      </c>
      <c r="B274" s="9">
        <v>27000</v>
      </c>
      <c r="C274" s="28" t="s">
        <v>222</v>
      </c>
      <c r="D274" s="9"/>
      <c r="E274" s="9"/>
    </row>
    <row r="275" spans="1:5" x14ac:dyDescent="0.25">
      <c r="A275" s="9" t="s">
        <v>122</v>
      </c>
      <c r="B275" s="28">
        <v>320</v>
      </c>
      <c r="C275" s="25"/>
      <c r="D275" s="9"/>
      <c r="E275" s="9"/>
    </row>
    <row r="276" spans="1:5" x14ac:dyDescent="0.25">
      <c r="A276" s="9" t="s">
        <v>228</v>
      </c>
      <c r="B276" s="28">
        <v>631.99</v>
      </c>
      <c r="C276" s="28" t="s">
        <v>229</v>
      </c>
      <c r="D276" s="9"/>
      <c r="E276" s="9"/>
    </row>
    <row r="277" spans="1:5" ht="13" x14ac:dyDescent="0.3">
      <c r="A277" s="10" t="s">
        <v>70</v>
      </c>
      <c r="B277" s="7">
        <f>SUM(B271:B275)</f>
        <v>107105.38</v>
      </c>
      <c r="C277" s="7"/>
      <c r="D277" s="7"/>
      <c r="E277" s="7"/>
    </row>
    <row r="278" spans="1:5" x14ac:dyDescent="0.25">
      <c r="A278" s="7"/>
      <c r="B278" s="7"/>
      <c r="C278" s="7"/>
      <c r="D278" s="7"/>
      <c r="E278" s="7"/>
    </row>
    <row r="279" spans="1:5" ht="13" x14ac:dyDescent="0.3">
      <c r="A279" s="5" t="s">
        <v>99</v>
      </c>
      <c r="B279" s="7">
        <f xml:space="preserve"> B267-B248</f>
        <v>-9057.82</v>
      </c>
      <c r="C279" s="7"/>
      <c r="D279" s="7"/>
      <c r="E279" s="7"/>
    </row>
    <row r="280" spans="1:5" ht="63" x14ac:dyDescent="0.3">
      <c r="A280" s="5" t="s">
        <v>100</v>
      </c>
      <c r="B280" s="7">
        <f>SUM(B277,B279)</f>
        <v>98047.56</v>
      </c>
      <c r="C280" s="21" t="s">
        <v>223</v>
      </c>
      <c r="D280" s="7"/>
      <c r="E280" s="7"/>
    </row>
    <row r="281" spans="1:5" ht="13" x14ac:dyDescent="0.3">
      <c r="A281" s="5" t="s">
        <v>108</v>
      </c>
      <c r="B281" s="7">
        <v>88111.28</v>
      </c>
      <c r="C281" s="29" t="s">
        <v>226</v>
      </c>
      <c r="D281" s="7"/>
      <c r="E281" s="7"/>
    </row>
    <row r="282" spans="1:5" ht="100.5" x14ac:dyDescent="0.3">
      <c r="A282" s="5" t="s">
        <v>110</v>
      </c>
      <c r="B282" s="7">
        <f xml:space="preserve"> B280 - B281</f>
        <v>9936.2799999999988</v>
      </c>
      <c r="C282" s="22" t="s">
        <v>197</v>
      </c>
      <c r="D282" s="7"/>
      <c r="E282" s="7"/>
    </row>
  </sheetData>
  <mergeCells count="4">
    <mergeCell ref="A112:E114"/>
    <mergeCell ref="B115:D115"/>
    <mergeCell ref="A209:E211"/>
    <mergeCell ref="B212:D212"/>
  </mergeCells>
  <dataValidations count="10">
    <dataValidation type="list" allowBlank="1" showInputMessage="1" showErrorMessage="1" sqref="A121:A148 A218:A227" xr:uid="{00000000-0002-0000-0B00-000000000000}">
      <formula1>$A$3:$A$31</formula1>
    </dataValidation>
    <dataValidation type="date" operator="greaterThan" allowBlank="1" showInputMessage="1" showErrorMessage="1" sqref="B116 B213" xr:uid="{00000000-0002-0000-0B00-000001000000}">
      <formula1>41275</formula1>
    </dataValidation>
    <dataValidation type="time" operator="greaterThan" allowBlank="1" showInputMessage="1" showErrorMessage="1" sqref="B117 B214" xr:uid="{00000000-0002-0000-0B00-000002000000}">
      <formula1>0</formula1>
    </dataValidation>
    <dataValidation type="list" allowBlank="1" showInputMessage="1" showErrorMessage="1" sqref="A262:A264 A190:A191" xr:uid="{00000000-0002-0000-0B00-000003000000}">
      <formula1>$A$90:$A$92</formula1>
    </dataValidation>
    <dataValidation type="list" allowBlank="1" showInputMessage="1" showErrorMessage="1" sqref="A231:A232 A152:A155" xr:uid="{00000000-0002-0000-0B00-000004000000}">
      <formula1>$A$34:$A$43</formula1>
    </dataValidation>
    <dataValidation type="list" allowBlank="1" showInputMessage="1" showErrorMessage="1" sqref="A236:A237 A159:A166" xr:uid="{00000000-0002-0000-0B00-000005000000}">
      <formula1>$A$46:$A$77</formula1>
    </dataValidation>
    <dataValidation type="list" allowBlank="1" showInputMessage="1" showErrorMessage="1" sqref="A241:A245 A170:A173" xr:uid="{00000000-0002-0000-0B00-000006000000}">
      <formula1>$A$80:$A$87</formula1>
    </dataValidation>
    <dataValidation type="list" allowBlank="1" showInputMessage="1" showErrorMessage="1" sqref="A252:A253 A180:A181" xr:uid="{00000000-0002-0000-0B00-000007000000}">
      <formula1>$A$95:$A$96</formula1>
    </dataValidation>
    <dataValidation type="list" allowBlank="1" showInputMessage="1" showErrorMessage="1" sqref="A257:A258 A185:A186" xr:uid="{00000000-0002-0000-0B00-000008000000}">
      <formula1>$A$99:$A$102</formula1>
    </dataValidation>
    <dataValidation type="list" allowBlank="1" showInputMessage="1" showErrorMessage="1" sqref="A271:A276 A198:A203" xr:uid="{00000000-0002-0000-0B00-000009000000}">
      <formula1>$A$105:$A$110</formula1>
    </dataValidation>
  </dataValidations>
  <pageMargins left="0.75" right="0.75" top="1" bottom="1"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51"/>
  <sheetViews>
    <sheetView topLeftCell="A308" workbookViewId="0">
      <selection activeCell="B351" sqref="B351"/>
    </sheetView>
  </sheetViews>
  <sheetFormatPr defaultColWidth="8.81640625" defaultRowHeight="12.5" x14ac:dyDescent="0.25"/>
  <cols>
    <col min="1" max="1" width="67.08984375" bestFit="1" customWidth="1"/>
    <col min="2" max="2" width="17.453125" customWidth="1"/>
    <col min="3" max="3" width="72"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4</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15</v>
      </c>
      <c r="C20">
        <v>150</v>
      </c>
    </row>
    <row r="21" spans="1:3" x14ac:dyDescent="0.25">
      <c r="A21" t="s">
        <v>9</v>
      </c>
      <c r="B21">
        <v>600</v>
      </c>
    </row>
    <row r="22" spans="1:3" x14ac:dyDescent="0.25">
      <c r="A22" t="s">
        <v>28</v>
      </c>
      <c r="C22">
        <v>50</v>
      </c>
    </row>
    <row r="23" spans="1:3" x14ac:dyDescent="0.25">
      <c r="A23" t="s">
        <v>153</v>
      </c>
      <c r="C23">
        <v>60</v>
      </c>
    </row>
    <row r="24" spans="1:3" x14ac:dyDescent="0.25">
      <c r="A24" t="s">
        <v>32</v>
      </c>
      <c r="C24">
        <v>100</v>
      </c>
    </row>
    <row r="25" spans="1:3" x14ac:dyDescent="0.25">
      <c r="A25" t="s">
        <v>33</v>
      </c>
      <c r="C25">
        <v>100</v>
      </c>
    </row>
    <row r="26" spans="1:3" x14ac:dyDescent="0.25">
      <c r="A26" t="s">
        <v>34</v>
      </c>
      <c r="C26">
        <v>80</v>
      </c>
    </row>
    <row r="27" spans="1:3" x14ac:dyDescent="0.25">
      <c r="A27" t="s">
        <v>35</v>
      </c>
      <c r="C27">
        <v>50</v>
      </c>
    </row>
    <row r="28" spans="1:3" x14ac:dyDescent="0.25">
      <c r="A28" t="s">
        <v>39</v>
      </c>
      <c r="C28">
        <v>80</v>
      </c>
    </row>
    <row r="29" spans="1:3" x14ac:dyDescent="0.25">
      <c r="A29" t="s">
        <v>42</v>
      </c>
      <c r="C29">
        <v>150</v>
      </c>
    </row>
    <row r="30" spans="1:3" x14ac:dyDescent="0.25">
      <c r="A30" t="s">
        <v>272</v>
      </c>
      <c r="C30">
        <v>2481.16</v>
      </c>
    </row>
    <row r="31" spans="1:3" x14ac:dyDescent="0.25">
      <c r="A31" t="s">
        <v>273</v>
      </c>
      <c r="C31">
        <v>262</v>
      </c>
    </row>
    <row r="32" spans="1:3" x14ac:dyDescent="0.25">
      <c r="A32" t="s">
        <v>49</v>
      </c>
      <c r="C32">
        <v>80</v>
      </c>
    </row>
    <row r="33" spans="1:3" x14ac:dyDescent="0.25">
      <c r="A33" t="s">
        <v>281</v>
      </c>
      <c r="C33">
        <v>150</v>
      </c>
    </row>
    <row r="34" spans="1:3" x14ac:dyDescent="0.25">
      <c r="A34" t="s">
        <v>280</v>
      </c>
      <c r="C34">
        <v>100</v>
      </c>
    </row>
    <row r="35" spans="1:3" x14ac:dyDescent="0.25">
      <c r="A35" t="s">
        <v>151</v>
      </c>
    </row>
    <row r="36" spans="1:3" x14ac:dyDescent="0.25">
      <c r="A36" t="s">
        <v>149</v>
      </c>
    </row>
    <row r="38" spans="1:3" ht="13" x14ac:dyDescent="0.3">
      <c r="A38" s="1" t="s">
        <v>31</v>
      </c>
    </row>
    <row r="39" spans="1:3" x14ac:dyDescent="0.25">
      <c r="A39" t="s">
        <v>25</v>
      </c>
    </row>
    <row r="40" spans="1:3" x14ac:dyDescent="0.25">
      <c r="A40" t="s">
        <v>19</v>
      </c>
    </row>
    <row r="41" spans="1:3" x14ac:dyDescent="0.25">
      <c r="A41" t="s">
        <v>18</v>
      </c>
    </row>
    <row r="42" spans="1:3" x14ac:dyDescent="0.25">
      <c r="A42" t="s">
        <v>20</v>
      </c>
    </row>
    <row r="43" spans="1:3" x14ac:dyDescent="0.25">
      <c r="A43" t="s">
        <v>189</v>
      </c>
    </row>
    <row r="44" spans="1:3" x14ac:dyDescent="0.25">
      <c r="A44" t="s">
        <v>21</v>
      </c>
    </row>
    <row r="45" spans="1:3" x14ac:dyDescent="0.25">
      <c r="A45" t="s">
        <v>175</v>
      </c>
    </row>
    <row r="46" spans="1:3" x14ac:dyDescent="0.25">
      <c r="A46" t="s">
        <v>173</v>
      </c>
    </row>
    <row r="47" spans="1:3" x14ac:dyDescent="0.25">
      <c r="A47" t="s">
        <v>27</v>
      </c>
    </row>
    <row r="48" spans="1:3" x14ac:dyDescent="0.25">
      <c r="A48" t="s">
        <v>36</v>
      </c>
    </row>
    <row r="50" spans="1:1" ht="13" x14ac:dyDescent="0.3">
      <c r="A50" s="1" t="s">
        <v>82</v>
      </c>
    </row>
    <row r="51" spans="1:1" x14ac:dyDescent="0.25">
      <c r="A51" t="s">
        <v>40</v>
      </c>
    </row>
    <row r="52" spans="1:1" x14ac:dyDescent="0.25">
      <c r="A52" t="s">
        <v>160</v>
      </c>
    </row>
    <row r="53" spans="1:1" x14ac:dyDescent="0.25">
      <c r="A53" t="s">
        <v>41</v>
      </c>
    </row>
    <row r="54" spans="1:1" x14ac:dyDescent="0.25">
      <c r="A54" t="s">
        <v>43</v>
      </c>
    </row>
    <row r="55" spans="1:1" x14ac:dyDescent="0.25">
      <c r="A55" t="s">
        <v>44</v>
      </c>
    </row>
    <row r="56" spans="1:1" x14ac:dyDescent="0.25">
      <c r="A56" t="s">
        <v>45</v>
      </c>
    </row>
    <row r="57" spans="1:1" x14ac:dyDescent="0.25">
      <c r="A57" t="s">
        <v>46</v>
      </c>
    </row>
    <row r="58" spans="1:1" x14ac:dyDescent="0.25">
      <c r="A58" t="s">
        <v>47</v>
      </c>
    </row>
    <row r="59" spans="1:1" x14ac:dyDescent="0.25">
      <c r="A59" t="s">
        <v>48</v>
      </c>
    </row>
    <row r="60" spans="1:1" x14ac:dyDescent="0.25">
      <c r="A60" t="s">
        <v>50</v>
      </c>
    </row>
    <row r="61" spans="1:1" x14ac:dyDescent="0.25">
      <c r="A61" t="s">
        <v>51</v>
      </c>
    </row>
    <row r="62" spans="1:1" x14ac:dyDescent="0.25">
      <c r="A62" t="s">
        <v>52</v>
      </c>
    </row>
    <row r="63" spans="1:1" x14ac:dyDescent="0.25">
      <c r="A63" s="27" t="s">
        <v>231</v>
      </c>
    </row>
    <row r="64" spans="1:1" x14ac:dyDescent="0.25">
      <c r="A64" s="27" t="s">
        <v>230</v>
      </c>
    </row>
    <row r="65" spans="1:1" x14ac:dyDescent="0.25">
      <c r="A65" t="s">
        <v>53</v>
      </c>
    </row>
    <row r="66" spans="1:1" x14ac:dyDescent="0.25">
      <c r="A66" t="s">
        <v>54</v>
      </c>
    </row>
    <row r="67" spans="1:1" x14ac:dyDescent="0.25">
      <c r="A67" t="s">
        <v>55</v>
      </c>
    </row>
    <row r="68" spans="1:1" x14ac:dyDescent="0.25">
      <c r="A68" t="s">
        <v>56</v>
      </c>
    </row>
    <row r="69" spans="1:1" x14ac:dyDescent="0.25">
      <c r="A69" t="s">
        <v>57</v>
      </c>
    </row>
    <row r="70" spans="1:1" x14ac:dyDescent="0.25">
      <c r="A70" t="s">
        <v>58</v>
      </c>
    </row>
    <row r="71" spans="1:1" x14ac:dyDescent="0.25">
      <c r="A71" t="s">
        <v>59</v>
      </c>
    </row>
    <row r="72" spans="1:1" x14ac:dyDescent="0.25">
      <c r="A72" t="s">
        <v>60</v>
      </c>
    </row>
    <row r="73" spans="1:1" x14ac:dyDescent="0.25">
      <c r="A73" t="s">
        <v>61</v>
      </c>
    </row>
    <row r="74" spans="1:1" x14ac:dyDescent="0.25">
      <c r="A74" t="s">
        <v>62</v>
      </c>
    </row>
    <row r="75" spans="1:1" x14ac:dyDescent="0.25">
      <c r="A75" t="s">
        <v>81</v>
      </c>
    </row>
    <row r="76" spans="1:1" x14ac:dyDescent="0.25">
      <c r="A76" t="s">
        <v>63</v>
      </c>
    </row>
    <row r="77" spans="1:1" x14ac:dyDescent="0.25">
      <c r="A77" t="s">
        <v>64</v>
      </c>
    </row>
    <row r="78" spans="1:1" x14ac:dyDescent="0.25">
      <c r="A78" s="27" t="s">
        <v>240</v>
      </c>
    </row>
    <row r="79" spans="1:1" x14ac:dyDescent="0.25">
      <c r="A79" t="s">
        <v>161</v>
      </c>
    </row>
    <row r="80" spans="1:1" x14ac:dyDescent="0.25">
      <c r="A80" t="s">
        <v>177</v>
      </c>
    </row>
    <row r="81" spans="1:1" x14ac:dyDescent="0.25">
      <c r="A81" s="27" t="s">
        <v>202</v>
      </c>
    </row>
    <row r="82" spans="1:1" x14ac:dyDescent="0.25">
      <c r="A82" t="s">
        <v>150</v>
      </c>
    </row>
    <row r="84" spans="1:1" ht="13" x14ac:dyDescent="0.3">
      <c r="A84" s="1" t="s">
        <v>85</v>
      </c>
    </row>
    <row r="85" spans="1:1" x14ac:dyDescent="0.25">
      <c r="A85" t="s">
        <v>23</v>
      </c>
    </row>
    <row r="86" spans="1:1" x14ac:dyDescent="0.25">
      <c r="A86" t="s">
        <v>24</v>
      </c>
    </row>
    <row r="87" spans="1:1" x14ac:dyDescent="0.25">
      <c r="A87" t="s">
        <v>29</v>
      </c>
    </row>
    <row r="88" spans="1:1" x14ac:dyDescent="0.25">
      <c r="A88" t="s">
        <v>137</v>
      </c>
    </row>
    <row r="89" spans="1:1" x14ac:dyDescent="0.25">
      <c r="A89" t="s">
        <v>104</v>
      </c>
    </row>
    <row r="90" spans="1:1" x14ac:dyDescent="0.25">
      <c r="A90" t="s">
        <v>155</v>
      </c>
    </row>
    <row r="91" spans="1:1" x14ac:dyDescent="0.25">
      <c r="A91" t="s">
        <v>162</v>
      </c>
    </row>
    <row r="92" spans="1:1" x14ac:dyDescent="0.25">
      <c r="A92" t="s">
        <v>245</v>
      </c>
    </row>
    <row r="93" spans="1:1" x14ac:dyDescent="0.25">
      <c r="A93" t="s">
        <v>30</v>
      </c>
    </row>
    <row r="95" spans="1:1" ht="13" x14ac:dyDescent="0.3">
      <c r="A95" s="1" t="s">
        <v>86</v>
      </c>
    </row>
    <row r="96" spans="1:1" x14ac:dyDescent="0.25">
      <c r="A96" s="27" t="s">
        <v>209</v>
      </c>
    </row>
    <row r="97" spans="1:1" x14ac:dyDescent="0.25">
      <c r="A97" s="27" t="s">
        <v>248</v>
      </c>
    </row>
    <row r="98" spans="1:1" x14ac:dyDescent="0.25">
      <c r="A98" s="27" t="s">
        <v>282</v>
      </c>
    </row>
    <row r="99" spans="1:1" x14ac:dyDescent="0.25">
      <c r="A99" t="s">
        <v>157</v>
      </c>
    </row>
    <row r="100" spans="1:1" x14ac:dyDescent="0.25">
      <c r="A100" t="s">
        <v>72</v>
      </c>
    </row>
    <row r="102" spans="1:1" ht="13" x14ac:dyDescent="0.3">
      <c r="A102" s="1" t="s">
        <v>75</v>
      </c>
    </row>
    <row r="103" spans="1:1" x14ac:dyDescent="0.25">
      <c r="A103" t="s">
        <v>74</v>
      </c>
    </row>
    <row r="104" spans="1:1" x14ac:dyDescent="0.25">
      <c r="A104" t="s">
        <v>83</v>
      </c>
    </row>
    <row r="106" spans="1:1" ht="13" x14ac:dyDescent="0.3">
      <c r="A106" s="1" t="s">
        <v>76</v>
      </c>
    </row>
    <row r="107" spans="1:1" x14ac:dyDescent="0.25">
      <c r="A107" t="s">
        <v>77</v>
      </c>
    </row>
    <row r="108" spans="1:1" x14ac:dyDescent="0.25">
      <c r="A108" t="s">
        <v>78</v>
      </c>
    </row>
    <row r="109" spans="1:1" x14ac:dyDescent="0.25">
      <c r="A109" t="s">
        <v>242</v>
      </c>
    </row>
    <row r="110" spans="1:1" x14ac:dyDescent="0.25">
      <c r="A110" t="s">
        <v>79</v>
      </c>
    </row>
    <row r="111" spans="1:1" x14ac:dyDescent="0.25">
      <c r="A111" t="s">
        <v>80</v>
      </c>
    </row>
    <row r="113" spans="1:5" ht="13" x14ac:dyDescent="0.3">
      <c r="A113" s="1" t="s">
        <v>89</v>
      </c>
    </row>
    <row r="114" spans="1:5" x14ac:dyDescent="0.25">
      <c r="A114" t="s">
        <v>90</v>
      </c>
    </row>
    <row r="115" spans="1:5" x14ac:dyDescent="0.25">
      <c r="A115" t="s">
        <v>91</v>
      </c>
    </row>
    <row r="116" spans="1:5" x14ac:dyDescent="0.25">
      <c r="A116" t="s">
        <v>92</v>
      </c>
    </row>
    <row r="117" spans="1:5" x14ac:dyDescent="0.25">
      <c r="A117" t="s">
        <v>122</v>
      </c>
    </row>
    <row r="118" spans="1:5" x14ac:dyDescent="0.25">
      <c r="A118" s="27" t="s">
        <v>228</v>
      </c>
    </row>
    <row r="119" spans="1:5" x14ac:dyDescent="0.25">
      <c r="A119" s="27" t="s">
        <v>250</v>
      </c>
    </row>
    <row r="120" spans="1:5" x14ac:dyDescent="0.25">
      <c r="A120" t="s">
        <v>93</v>
      </c>
    </row>
    <row r="122" spans="1:5" ht="13" x14ac:dyDescent="0.3">
      <c r="A122" s="1" t="s">
        <v>252</v>
      </c>
    </row>
    <row r="123" spans="1:5" x14ac:dyDescent="0.25">
      <c r="A123" t="s">
        <v>244</v>
      </c>
    </row>
    <row r="124" spans="1:5" x14ac:dyDescent="0.25">
      <c r="A124" t="s">
        <v>243</v>
      </c>
    </row>
    <row r="125" spans="1:5" x14ac:dyDescent="0.25">
      <c r="A125" s="27" t="s">
        <v>253</v>
      </c>
    </row>
    <row r="127" spans="1:5" x14ac:dyDescent="0.25">
      <c r="A127" s="66"/>
      <c r="B127" s="66"/>
      <c r="C127" s="66"/>
      <c r="D127" s="66"/>
      <c r="E127" s="66"/>
    </row>
    <row r="128" spans="1:5" x14ac:dyDescent="0.25">
      <c r="A128" s="66"/>
      <c r="B128" s="66"/>
      <c r="C128" s="66"/>
      <c r="D128" s="66"/>
      <c r="E128" s="66"/>
    </row>
    <row r="129" spans="1:6" x14ac:dyDescent="0.25">
      <c r="A129" s="67"/>
      <c r="B129" s="67"/>
      <c r="C129" s="67"/>
      <c r="D129" s="67"/>
      <c r="E129" s="67"/>
    </row>
    <row r="130" spans="1:6" ht="13" x14ac:dyDescent="0.3">
      <c r="A130" s="3" t="s">
        <v>172</v>
      </c>
      <c r="B130" s="68" t="s">
        <v>286</v>
      </c>
      <c r="C130" s="68"/>
      <c r="D130" s="68"/>
      <c r="E130" s="4"/>
    </row>
    <row r="131" spans="1:6" ht="13" x14ac:dyDescent="0.3">
      <c r="A131" s="5" t="s">
        <v>95</v>
      </c>
      <c r="B131" s="12">
        <v>42688</v>
      </c>
      <c r="C131" s="6"/>
      <c r="D131" s="6"/>
      <c r="E131" s="7"/>
    </row>
    <row r="132" spans="1:6" ht="13" x14ac:dyDescent="0.3">
      <c r="A132" s="5" t="s">
        <v>102</v>
      </c>
      <c r="B132" s="13">
        <v>0.6645833333333333</v>
      </c>
      <c r="C132" s="6"/>
      <c r="D132" s="6"/>
      <c r="E132" s="7"/>
    </row>
    <row r="133" spans="1:6" ht="13" x14ac:dyDescent="0.3">
      <c r="A133" s="5"/>
      <c r="B133" s="6"/>
      <c r="C133" s="6"/>
      <c r="D133" s="6"/>
      <c r="E133" s="7"/>
    </row>
    <row r="134" spans="1:6" ht="13" x14ac:dyDescent="0.3">
      <c r="A134" s="5" t="s">
        <v>84</v>
      </c>
      <c r="B134" s="6"/>
      <c r="C134" s="6"/>
      <c r="D134" s="6"/>
      <c r="E134" s="7"/>
    </row>
    <row r="135" spans="1:6" ht="13" x14ac:dyDescent="0.3">
      <c r="A135" s="8" t="s">
        <v>0</v>
      </c>
      <c r="B135" s="8" t="s">
        <v>66</v>
      </c>
      <c r="C135" s="5" t="s">
        <v>101</v>
      </c>
      <c r="D135" s="8" t="s">
        <v>67</v>
      </c>
      <c r="E135" s="7"/>
    </row>
    <row r="136" spans="1:6" x14ac:dyDescent="0.25">
      <c r="A136" s="9" t="s">
        <v>1</v>
      </c>
      <c r="B136" s="9">
        <v>2750</v>
      </c>
      <c r="C136" s="9"/>
      <c r="D136" s="20" t="s">
        <v>274</v>
      </c>
      <c r="E136" s="9"/>
      <c r="F136" s="2"/>
    </row>
    <row r="137" spans="1:6" x14ac:dyDescent="0.25">
      <c r="A137" s="9" t="s">
        <v>3</v>
      </c>
      <c r="B137" s="9">
        <v>0</v>
      </c>
      <c r="C137" s="23"/>
      <c r="D137" s="17"/>
      <c r="E137" s="9"/>
      <c r="F137" s="2"/>
    </row>
    <row r="138" spans="1:6" x14ac:dyDescent="0.25">
      <c r="A138" s="9" t="s">
        <v>4</v>
      </c>
      <c r="B138" s="9">
        <v>0</v>
      </c>
      <c r="C138" s="9"/>
      <c r="D138" s="17"/>
      <c r="E138" s="9"/>
      <c r="F138" s="2"/>
    </row>
    <row r="139" spans="1:6" x14ac:dyDescent="0.25">
      <c r="A139" s="9" t="s">
        <v>5</v>
      </c>
      <c r="B139" s="9">
        <v>0</v>
      </c>
      <c r="C139" s="9"/>
      <c r="D139" s="17"/>
      <c r="E139" s="9"/>
      <c r="F139" s="2"/>
    </row>
    <row r="140" spans="1:6" x14ac:dyDescent="0.25">
      <c r="A140" s="9" t="s">
        <v>275</v>
      </c>
      <c r="B140" s="9">
        <v>8</v>
      </c>
      <c r="C140" s="9"/>
      <c r="D140" s="9"/>
      <c r="E140" s="9"/>
      <c r="F140" s="2"/>
    </row>
    <row r="141" spans="1:6" x14ac:dyDescent="0.25">
      <c r="A141" s="9" t="s">
        <v>6</v>
      </c>
      <c r="B141" s="9">
        <v>0</v>
      </c>
      <c r="C141" s="9"/>
      <c r="D141" s="9"/>
      <c r="E141" s="9"/>
      <c r="F141" s="2"/>
    </row>
    <row r="142" spans="1:6" x14ac:dyDescent="0.25">
      <c r="A142" s="9" t="s">
        <v>276</v>
      </c>
      <c r="B142" s="9">
        <v>120</v>
      </c>
      <c r="C142" s="9"/>
      <c r="D142" s="9"/>
      <c r="E142" s="9"/>
      <c r="F142" s="2"/>
    </row>
    <row r="143" spans="1:6" x14ac:dyDescent="0.25">
      <c r="A143" s="9" t="s">
        <v>272</v>
      </c>
      <c r="B143" s="9">
        <v>2481.16</v>
      </c>
      <c r="C143" s="9"/>
      <c r="D143" s="9"/>
      <c r="E143" s="9"/>
      <c r="F143" s="2"/>
    </row>
    <row r="144" spans="1:6" x14ac:dyDescent="0.25">
      <c r="A144" s="9" t="s">
        <v>273</v>
      </c>
      <c r="B144" s="9">
        <v>262</v>
      </c>
      <c r="C144" s="9"/>
      <c r="D144" s="9"/>
      <c r="E144" s="9"/>
      <c r="F144" s="2"/>
    </row>
    <row r="145" spans="1:6" x14ac:dyDescent="0.25">
      <c r="A145" s="9" t="s">
        <v>8</v>
      </c>
      <c r="B145" s="9">
        <v>401</v>
      </c>
      <c r="C145" s="9"/>
      <c r="D145" s="9"/>
      <c r="E145" s="9"/>
      <c r="F145" s="2"/>
    </row>
    <row r="146" spans="1:6" x14ac:dyDescent="0.25">
      <c r="A146" s="9" t="s">
        <v>10</v>
      </c>
      <c r="B146" s="9">
        <v>160</v>
      </c>
      <c r="C146" s="9"/>
      <c r="D146" s="9"/>
      <c r="E146" s="9"/>
      <c r="F146" s="2"/>
    </row>
    <row r="147" spans="1:6" x14ac:dyDescent="0.25">
      <c r="A147" s="9" t="s">
        <v>277</v>
      </c>
      <c r="B147" s="9">
        <v>50</v>
      </c>
      <c r="C147" s="9"/>
      <c r="D147" s="9"/>
      <c r="E147" s="9"/>
      <c r="F147" s="2"/>
    </row>
    <row r="148" spans="1:6" x14ac:dyDescent="0.25">
      <c r="A148" s="9" t="s">
        <v>11</v>
      </c>
      <c r="B148" s="9">
        <v>0</v>
      </c>
      <c r="C148" s="9"/>
      <c r="D148" s="9"/>
      <c r="E148" s="9"/>
      <c r="F148" s="2"/>
    </row>
    <row r="149" spans="1:6" x14ac:dyDescent="0.25">
      <c r="A149" s="9" t="s">
        <v>12</v>
      </c>
      <c r="B149" s="9">
        <v>10</v>
      </c>
      <c r="C149" s="9"/>
      <c r="D149" s="9"/>
      <c r="E149" s="9"/>
      <c r="F149" s="2"/>
    </row>
    <row r="150" spans="1:6" x14ac:dyDescent="0.25">
      <c r="A150" s="9" t="s">
        <v>13</v>
      </c>
      <c r="B150" s="9">
        <v>90</v>
      </c>
      <c r="C150" s="9"/>
      <c r="D150" s="19" t="s">
        <v>278</v>
      </c>
      <c r="E150" s="9"/>
      <c r="F150" s="2"/>
    </row>
    <row r="151" spans="1:6" x14ac:dyDescent="0.25">
      <c r="A151" s="9" t="s">
        <v>17</v>
      </c>
      <c r="B151" s="9">
        <v>73</v>
      </c>
      <c r="C151" s="9"/>
      <c r="D151" s="19" t="s">
        <v>279</v>
      </c>
      <c r="E151" s="9"/>
      <c r="F151" s="2"/>
    </row>
    <row r="152" spans="1:6" x14ac:dyDescent="0.25">
      <c r="A152" s="9" t="s">
        <v>22</v>
      </c>
      <c r="B152" s="9">
        <v>0</v>
      </c>
      <c r="C152" s="9"/>
      <c r="D152" s="9"/>
      <c r="E152" s="9"/>
      <c r="F152" s="2"/>
    </row>
    <row r="153" spans="1:6" x14ac:dyDescent="0.25">
      <c r="A153" s="9" t="s">
        <v>14</v>
      </c>
      <c r="B153" s="9"/>
      <c r="C153" s="9"/>
      <c r="D153" s="9"/>
      <c r="E153" s="9"/>
      <c r="F153" s="2"/>
    </row>
    <row r="154" spans="1:6" x14ac:dyDescent="0.25">
      <c r="A154" s="9" t="s">
        <v>15</v>
      </c>
      <c r="B154" s="9">
        <v>150</v>
      </c>
      <c r="C154" s="9"/>
      <c r="D154" s="17"/>
      <c r="E154" s="9"/>
      <c r="F154" s="2"/>
    </row>
    <row r="155" spans="1:6" ht="25" x14ac:dyDescent="0.25">
      <c r="A155" s="9" t="s">
        <v>9</v>
      </c>
      <c r="B155" s="9">
        <v>1835</v>
      </c>
      <c r="C155" s="9"/>
      <c r="D155" s="23" t="s">
        <v>283</v>
      </c>
      <c r="E155" s="9"/>
      <c r="F155" s="2"/>
    </row>
    <row r="156" spans="1:6" x14ac:dyDescent="0.25">
      <c r="A156" s="9" t="s">
        <v>28</v>
      </c>
      <c r="B156" s="9">
        <v>50</v>
      </c>
      <c r="C156" s="9"/>
      <c r="D156" s="17"/>
      <c r="E156" s="9"/>
      <c r="F156" s="2"/>
    </row>
    <row r="157" spans="1:6" x14ac:dyDescent="0.25">
      <c r="A157" s="9" t="s">
        <v>153</v>
      </c>
      <c r="B157" s="9">
        <v>0</v>
      </c>
      <c r="C157" s="9"/>
      <c r="D157" s="17"/>
      <c r="E157" s="9"/>
      <c r="F157" s="2"/>
    </row>
    <row r="158" spans="1:6" x14ac:dyDescent="0.25">
      <c r="A158" s="9" t="s">
        <v>32</v>
      </c>
      <c r="B158" s="9">
        <v>0</v>
      </c>
      <c r="C158" s="9"/>
      <c r="D158" s="9"/>
      <c r="E158" s="9"/>
      <c r="F158" s="2"/>
    </row>
    <row r="159" spans="1:6" x14ac:dyDescent="0.25">
      <c r="A159" s="9" t="s">
        <v>33</v>
      </c>
      <c r="B159" s="9">
        <v>0</v>
      </c>
      <c r="C159" s="9"/>
      <c r="D159" s="9"/>
      <c r="E159" s="9"/>
      <c r="F159" s="2"/>
    </row>
    <row r="160" spans="1:6" x14ac:dyDescent="0.25">
      <c r="A160" s="9" t="s">
        <v>34</v>
      </c>
      <c r="B160" s="9">
        <v>80</v>
      </c>
      <c r="C160" s="9"/>
      <c r="D160" s="9"/>
      <c r="E160" s="9"/>
      <c r="F160" s="2"/>
    </row>
    <row r="161" spans="1:6" x14ac:dyDescent="0.25">
      <c r="A161" s="9" t="s">
        <v>35</v>
      </c>
      <c r="B161" s="9">
        <v>50</v>
      </c>
      <c r="C161" s="9"/>
      <c r="D161" s="9"/>
      <c r="E161" s="9"/>
      <c r="F161" s="2"/>
    </row>
    <row r="162" spans="1:6" x14ac:dyDescent="0.25">
      <c r="A162" s="9" t="s">
        <v>39</v>
      </c>
      <c r="B162" s="9">
        <v>320</v>
      </c>
      <c r="C162" s="9"/>
      <c r="D162" s="19" t="s">
        <v>271</v>
      </c>
      <c r="E162" s="9"/>
      <c r="F162" s="2"/>
    </row>
    <row r="163" spans="1:6" x14ac:dyDescent="0.25">
      <c r="A163" s="9" t="s">
        <v>42</v>
      </c>
      <c r="B163" s="9">
        <v>150</v>
      </c>
      <c r="C163" s="9"/>
      <c r="D163" s="9"/>
      <c r="E163" s="9"/>
      <c r="F163" s="2"/>
    </row>
    <row r="164" spans="1:6" x14ac:dyDescent="0.25">
      <c r="A164" s="9" t="s">
        <v>49</v>
      </c>
      <c r="B164" s="9">
        <v>80</v>
      </c>
      <c r="C164" s="9"/>
      <c r="D164" s="9"/>
      <c r="E164" s="9"/>
      <c r="F164" s="2"/>
    </row>
    <row r="165" spans="1:6" x14ac:dyDescent="0.25">
      <c r="A165" s="9" t="s">
        <v>151</v>
      </c>
      <c r="B165" s="9">
        <v>100</v>
      </c>
      <c r="C165" s="9"/>
      <c r="D165" s="9"/>
      <c r="E165" s="9"/>
      <c r="F165" s="2"/>
    </row>
    <row r="166" spans="1:6" x14ac:dyDescent="0.25">
      <c r="A166" s="9" t="s">
        <v>280</v>
      </c>
      <c r="B166" s="9">
        <v>80</v>
      </c>
      <c r="C166" s="9"/>
      <c r="D166" s="28" t="s">
        <v>288</v>
      </c>
      <c r="E166" s="9"/>
      <c r="F166" s="2"/>
    </row>
    <row r="167" spans="1:6" x14ac:dyDescent="0.25">
      <c r="A167" s="9" t="s">
        <v>281</v>
      </c>
      <c r="B167" s="9">
        <v>150</v>
      </c>
      <c r="C167" s="9"/>
      <c r="D167" s="9"/>
      <c r="E167" s="9"/>
      <c r="F167" s="2"/>
    </row>
    <row r="168" spans="1:6" x14ac:dyDescent="0.25">
      <c r="A168" s="9" t="s">
        <v>149</v>
      </c>
      <c r="B168" s="9">
        <v>0</v>
      </c>
      <c r="C168" s="9"/>
      <c r="D168" s="9"/>
      <c r="E168" s="9"/>
      <c r="F168" s="2"/>
    </row>
    <row r="169" spans="1:6" ht="50.5" x14ac:dyDescent="0.3">
      <c r="A169" s="10" t="s">
        <v>70</v>
      </c>
      <c r="B169" s="7">
        <f>SUM(B136:B168)</f>
        <v>9450.16</v>
      </c>
      <c r="C169" s="7"/>
      <c r="D169" s="22" t="s">
        <v>285</v>
      </c>
      <c r="E169" s="7"/>
    </row>
    <row r="170" spans="1:6" ht="50.5" x14ac:dyDescent="0.3">
      <c r="A170" s="31" t="s">
        <v>284</v>
      </c>
      <c r="B170" s="30">
        <f>SUM(136:168)-B136-B155+B3+B21</f>
        <v>6015.16</v>
      </c>
      <c r="C170" s="30"/>
      <c r="D170" s="33" t="s">
        <v>287</v>
      </c>
      <c r="E170" s="30"/>
    </row>
    <row r="171" spans="1:6" x14ac:dyDescent="0.25">
      <c r="A171" s="7"/>
      <c r="B171" s="7"/>
      <c r="C171" s="7"/>
      <c r="D171" s="7"/>
      <c r="E171" s="7"/>
    </row>
    <row r="172" spans="1:6" ht="13" x14ac:dyDescent="0.3">
      <c r="A172" s="8" t="s">
        <v>31</v>
      </c>
      <c r="B172" s="8" t="s">
        <v>66</v>
      </c>
      <c r="C172" s="5" t="s">
        <v>101</v>
      </c>
      <c r="D172" s="8" t="s">
        <v>67</v>
      </c>
      <c r="E172" s="7"/>
    </row>
    <row r="173" spans="1:6" x14ac:dyDescent="0.25">
      <c r="A173" s="9" t="s">
        <v>18</v>
      </c>
      <c r="B173" s="9">
        <v>0</v>
      </c>
      <c r="C173" s="9"/>
      <c r="D173" s="9"/>
      <c r="E173" s="9"/>
    </row>
    <row r="174" spans="1:6" x14ac:dyDescent="0.25">
      <c r="A174" s="9" t="s">
        <v>173</v>
      </c>
      <c r="B174" s="9">
        <v>0</v>
      </c>
      <c r="C174" s="9"/>
      <c r="D174" s="9"/>
      <c r="E174" s="9"/>
    </row>
    <row r="175" spans="1:6" x14ac:dyDescent="0.25">
      <c r="A175" s="9" t="s">
        <v>175</v>
      </c>
      <c r="B175" s="9">
        <v>0</v>
      </c>
      <c r="C175" s="9"/>
      <c r="D175" s="9"/>
      <c r="E175" s="9"/>
    </row>
    <row r="176" spans="1:6" x14ac:dyDescent="0.25">
      <c r="A176" s="9" t="s">
        <v>21</v>
      </c>
      <c r="B176" s="9">
        <v>0</v>
      </c>
      <c r="C176" s="9"/>
      <c r="D176" s="26"/>
      <c r="E176" s="9"/>
    </row>
    <row r="177" spans="1:5" ht="13" x14ac:dyDescent="0.3">
      <c r="A177" s="10" t="s">
        <v>70</v>
      </c>
      <c r="B177" s="7">
        <f>SUM(B173:B176)</f>
        <v>0</v>
      </c>
      <c r="C177" s="7"/>
      <c r="D177" s="7"/>
      <c r="E177" s="7"/>
    </row>
    <row r="178" spans="1:5" x14ac:dyDescent="0.25">
      <c r="A178" s="7"/>
      <c r="B178" s="7"/>
      <c r="C178" s="7"/>
      <c r="D178" s="7"/>
      <c r="E178" s="7"/>
    </row>
    <row r="179" spans="1:5" ht="13" x14ac:dyDescent="0.3">
      <c r="A179" s="8" t="s">
        <v>82</v>
      </c>
      <c r="B179" s="8" t="s">
        <v>66</v>
      </c>
      <c r="C179" s="5" t="s">
        <v>101</v>
      </c>
      <c r="D179" s="8" t="s">
        <v>67</v>
      </c>
      <c r="E179" s="7"/>
    </row>
    <row r="180" spans="1:5" x14ac:dyDescent="0.25">
      <c r="A180" s="9" t="s">
        <v>150</v>
      </c>
      <c r="B180" s="9">
        <v>0</v>
      </c>
      <c r="C180" s="9"/>
      <c r="D180" s="23"/>
      <c r="E180" s="9"/>
    </row>
    <row r="181" spans="1:5" x14ac:dyDescent="0.25">
      <c r="A181" s="9" t="s">
        <v>44</v>
      </c>
      <c r="B181" s="9">
        <v>0</v>
      </c>
      <c r="C181" s="9"/>
      <c r="D181" s="23"/>
      <c r="E181" s="9"/>
    </row>
    <row r="182" spans="1:5" x14ac:dyDescent="0.25">
      <c r="A182" s="9" t="s">
        <v>230</v>
      </c>
      <c r="B182" s="9">
        <v>0</v>
      </c>
      <c r="C182" s="9"/>
      <c r="D182" s="17"/>
      <c r="E182" s="9"/>
    </row>
    <row r="183" spans="1:5" x14ac:dyDescent="0.25">
      <c r="A183" s="9" t="s">
        <v>161</v>
      </c>
      <c r="B183" s="9">
        <v>0</v>
      </c>
      <c r="C183" s="9"/>
      <c r="D183" s="17"/>
      <c r="E183" s="9"/>
    </row>
    <row r="184" spans="1:5" x14ac:dyDescent="0.25">
      <c r="A184" s="9" t="s">
        <v>212</v>
      </c>
      <c r="B184" s="9">
        <v>0</v>
      </c>
      <c r="C184" s="9"/>
      <c r="D184" s="23"/>
      <c r="E184" s="9"/>
    </row>
    <row r="185" spans="1:5" x14ac:dyDescent="0.25">
      <c r="A185" s="9" t="s">
        <v>231</v>
      </c>
      <c r="B185" s="9">
        <v>0</v>
      </c>
      <c r="C185" s="9"/>
      <c r="D185" s="23"/>
      <c r="E185" s="9"/>
    </row>
    <row r="186" spans="1:5" x14ac:dyDescent="0.25">
      <c r="A186" s="9" t="s">
        <v>47</v>
      </c>
      <c r="B186" s="9">
        <v>20</v>
      </c>
      <c r="C186" s="9"/>
      <c r="D186" s="17"/>
      <c r="E186" s="9"/>
    </row>
    <row r="187" spans="1:5" x14ac:dyDescent="0.25">
      <c r="A187" s="9" t="s">
        <v>240</v>
      </c>
      <c r="B187" s="9">
        <v>300</v>
      </c>
      <c r="C187" s="9"/>
      <c r="D187" s="17"/>
      <c r="E187" s="9"/>
    </row>
    <row r="188" spans="1:5" x14ac:dyDescent="0.25">
      <c r="A188" s="9" t="s">
        <v>177</v>
      </c>
      <c r="B188" s="9">
        <v>0</v>
      </c>
      <c r="C188" s="9"/>
      <c r="D188" s="23"/>
      <c r="E188" s="9"/>
    </row>
    <row r="189" spans="1:5" ht="13" x14ac:dyDescent="0.3">
      <c r="A189" s="10" t="s">
        <v>70</v>
      </c>
      <c r="B189" s="7">
        <f>SUM(B180:B188)</f>
        <v>320</v>
      </c>
      <c r="C189" s="7"/>
      <c r="D189" s="7"/>
      <c r="E189" s="7"/>
    </row>
    <row r="190" spans="1:5" x14ac:dyDescent="0.25">
      <c r="A190" s="7"/>
      <c r="B190" s="7"/>
      <c r="C190" s="7"/>
      <c r="D190" s="7"/>
      <c r="E190" s="7"/>
    </row>
    <row r="191" spans="1:5" ht="13" x14ac:dyDescent="0.3">
      <c r="A191" s="8" t="s">
        <v>85</v>
      </c>
      <c r="B191" s="8" t="s">
        <v>66</v>
      </c>
      <c r="C191" s="5" t="s">
        <v>101</v>
      </c>
      <c r="D191" s="8" t="s">
        <v>214</v>
      </c>
      <c r="E191" s="7"/>
    </row>
    <row r="192" spans="1:5" x14ac:dyDescent="0.25">
      <c r="A192" s="9" t="s">
        <v>104</v>
      </c>
      <c r="B192" s="9">
        <v>0</v>
      </c>
      <c r="C192" s="9"/>
      <c r="D192" s="23"/>
      <c r="E192" s="9"/>
    </row>
    <row r="193" spans="1:5" x14ac:dyDescent="0.25">
      <c r="A193" s="9" t="s">
        <v>162</v>
      </c>
      <c r="B193" s="9">
        <v>0</v>
      </c>
      <c r="C193" s="9"/>
      <c r="D193" s="17"/>
      <c r="E193" s="9"/>
    </row>
    <row r="194" spans="1:5" x14ac:dyDescent="0.25">
      <c r="A194" s="9" t="s">
        <v>245</v>
      </c>
      <c r="B194" s="9">
        <v>391.24</v>
      </c>
      <c r="C194" s="9"/>
      <c r="D194" s="17"/>
      <c r="E194" s="9"/>
    </row>
    <row r="195" spans="1:5" x14ac:dyDescent="0.25">
      <c r="A195" s="9" t="s">
        <v>29</v>
      </c>
      <c r="B195" s="9">
        <v>7194.46</v>
      </c>
      <c r="C195" s="9"/>
      <c r="D195" s="17"/>
      <c r="E195" s="9"/>
    </row>
    <row r="196" spans="1:5" x14ac:dyDescent="0.25">
      <c r="A196" s="9" t="s">
        <v>30</v>
      </c>
      <c r="B196" s="9">
        <v>1045.5999999999999</v>
      </c>
      <c r="C196" s="9"/>
      <c r="D196" s="9"/>
      <c r="E196" s="9"/>
    </row>
    <row r="197" spans="1:5" ht="13" x14ac:dyDescent="0.3">
      <c r="A197" s="10" t="s">
        <v>70</v>
      </c>
      <c r="B197" s="7">
        <f>SUM(B192:B196)</f>
        <v>8631.2999999999993</v>
      </c>
      <c r="C197" s="7"/>
      <c r="D197" s="7"/>
      <c r="E197" s="7"/>
    </row>
    <row r="198" spans="1:5" ht="13" x14ac:dyDescent="0.3">
      <c r="A198" s="10"/>
      <c r="B198" s="7"/>
      <c r="C198" s="7"/>
      <c r="D198" s="7"/>
      <c r="E198" s="7"/>
    </row>
    <row r="199" spans="1:5" ht="13" x14ac:dyDescent="0.3">
      <c r="A199" s="10" t="s">
        <v>87</v>
      </c>
      <c r="B199" s="7">
        <f>SUM(B169,B177,B189)-B197</f>
        <v>1138.8600000000006</v>
      </c>
      <c r="C199" s="7"/>
      <c r="D199" s="7"/>
      <c r="E199" s="7"/>
    </row>
    <row r="200" spans="1:5" ht="13" x14ac:dyDescent="0.3">
      <c r="A200" s="10"/>
      <c r="B200" s="7"/>
      <c r="C200" s="7"/>
      <c r="D200" s="7"/>
      <c r="E200" s="7"/>
    </row>
    <row r="201" spans="1:5" ht="13" x14ac:dyDescent="0.3">
      <c r="A201" s="11" t="s">
        <v>73</v>
      </c>
      <c r="B201" s="7"/>
      <c r="C201" s="7"/>
      <c r="D201" s="7"/>
      <c r="E201" s="7"/>
    </row>
    <row r="202" spans="1:5" ht="13" x14ac:dyDescent="0.3">
      <c r="A202" s="8" t="s">
        <v>75</v>
      </c>
      <c r="B202" s="8" t="s">
        <v>66</v>
      </c>
      <c r="C202" s="5" t="s">
        <v>101</v>
      </c>
      <c r="D202" s="8" t="s">
        <v>67</v>
      </c>
      <c r="E202" s="7"/>
    </row>
    <row r="203" spans="1:5" x14ac:dyDescent="0.25">
      <c r="A203" s="9" t="s">
        <v>74</v>
      </c>
      <c r="B203" s="9">
        <v>6134.23</v>
      </c>
      <c r="C203" s="9"/>
      <c r="D203" s="9"/>
      <c r="E203" s="9"/>
    </row>
    <row r="204" spans="1:5" x14ac:dyDescent="0.25">
      <c r="A204" s="9"/>
      <c r="B204" s="9"/>
      <c r="C204" s="9"/>
      <c r="D204" s="9"/>
      <c r="E204" s="9"/>
    </row>
    <row r="205" spans="1:5" ht="13" x14ac:dyDescent="0.3">
      <c r="A205" s="10" t="s">
        <v>70</v>
      </c>
      <c r="B205" s="7">
        <f>SUM(B203:B204)</f>
        <v>6134.23</v>
      </c>
      <c r="C205" s="7"/>
      <c r="D205" s="7"/>
      <c r="E205" s="7"/>
    </row>
    <row r="206" spans="1:5" ht="13" x14ac:dyDescent="0.3">
      <c r="A206" s="11"/>
      <c r="B206" s="7"/>
      <c r="C206" s="7"/>
      <c r="D206" s="7"/>
      <c r="E206" s="7"/>
    </row>
    <row r="207" spans="1:5" ht="13" x14ac:dyDescent="0.3">
      <c r="A207" s="8" t="s">
        <v>76</v>
      </c>
      <c r="B207" s="8" t="s">
        <v>66</v>
      </c>
      <c r="C207" s="5" t="s">
        <v>101</v>
      </c>
      <c r="D207" s="8" t="s">
        <v>67</v>
      </c>
      <c r="E207" s="7"/>
    </row>
    <row r="208" spans="1:5" x14ac:dyDescent="0.25">
      <c r="A208" s="9" t="s">
        <v>242</v>
      </c>
      <c r="B208" s="9">
        <v>600</v>
      </c>
      <c r="C208" s="9"/>
      <c r="D208" s="9"/>
      <c r="E208" s="9"/>
    </row>
    <row r="209" spans="1:5" x14ac:dyDescent="0.25">
      <c r="A209" s="9"/>
      <c r="B209" s="9"/>
      <c r="C209" s="9"/>
      <c r="D209" s="9"/>
      <c r="E209" s="9"/>
    </row>
    <row r="210" spans="1:5" ht="13" x14ac:dyDescent="0.3">
      <c r="A210" s="10" t="s">
        <v>70</v>
      </c>
      <c r="B210" s="7">
        <f>SUM(B208:B209)</f>
        <v>600</v>
      </c>
      <c r="C210" s="7"/>
      <c r="D210" s="7"/>
      <c r="E210" s="7"/>
    </row>
    <row r="211" spans="1:5" x14ac:dyDescent="0.25">
      <c r="A211" s="7"/>
      <c r="B211" s="7"/>
      <c r="C211" s="7"/>
      <c r="D211" s="7"/>
      <c r="E211" s="7"/>
    </row>
    <row r="212" spans="1:5" ht="13" x14ac:dyDescent="0.3">
      <c r="A212" s="8" t="s">
        <v>86</v>
      </c>
      <c r="B212" s="8" t="s">
        <v>66</v>
      </c>
      <c r="C212" s="5" t="s">
        <v>101</v>
      </c>
      <c r="D212" s="8" t="s">
        <v>67</v>
      </c>
      <c r="E212" s="7"/>
    </row>
    <row r="213" spans="1:5" ht="87.5" x14ac:dyDescent="0.25">
      <c r="A213" s="9" t="s">
        <v>26</v>
      </c>
      <c r="B213" s="9">
        <v>0</v>
      </c>
      <c r="C213" s="9"/>
      <c r="D213" s="23" t="s">
        <v>246</v>
      </c>
      <c r="E213" s="9"/>
    </row>
    <row r="214" spans="1:5" x14ac:dyDescent="0.25">
      <c r="A214" s="9" t="s">
        <v>282</v>
      </c>
      <c r="B214" s="9">
        <v>180</v>
      </c>
      <c r="C214" s="9"/>
      <c r="D214" s="23"/>
      <c r="E214" s="9"/>
    </row>
    <row r="215" spans="1:5" x14ac:dyDescent="0.25">
      <c r="A215" s="9" t="s">
        <v>248</v>
      </c>
      <c r="B215" s="9">
        <v>25123</v>
      </c>
      <c r="C215" s="9"/>
      <c r="D215" s="23"/>
      <c r="E215" s="9"/>
    </row>
    <row r="216" spans="1:5" x14ac:dyDescent="0.25">
      <c r="A216" s="9"/>
      <c r="B216" s="9"/>
      <c r="C216" s="9"/>
      <c r="D216" s="9"/>
      <c r="E216" s="9"/>
    </row>
    <row r="217" spans="1:5" ht="13" x14ac:dyDescent="0.3">
      <c r="A217" s="10" t="s">
        <v>70</v>
      </c>
      <c r="B217" s="7">
        <f>SUM(B213:B216)</f>
        <v>25303</v>
      </c>
      <c r="C217" s="7"/>
      <c r="D217" s="7"/>
      <c r="E217" s="7"/>
    </row>
    <row r="218" spans="1:5" x14ac:dyDescent="0.25">
      <c r="A218" s="7"/>
      <c r="B218" s="7"/>
      <c r="C218" s="7"/>
      <c r="D218" s="7"/>
      <c r="E218" s="7"/>
    </row>
    <row r="219" spans="1:5" ht="13" x14ac:dyDescent="0.3">
      <c r="A219" s="10" t="s">
        <v>88</v>
      </c>
      <c r="B219" s="7">
        <f>SUM(B205,B210)-B217</f>
        <v>-18568.77</v>
      </c>
      <c r="C219" s="7"/>
      <c r="D219" s="7"/>
      <c r="E219" s="7"/>
    </row>
    <row r="220" spans="1:5" ht="13" x14ac:dyDescent="0.3">
      <c r="A220" s="10"/>
      <c r="B220" s="7"/>
      <c r="C220" s="7"/>
      <c r="D220" s="7"/>
      <c r="E220" s="7"/>
    </row>
    <row r="221" spans="1:5" ht="13" x14ac:dyDescent="0.3">
      <c r="A221" s="8" t="s">
        <v>251</v>
      </c>
      <c r="B221" s="8" t="s">
        <v>66</v>
      </c>
      <c r="C221" s="8" t="s">
        <v>67</v>
      </c>
      <c r="D221" s="7"/>
      <c r="E221" s="7"/>
    </row>
    <row r="222" spans="1:5" x14ac:dyDescent="0.25">
      <c r="A222" s="9" t="s">
        <v>243</v>
      </c>
      <c r="B222" s="9">
        <v>4502.6499999999996</v>
      </c>
      <c r="C222" s="23"/>
      <c r="D222" s="23"/>
      <c r="E222" s="23"/>
    </row>
    <row r="223" spans="1:5" x14ac:dyDescent="0.25">
      <c r="A223" s="9" t="s">
        <v>244</v>
      </c>
      <c r="B223" s="9">
        <v>848.16</v>
      </c>
      <c r="C223" s="9"/>
      <c r="D223" s="23"/>
      <c r="E223" s="23"/>
    </row>
    <row r="224" spans="1:5" x14ac:dyDescent="0.25">
      <c r="A224" s="9" t="s">
        <v>253</v>
      </c>
      <c r="B224" s="15">
        <v>6047.79</v>
      </c>
      <c r="C224" s="9"/>
      <c r="D224" s="23"/>
      <c r="E224" s="23"/>
    </row>
    <row r="225" spans="1:5" x14ac:dyDescent="0.25">
      <c r="A225" s="9"/>
      <c r="B225" s="9"/>
      <c r="C225" s="9"/>
      <c r="D225" s="23"/>
      <c r="E225" s="23"/>
    </row>
    <row r="226" spans="1:5" ht="13" x14ac:dyDescent="0.3">
      <c r="A226" s="10" t="s">
        <v>256</v>
      </c>
      <c r="B226" s="7">
        <f>SUM(B222:B225)</f>
        <v>11398.599999999999</v>
      </c>
      <c r="C226" s="7"/>
      <c r="D226" s="7"/>
      <c r="E226" s="7"/>
    </row>
    <row r="227" spans="1:5" ht="13" x14ac:dyDescent="0.3">
      <c r="A227" s="31" t="s">
        <v>257</v>
      </c>
      <c r="B227" s="30">
        <v>10000</v>
      </c>
      <c r="C227" s="30"/>
      <c r="D227" s="30"/>
      <c r="E227" s="30"/>
    </row>
    <row r="228" spans="1:5" ht="13" x14ac:dyDescent="0.3">
      <c r="A228" s="31" t="s">
        <v>258</v>
      </c>
      <c r="B228" s="30">
        <f>B222+B227</f>
        <v>14502.65</v>
      </c>
      <c r="C228" s="30"/>
      <c r="D228" s="30"/>
      <c r="E228" s="30"/>
    </row>
    <row r="229" spans="1:5" x14ac:dyDescent="0.25">
      <c r="A229" s="7"/>
      <c r="B229" s="7"/>
      <c r="C229" s="7"/>
      <c r="D229" s="7"/>
      <c r="E229" s="7"/>
    </row>
    <row r="230" spans="1:5" ht="13" x14ac:dyDescent="0.3">
      <c r="A230" s="5" t="s">
        <v>255</v>
      </c>
      <c r="B230" s="7"/>
      <c r="C230" s="7"/>
      <c r="D230" s="7"/>
      <c r="E230" s="7"/>
    </row>
    <row r="231" spans="1:5" ht="13" x14ac:dyDescent="0.3">
      <c r="A231" s="8" t="s">
        <v>94</v>
      </c>
      <c r="B231" s="8" t="s">
        <v>66</v>
      </c>
      <c r="C231" s="8" t="s">
        <v>67</v>
      </c>
      <c r="D231" s="7"/>
      <c r="E231" s="7"/>
    </row>
    <row r="232" spans="1:5" x14ac:dyDescent="0.25">
      <c r="A232" s="9" t="s">
        <v>90</v>
      </c>
      <c r="B232" s="15">
        <v>39780.6</v>
      </c>
      <c r="C232" s="9"/>
      <c r="D232" s="9"/>
      <c r="E232" s="9"/>
    </row>
    <row r="233" spans="1:5" x14ac:dyDescent="0.25">
      <c r="A233" s="9" t="s">
        <v>91</v>
      </c>
      <c r="B233" s="9">
        <v>11485.12</v>
      </c>
      <c r="C233" s="9"/>
      <c r="D233" s="9"/>
      <c r="E233" s="9"/>
    </row>
    <row r="234" spans="1:5" x14ac:dyDescent="0.25">
      <c r="A234" s="9" t="s">
        <v>92</v>
      </c>
      <c r="B234" s="9">
        <v>0</v>
      </c>
      <c r="C234" s="28">
        <v>0</v>
      </c>
      <c r="D234" s="9"/>
      <c r="E234" s="9"/>
    </row>
    <row r="235" spans="1:5" x14ac:dyDescent="0.25">
      <c r="A235" s="9" t="s">
        <v>93</v>
      </c>
      <c r="B235" s="9">
        <v>31625.74</v>
      </c>
      <c r="C235" s="28" t="s">
        <v>247</v>
      </c>
      <c r="D235" s="9"/>
      <c r="E235" s="9"/>
    </row>
    <row r="236" spans="1:5" x14ac:dyDescent="0.25">
      <c r="A236" s="9" t="s">
        <v>250</v>
      </c>
      <c r="B236" s="9">
        <v>40000</v>
      </c>
      <c r="C236" s="28"/>
      <c r="D236" s="9"/>
      <c r="E236" s="9"/>
    </row>
    <row r="237" spans="1:5" x14ac:dyDescent="0.25">
      <c r="A237" s="9" t="s">
        <v>122</v>
      </c>
      <c r="B237" s="28">
        <v>58</v>
      </c>
      <c r="C237" s="25"/>
      <c r="D237" s="9"/>
      <c r="E237" s="9"/>
    </row>
    <row r="238" spans="1:5" x14ac:dyDescent="0.25">
      <c r="A238" s="9" t="s">
        <v>228</v>
      </c>
      <c r="B238" s="28">
        <v>0</v>
      </c>
      <c r="C238" s="28"/>
      <c r="D238" s="9"/>
      <c r="E238" s="9"/>
    </row>
    <row r="239" spans="1:5" ht="13" x14ac:dyDescent="0.3">
      <c r="A239" s="10" t="s">
        <v>254</v>
      </c>
      <c r="B239" s="35">
        <f>SUM(B232:B238)</f>
        <v>122949.46</v>
      </c>
      <c r="C239" s="7"/>
      <c r="D239" s="7"/>
      <c r="E239" s="7"/>
    </row>
    <row r="240" spans="1:5" x14ac:dyDescent="0.25">
      <c r="A240" s="7"/>
      <c r="B240" s="7"/>
      <c r="C240" s="7"/>
      <c r="D240" s="7"/>
      <c r="E240" s="7"/>
    </row>
    <row r="241" spans="1:5" ht="13" x14ac:dyDescent="0.3">
      <c r="A241" s="5" t="s">
        <v>97</v>
      </c>
      <c r="B241" s="7">
        <f xml:space="preserve"> B226+B219-B199</f>
        <v>-8309.0300000000025</v>
      </c>
      <c r="C241" s="7"/>
      <c r="D241" s="7"/>
      <c r="E241" s="7"/>
    </row>
    <row r="242" spans="1:5" ht="26" x14ac:dyDescent="0.3">
      <c r="A242" s="34" t="s">
        <v>267</v>
      </c>
      <c r="B242" s="30">
        <f xml:space="preserve"> B228+B219-B199</f>
        <v>-5204.9800000000014</v>
      </c>
      <c r="C242" s="30"/>
      <c r="D242" s="30"/>
      <c r="E242" s="30"/>
    </row>
    <row r="243" spans="1:5" ht="13" x14ac:dyDescent="0.3">
      <c r="A243" s="5" t="s">
        <v>96</v>
      </c>
      <c r="B243" s="7">
        <f>SUM(B239,B241)</f>
        <v>114640.43000000001</v>
      </c>
      <c r="C243" s="21"/>
      <c r="D243" s="7"/>
      <c r="E243" s="7"/>
    </row>
    <row r="244" spans="1:5" ht="26" x14ac:dyDescent="0.3">
      <c r="A244" s="34" t="s">
        <v>268</v>
      </c>
      <c r="B244" s="30">
        <f>SUM(B239,B242)</f>
        <v>117744.48000000001</v>
      </c>
      <c r="C244" s="33"/>
      <c r="D244" s="30"/>
      <c r="E244" s="30"/>
    </row>
    <row r="245" spans="1:5" ht="13" x14ac:dyDescent="0.3">
      <c r="A245" s="32" t="s">
        <v>261</v>
      </c>
      <c r="B245" s="30">
        <v>17000</v>
      </c>
      <c r="C245" s="33"/>
      <c r="D245" s="30"/>
      <c r="E245" s="30"/>
    </row>
    <row r="246" spans="1:5" ht="13" x14ac:dyDescent="0.3">
      <c r="A246" s="32" t="s">
        <v>262</v>
      </c>
      <c r="B246" s="30">
        <v>2000</v>
      </c>
      <c r="C246" s="33"/>
      <c r="D246" s="30"/>
      <c r="E246" s="30"/>
    </row>
    <row r="247" spans="1:5" ht="13" x14ac:dyDescent="0.3">
      <c r="A247" s="32" t="s">
        <v>263</v>
      </c>
      <c r="B247" s="30">
        <v>0</v>
      </c>
      <c r="C247" s="33" t="s">
        <v>269</v>
      </c>
      <c r="D247" s="30"/>
      <c r="E247" s="30"/>
    </row>
    <row r="248" spans="1:5" ht="13" x14ac:dyDescent="0.3">
      <c r="A248" s="32" t="s">
        <v>265</v>
      </c>
      <c r="B248" s="30">
        <f>SUM(B243,B245:B247)</f>
        <v>133640.43</v>
      </c>
      <c r="C248" s="33"/>
      <c r="D248" s="30"/>
      <c r="E248" s="30"/>
    </row>
    <row r="249" spans="1:5" ht="26" x14ac:dyDescent="0.3">
      <c r="A249" s="34" t="s">
        <v>266</v>
      </c>
      <c r="B249" s="30">
        <f>SUM(B244,B245:B247)</f>
        <v>136744.48000000001</v>
      </c>
      <c r="C249" s="33"/>
      <c r="D249" s="30"/>
      <c r="E249" s="30"/>
    </row>
    <row r="250" spans="1:5" ht="13" x14ac:dyDescent="0.3">
      <c r="A250" s="34" t="s">
        <v>289</v>
      </c>
      <c r="B250" s="30">
        <f>B243-B195-B196-B235-B236</f>
        <v>34774.62999999999</v>
      </c>
      <c r="C250" s="33"/>
      <c r="D250" s="30"/>
      <c r="E250" s="30"/>
    </row>
    <row r="251" spans="1:5" ht="26" x14ac:dyDescent="0.3">
      <c r="A251" s="34" t="s">
        <v>290</v>
      </c>
      <c r="B251" s="30">
        <f>B244-B195-B196-B235-B236</f>
        <v>37878.679999999993</v>
      </c>
      <c r="C251" s="33"/>
      <c r="D251" s="30"/>
      <c r="E251" s="30"/>
    </row>
    <row r="252" spans="1:5" ht="26" x14ac:dyDescent="0.3">
      <c r="A252" s="34" t="s">
        <v>291</v>
      </c>
      <c r="B252" s="30">
        <f>B248-B195-B196-B235-B236</f>
        <v>53774.629999999976</v>
      </c>
      <c r="C252" s="33"/>
      <c r="D252" s="30"/>
      <c r="E252" s="30"/>
    </row>
    <row r="253" spans="1:5" ht="39" x14ac:dyDescent="0.3">
      <c r="A253" s="34" t="s">
        <v>292</v>
      </c>
      <c r="B253" s="30">
        <f>B249-B195-B196-B235-B236</f>
        <v>56878.679999999993</v>
      </c>
      <c r="C253" s="33"/>
      <c r="D253" s="30"/>
      <c r="E253" s="30"/>
    </row>
    <row r="254" spans="1:5" ht="13" x14ac:dyDescent="0.3">
      <c r="A254" s="5" t="s">
        <v>134</v>
      </c>
      <c r="B254" s="7">
        <f>B243-B339</f>
        <v>99.070000000006985</v>
      </c>
      <c r="C254" s="22"/>
      <c r="D254" s="7"/>
      <c r="E254" s="7"/>
    </row>
    <row r="255" spans="1:5" x14ac:dyDescent="0.25">
      <c r="A255" s="7"/>
      <c r="B255" s="7"/>
      <c r="C255" s="7"/>
      <c r="D255" s="7"/>
      <c r="E255" s="7"/>
    </row>
    <row r="256" spans="1:5" x14ac:dyDescent="0.25">
      <c r="A256" s="69"/>
      <c r="B256" s="69"/>
      <c r="C256" s="69"/>
      <c r="D256" s="69"/>
      <c r="E256" s="69"/>
    </row>
    <row r="257" spans="1:5" x14ac:dyDescent="0.25">
      <c r="A257" s="69"/>
      <c r="B257" s="69"/>
      <c r="C257" s="69"/>
      <c r="D257" s="69"/>
      <c r="E257" s="69"/>
    </row>
    <row r="258" spans="1:5" x14ac:dyDescent="0.25">
      <c r="A258" s="69"/>
      <c r="B258" s="69"/>
      <c r="C258" s="69"/>
      <c r="D258" s="69"/>
      <c r="E258" s="69"/>
    </row>
    <row r="259" spans="1:5" ht="13" x14ac:dyDescent="0.3">
      <c r="A259" s="3" t="s">
        <v>239</v>
      </c>
      <c r="B259" s="68" t="s">
        <v>286</v>
      </c>
      <c r="C259" s="68"/>
      <c r="D259" s="68"/>
      <c r="E259" s="4"/>
    </row>
    <row r="260" spans="1:5" ht="13" x14ac:dyDescent="0.3">
      <c r="A260" s="5" t="s">
        <v>95</v>
      </c>
      <c r="B260" s="12">
        <v>42688</v>
      </c>
      <c r="C260" s="6"/>
      <c r="D260" s="6"/>
      <c r="E260" s="7"/>
    </row>
    <row r="261" spans="1:5" ht="13" x14ac:dyDescent="0.3">
      <c r="A261" s="5" t="s">
        <v>102</v>
      </c>
      <c r="B261" s="13">
        <v>0.6645833333333333</v>
      </c>
      <c r="C261" s="6"/>
      <c r="D261" s="6"/>
      <c r="E261" s="7"/>
    </row>
    <row r="262" spans="1:5" ht="13" x14ac:dyDescent="0.3">
      <c r="A262" s="5"/>
      <c r="B262" s="6"/>
      <c r="C262" s="6"/>
      <c r="D262" s="6"/>
      <c r="E262" s="7"/>
    </row>
    <row r="263" spans="1:5" ht="13" x14ac:dyDescent="0.3">
      <c r="A263" s="5" t="s">
        <v>84</v>
      </c>
      <c r="B263" s="6"/>
      <c r="C263" s="6"/>
      <c r="D263" s="6"/>
      <c r="E263" s="7"/>
    </row>
    <row r="264" spans="1:5" ht="13" x14ac:dyDescent="0.3">
      <c r="A264" s="8" t="s">
        <v>0</v>
      </c>
      <c r="B264" s="8" t="s">
        <v>66</v>
      </c>
      <c r="C264" s="8" t="s">
        <v>67</v>
      </c>
      <c r="D264" s="7"/>
      <c r="E264" s="7"/>
    </row>
    <row r="265" spans="1:5" x14ac:dyDescent="0.25">
      <c r="A265" s="9" t="s">
        <v>1</v>
      </c>
      <c r="B265" s="9">
        <v>2200</v>
      </c>
      <c r="C265" s="9"/>
      <c r="D265" s="9"/>
      <c r="E265" s="9"/>
    </row>
    <row r="266" spans="1:5" x14ac:dyDescent="0.25">
      <c r="A266" s="9" t="s">
        <v>9</v>
      </c>
      <c r="B266" s="9">
        <v>1215</v>
      </c>
      <c r="C266" s="23" t="s">
        <v>270</v>
      </c>
      <c r="D266" s="9"/>
      <c r="E266" s="9"/>
    </row>
    <row r="267" spans="1:5" x14ac:dyDescent="0.25">
      <c r="A267" s="9" t="s">
        <v>3</v>
      </c>
      <c r="B267" s="9">
        <v>0</v>
      </c>
      <c r="C267" s="9"/>
      <c r="D267" s="9"/>
      <c r="E267" s="9"/>
    </row>
    <row r="268" spans="1:5" x14ac:dyDescent="0.25">
      <c r="A268" s="9" t="s">
        <v>2</v>
      </c>
      <c r="B268" s="9">
        <v>0</v>
      </c>
      <c r="C268" s="9"/>
      <c r="D268" s="9"/>
      <c r="E268" s="9"/>
    </row>
    <row r="269" spans="1:5" x14ac:dyDescent="0.25">
      <c r="A269" s="9" t="s">
        <v>5</v>
      </c>
      <c r="B269" s="9">
        <v>0</v>
      </c>
      <c r="C269" s="9"/>
      <c r="D269" s="9"/>
      <c r="E269" s="9"/>
    </row>
    <row r="270" spans="1:5" x14ac:dyDescent="0.25">
      <c r="A270" s="9" t="s">
        <v>4</v>
      </c>
      <c r="B270" s="9">
        <v>0</v>
      </c>
      <c r="C270" s="9"/>
      <c r="D270" s="9"/>
      <c r="E270" s="9"/>
    </row>
    <row r="271" spans="1:5" x14ac:dyDescent="0.25">
      <c r="A271" s="9" t="s">
        <v>14</v>
      </c>
      <c r="B271" s="9">
        <v>0</v>
      </c>
      <c r="C271" s="9"/>
      <c r="D271" s="9"/>
      <c r="E271" s="9"/>
    </row>
    <row r="272" spans="1:5" x14ac:dyDescent="0.25">
      <c r="A272" s="9" t="s">
        <v>42</v>
      </c>
      <c r="B272" s="9">
        <v>0</v>
      </c>
      <c r="C272" s="9"/>
      <c r="D272" s="9"/>
      <c r="E272" s="9"/>
    </row>
    <row r="273" spans="1:5" x14ac:dyDescent="0.25">
      <c r="A273" s="9" t="s">
        <v>149</v>
      </c>
      <c r="B273" s="9">
        <v>0</v>
      </c>
      <c r="C273" s="9"/>
      <c r="D273" s="9"/>
      <c r="E273" s="9"/>
    </row>
    <row r="274" spans="1:5" x14ac:dyDescent="0.25">
      <c r="A274" s="9" t="s">
        <v>39</v>
      </c>
      <c r="B274" s="9">
        <v>0</v>
      </c>
      <c r="C274" s="9"/>
      <c r="D274" s="9"/>
      <c r="E274" s="9"/>
    </row>
    <row r="275" spans="1:5" ht="13" x14ac:dyDescent="0.3">
      <c r="A275" s="10" t="s">
        <v>70</v>
      </c>
      <c r="B275" s="7">
        <f>SUM(B265:B274)</f>
        <v>3415</v>
      </c>
      <c r="C275" s="7"/>
      <c r="D275" s="7"/>
      <c r="E275" s="7"/>
    </row>
    <row r="276" spans="1:5" x14ac:dyDescent="0.25">
      <c r="A276" s="7"/>
      <c r="B276" s="7"/>
      <c r="C276" s="7"/>
      <c r="D276" s="7"/>
      <c r="E276" s="7"/>
    </row>
    <row r="277" spans="1:5" ht="13" x14ac:dyDescent="0.3">
      <c r="A277" s="8" t="s">
        <v>31</v>
      </c>
      <c r="B277" s="8" t="s">
        <v>66</v>
      </c>
      <c r="C277" s="8" t="s">
        <v>67</v>
      </c>
      <c r="D277" s="7"/>
      <c r="E277" s="7"/>
    </row>
    <row r="278" spans="1:5" x14ac:dyDescent="0.25">
      <c r="A278" s="9"/>
      <c r="B278" s="9"/>
      <c r="C278" s="9"/>
      <c r="D278" s="9"/>
      <c r="E278" s="9"/>
    </row>
    <row r="279" spans="1:5" x14ac:dyDescent="0.25">
      <c r="A279" s="9"/>
      <c r="B279" s="9"/>
      <c r="C279" s="9"/>
      <c r="D279" s="9"/>
      <c r="E279" s="9"/>
    </row>
    <row r="280" spans="1:5" ht="13" x14ac:dyDescent="0.3">
      <c r="A280" s="10" t="s">
        <v>70</v>
      </c>
      <c r="B280" s="7">
        <f>SUM(B278:B279)</f>
        <v>0</v>
      </c>
      <c r="C280" s="7"/>
      <c r="D280" s="7"/>
      <c r="E280" s="7"/>
    </row>
    <row r="281" spans="1:5" x14ac:dyDescent="0.25">
      <c r="A281" s="7"/>
      <c r="B281" s="7"/>
      <c r="C281" s="7"/>
      <c r="D281" s="7"/>
      <c r="E281" s="7"/>
    </row>
    <row r="282" spans="1:5" ht="13" x14ac:dyDescent="0.3">
      <c r="A282" s="8" t="s">
        <v>82</v>
      </c>
      <c r="B282" s="8" t="s">
        <v>66</v>
      </c>
      <c r="C282" s="8" t="s">
        <v>67</v>
      </c>
      <c r="D282" s="7"/>
      <c r="E282" s="7"/>
    </row>
    <row r="283" spans="1:5" x14ac:dyDescent="0.25">
      <c r="A283" s="9" t="s">
        <v>150</v>
      </c>
      <c r="B283" s="9">
        <v>0</v>
      </c>
      <c r="C283" s="9"/>
      <c r="D283" s="23"/>
      <c r="E283" s="9"/>
    </row>
    <row r="284" spans="1:5" x14ac:dyDescent="0.25">
      <c r="A284" s="9" t="s">
        <v>240</v>
      </c>
      <c r="B284" s="9">
        <v>300</v>
      </c>
      <c r="C284" s="19" t="s">
        <v>241</v>
      </c>
      <c r="D284" s="23"/>
      <c r="E284" s="9"/>
    </row>
    <row r="285" spans="1:5" x14ac:dyDescent="0.25">
      <c r="A285" s="9"/>
      <c r="B285" s="9"/>
      <c r="C285" s="9"/>
      <c r="D285" s="9"/>
      <c r="E285" s="9"/>
    </row>
    <row r="286" spans="1:5" ht="13" x14ac:dyDescent="0.3">
      <c r="A286" s="10" t="s">
        <v>70</v>
      </c>
      <c r="B286" s="7">
        <f>SUM(B283:B285)</f>
        <v>300</v>
      </c>
      <c r="C286" s="7"/>
      <c r="D286" s="7"/>
      <c r="E286" s="7"/>
    </row>
    <row r="287" spans="1:5" x14ac:dyDescent="0.25">
      <c r="A287" s="7"/>
      <c r="B287" s="7"/>
      <c r="C287" s="7"/>
      <c r="D287" s="7"/>
      <c r="E287" s="7"/>
    </row>
    <row r="288" spans="1:5" ht="13" x14ac:dyDescent="0.3">
      <c r="A288" s="8" t="s">
        <v>85</v>
      </c>
      <c r="B288" s="8" t="s">
        <v>66</v>
      </c>
      <c r="C288" s="8" t="s">
        <v>67</v>
      </c>
      <c r="D288" s="7"/>
      <c r="E288" s="7"/>
    </row>
    <row r="289" spans="1:5" x14ac:dyDescent="0.25">
      <c r="A289" s="9" t="s">
        <v>245</v>
      </c>
      <c r="B289" s="9">
        <v>391.24</v>
      </c>
      <c r="C289" s="9"/>
      <c r="D289" s="23"/>
      <c r="E289" s="9"/>
    </row>
    <row r="290" spans="1:5" x14ac:dyDescent="0.25">
      <c r="A290" s="9" t="s">
        <v>29</v>
      </c>
      <c r="B290" s="9">
        <v>7194.46</v>
      </c>
      <c r="C290" s="9"/>
      <c r="D290" s="9"/>
      <c r="E290" s="9"/>
    </row>
    <row r="291" spans="1:5" x14ac:dyDescent="0.25">
      <c r="A291" s="9" t="s">
        <v>30</v>
      </c>
      <c r="B291" s="9">
        <v>1045.5999999999999</v>
      </c>
      <c r="C291" s="9"/>
      <c r="D291" s="9"/>
      <c r="E291" s="9"/>
    </row>
    <row r="292" spans="1:5" ht="13" x14ac:dyDescent="0.3">
      <c r="A292" s="10" t="s">
        <v>70</v>
      </c>
      <c r="B292" s="7">
        <f>SUM(B289:B291)</f>
        <v>8631.2999999999993</v>
      </c>
      <c r="C292" s="7"/>
      <c r="D292" s="7"/>
      <c r="E292" s="7"/>
    </row>
    <row r="293" spans="1:5" ht="13" x14ac:dyDescent="0.3">
      <c r="A293" s="10"/>
      <c r="B293" s="7"/>
      <c r="C293" s="7"/>
      <c r="D293" s="7"/>
      <c r="E293" s="7"/>
    </row>
    <row r="294" spans="1:5" ht="13" x14ac:dyDescent="0.3">
      <c r="A294" s="10" t="s">
        <v>87</v>
      </c>
      <c r="B294" s="7">
        <f>SUM(B275,B280,B286) - B292</f>
        <v>-4916.2999999999993</v>
      </c>
      <c r="C294" s="7"/>
      <c r="D294" s="7"/>
      <c r="E294" s="7"/>
    </row>
    <row r="295" spans="1:5" ht="13" x14ac:dyDescent="0.3">
      <c r="A295" s="10"/>
      <c r="B295" s="7"/>
      <c r="C295" s="7"/>
      <c r="D295" s="7"/>
      <c r="E295" s="7"/>
    </row>
    <row r="296" spans="1:5" ht="13" x14ac:dyDescent="0.3">
      <c r="A296" s="11" t="s">
        <v>73</v>
      </c>
      <c r="B296" s="7"/>
      <c r="C296" s="7"/>
      <c r="D296" s="7"/>
      <c r="E296" s="7"/>
    </row>
    <row r="297" spans="1:5" ht="13" x14ac:dyDescent="0.3">
      <c r="A297" s="8" t="s">
        <v>75</v>
      </c>
      <c r="B297" s="8" t="s">
        <v>66</v>
      </c>
      <c r="C297" s="8" t="s">
        <v>67</v>
      </c>
      <c r="D297" s="7"/>
      <c r="E297" s="7"/>
    </row>
    <row r="298" spans="1:5" x14ac:dyDescent="0.25">
      <c r="A298" s="9"/>
      <c r="B298" s="9"/>
      <c r="C298" s="9"/>
      <c r="D298" s="9"/>
      <c r="E298" s="9"/>
    </row>
    <row r="299" spans="1:5" x14ac:dyDescent="0.25">
      <c r="A299" s="9"/>
      <c r="B299" s="9"/>
      <c r="C299" s="9"/>
      <c r="D299" s="9"/>
      <c r="E299" s="9"/>
    </row>
    <row r="300" spans="1:5" ht="13" x14ac:dyDescent="0.3">
      <c r="A300" s="10" t="s">
        <v>70</v>
      </c>
      <c r="B300" s="7">
        <f>SUM(B298:B299)</f>
        <v>0</v>
      </c>
      <c r="C300" s="7"/>
      <c r="D300" s="7"/>
      <c r="E300" s="7"/>
    </row>
    <row r="301" spans="1:5" ht="13" x14ac:dyDescent="0.3">
      <c r="A301" s="11"/>
      <c r="B301" s="7"/>
      <c r="C301" s="7"/>
      <c r="D301" s="7"/>
      <c r="E301" s="7"/>
    </row>
    <row r="302" spans="1:5" ht="13" x14ac:dyDescent="0.3">
      <c r="A302" s="8" t="s">
        <v>76</v>
      </c>
      <c r="B302" s="8" t="s">
        <v>66</v>
      </c>
      <c r="C302" s="8" t="s">
        <v>67</v>
      </c>
      <c r="D302" s="7"/>
      <c r="E302" s="7"/>
    </row>
    <row r="303" spans="1:5" x14ac:dyDescent="0.25">
      <c r="A303" s="9" t="s">
        <v>242</v>
      </c>
      <c r="B303" s="9">
        <v>600</v>
      </c>
      <c r="C303" s="9"/>
      <c r="D303" s="9"/>
      <c r="E303" s="9"/>
    </row>
    <row r="304" spans="1:5" x14ac:dyDescent="0.25">
      <c r="A304" s="9"/>
      <c r="B304" s="9"/>
      <c r="C304" s="9"/>
      <c r="D304" s="9"/>
      <c r="E304" s="9"/>
    </row>
    <row r="305" spans="1:5" ht="13" x14ac:dyDescent="0.3">
      <c r="A305" s="10" t="s">
        <v>70</v>
      </c>
      <c r="B305" s="7">
        <f>SUM(B303:B304)</f>
        <v>600</v>
      </c>
      <c r="C305" s="7"/>
      <c r="D305" s="7"/>
      <c r="E305" s="7"/>
    </row>
    <row r="306" spans="1:5" x14ac:dyDescent="0.25">
      <c r="A306" s="7"/>
      <c r="B306" s="7"/>
      <c r="C306" s="7"/>
      <c r="D306" s="7"/>
      <c r="E306" s="7"/>
    </row>
    <row r="307" spans="1:5" ht="13" x14ac:dyDescent="0.3">
      <c r="A307" s="8" t="s">
        <v>86</v>
      </c>
      <c r="B307" s="8" t="s">
        <v>66</v>
      </c>
      <c r="C307" s="8" t="s">
        <v>67</v>
      </c>
      <c r="D307" s="7"/>
      <c r="E307" s="7"/>
    </row>
    <row r="308" spans="1:5" ht="100" x14ac:dyDescent="0.25">
      <c r="A308" s="9" t="s">
        <v>209</v>
      </c>
      <c r="B308" s="9">
        <v>0</v>
      </c>
      <c r="C308" s="23" t="s">
        <v>246</v>
      </c>
      <c r="D308" s="9"/>
      <c r="E308" s="9"/>
    </row>
    <row r="309" spans="1:5" x14ac:dyDescent="0.25">
      <c r="A309" s="9" t="s">
        <v>282</v>
      </c>
      <c r="B309" s="9">
        <v>200</v>
      </c>
      <c r="C309" s="23"/>
      <c r="D309" s="9"/>
      <c r="E309" s="9"/>
    </row>
    <row r="310" spans="1:5" x14ac:dyDescent="0.25">
      <c r="A310" s="9" t="s">
        <v>248</v>
      </c>
      <c r="B310" s="9">
        <v>25123</v>
      </c>
      <c r="C310" s="23"/>
      <c r="D310" s="9"/>
      <c r="E310" s="9"/>
    </row>
    <row r="311" spans="1:5" x14ac:dyDescent="0.25">
      <c r="A311" s="9" t="s">
        <v>157</v>
      </c>
      <c r="B311" s="15">
        <v>0</v>
      </c>
      <c r="C311" s="9"/>
      <c r="D311" s="9"/>
      <c r="E311" s="9"/>
    </row>
    <row r="312" spans="1:5" x14ac:dyDescent="0.25">
      <c r="A312" s="9"/>
      <c r="B312" s="9"/>
      <c r="C312" s="9"/>
      <c r="D312" s="9"/>
      <c r="E312" s="9"/>
    </row>
    <row r="313" spans="1:5" ht="13" x14ac:dyDescent="0.3">
      <c r="A313" s="10" t="s">
        <v>70</v>
      </c>
      <c r="B313" s="7">
        <f>SUM(B308:B312)</f>
        <v>25323</v>
      </c>
      <c r="C313" s="7"/>
      <c r="D313" s="7"/>
      <c r="E313" s="7"/>
    </row>
    <row r="314" spans="1:5" x14ac:dyDescent="0.25">
      <c r="A314" s="7"/>
      <c r="B314" s="7"/>
      <c r="C314" s="7"/>
      <c r="D314" s="7"/>
      <c r="E314" s="7"/>
    </row>
    <row r="315" spans="1:5" ht="13" x14ac:dyDescent="0.3">
      <c r="A315" s="10" t="s">
        <v>88</v>
      </c>
      <c r="B315" s="7">
        <f>SUM(B300,B305) - B313</f>
        <v>-24723</v>
      </c>
      <c r="C315" s="7"/>
      <c r="D315" s="7"/>
      <c r="E315" s="7"/>
    </row>
    <row r="316" spans="1:5" ht="13" x14ac:dyDescent="0.3">
      <c r="A316" s="10"/>
      <c r="B316" s="7"/>
      <c r="C316" s="7"/>
      <c r="D316" s="7"/>
      <c r="E316" s="7"/>
    </row>
    <row r="317" spans="1:5" ht="13" x14ac:dyDescent="0.3">
      <c r="A317" s="8" t="s">
        <v>251</v>
      </c>
      <c r="B317" s="8" t="s">
        <v>66</v>
      </c>
      <c r="C317" s="8" t="s">
        <v>67</v>
      </c>
      <c r="D317" s="7"/>
      <c r="E317" s="7"/>
    </row>
    <row r="318" spans="1:5" x14ac:dyDescent="0.25">
      <c r="A318" s="19" t="s">
        <v>243</v>
      </c>
      <c r="B318" s="9">
        <v>4502.6499999999996</v>
      </c>
      <c r="C318" s="23"/>
      <c r="D318" s="9"/>
      <c r="E318" s="9"/>
    </row>
    <row r="319" spans="1:5" x14ac:dyDescent="0.25">
      <c r="A319" s="9" t="s">
        <v>244</v>
      </c>
      <c r="B319" s="9">
        <v>848.16</v>
      </c>
      <c r="C319" s="9"/>
      <c r="D319" s="9"/>
      <c r="E319" s="9"/>
    </row>
    <row r="320" spans="1:5" x14ac:dyDescent="0.25">
      <c r="A320" s="9" t="s">
        <v>253</v>
      </c>
      <c r="B320" s="15">
        <v>6047.79</v>
      </c>
      <c r="C320" s="9"/>
      <c r="D320" s="9"/>
      <c r="E320" s="9"/>
    </row>
    <row r="321" spans="1:5" x14ac:dyDescent="0.25">
      <c r="A321" s="9"/>
      <c r="B321" s="9"/>
      <c r="C321" s="9"/>
      <c r="D321" s="9"/>
      <c r="E321" s="9"/>
    </row>
    <row r="322" spans="1:5" ht="13" x14ac:dyDescent="0.3">
      <c r="A322" s="10" t="s">
        <v>256</v>
      </c>
      <c r="B322" s="7">
        <f>SUM(B318:B321)</f>
        <v>11398.599999999999</v>
      </c>
      <c r="C322" s="7"/>
      <c r="D322" s="7"/>
      <c r="E322" s="7"/>
    </row>
    <row r="323" spans="1:5" ht="13" x14ac:dyDescent="0.3">
      <c r="A323" s="31" t="s">
        <v>257</v>
      </c>
      <c r="B323" s="30">
        <v>10000</v>
      </c>
      <c r="C323" s="30"/>
      <c r="D323" s="30"/>
      <c r="E323" s="30"/>
    </row>
    <row r="324" spans="1:5" ht="13" x14ac:dyDescent="0.3">
      <c r="A324" s="31" t="s">
        <v>258</v>
      </c>
      <c r="B324" s="30">
        <f>B318+B323</f>
        <v>14502.65</v>
      </c>
      <c r="C324" s="30"/>
      <c r="D324" s="30"/>
      <c r="E324" s="30"/>
    </row>
    <row r="325" spans="1:5" x14ac:dyDescent="0.25">
      <c r="A325" s="7"/>
      <c r="B325" s="7"/>
      <c r="C325" s="7"/>
      <c r="D325" s="7"/>
      <c r="E325" s="7"/>
    </row>
    <row r="326" spans="1:5" ht="13" x14ac:dyDescent="0.3">
      <c r="A326" s="5" t="s">
        <v>255</v>
      </c>
      <c r="B326" s="7"/>
      <c r="C326" s="7"/>
      <c r="D326" s="7"/>
      <c r="E326" s="7"/>
    </row>
    <row r="327" spans="1:5" ht="13" x14ac:dyDescent="0.3">
      <c r="A327" s="8" t="s">
        <v>94</v>
      </c>
      <c r="B327" s="8" t="s">
        <v>66</v>
      </c>
      <c r="C327" s="8" t="s">
        <v>67</v>
      </c>
      <c r="D327" s="7"/>
      <c r="E327" s="7"/>
    </row>
    <row r="328" spans="1:5" x14ac:dyDescent="0.25">
      <c r="A328" s="9" t="s">
        <v>90</v>
      </c>
      <c r="B328" s="15">
        <v>39780.6</v>
      </c>
      <c r="C328" s="9"/>
      <c r="D328" s="9"/>
      <c r="E328" s="9"/>
    </row>
    <row r="329" spans="1:5" x14ac:dyDescent="0.25">
      <c r="A329" s="9" t="s">
        <v>91</v>
      </c>
      <c r="B329" s="9">
        <v>11485.12</v>
      </c>
      <c r="C329" s="9"/>
      <c r="D329" s="9"/>
      <c r="E329" s="9"/>
    </row>
    <row r="330" spans="1:5" x14ac:dyDescent="0.25">
      <c r="A330" s="9" t="s">
        <v>92</v>
      </c>
      <c r="B330" s="9">
        <v>0</v>
      </c>
      <c r="C330" s="28">
        <v>0</v>
      </c>
      <c r="D330" s="9"/>
      <c r="E330" s="9"/>
    </row>
    <row r="331" spans="1:5" x14ac:dyDescent="0.25">
      <c r="A331" s="9" t="s">
        <v>93</v>
      </c>
      <c r="B331" s="9">
        <v>31625.74</v>
      </c>
      <c r="C331" s="28" t="s">
        <v>247</v>
      </c>
      <c r="D331" s="9"/>
      <c r="E331" s="9"/>
    </row>
    <row r="332" spans="1:5" x14ac:dyDescent="0.25">
      <c r="A332" s="9" t="s">
        <v>250</v>
      </c>
      <c r="B332" s="9">
        <v>40000</v>
      </c>
      <c r="C332" s="28"/>
      <c r="D332" s="9"/>
      <c r="E332" s="9"/>
    </row>
    <row r="333" spans="1:5" x14ac:dyDescent="0.25">
      <c r="A333" s="9" t="s">
        <v>122</v>
      </c>
      <c r="B333" s="28">
        <v>58</v>
      </c>
      <c r="C333" s="25"/>
      <c r="D333" s="9"/>
      <c r="E333" s="9"/>
    </row>
    <row r="334" spans="1:5" x14ac:dyDescent="0.25">
      <c r="A334" s="9" t="s">
        <v>228</v>
      </c>
      <c r="B334" s="28">
        <v>0</v>
      </c>
      <c r="C334" s="28"/>
      <c r="D334" s="9"/>
      <c r="E334" s="9"/>
    </row>
    <row r="335" spans="1:5" ht="13" x14ac:dyDescent="0.3">
      <c r="A335" s="10" t="s">
        <v>254</v>
      </c>
      <c r="B335" s="35">
        <f>SUM(B328:B334)</f>
        <v>122949.46</v>
      </c>
      <c r="C335" s="7"/>
      <c r="D335" s="7"/>
      <c r="E335" s="7"/>
    </row>
    <row r="336" spans="1:5" x14ac:dyDescent="0.25">
      <c r="A336" s="7"/>
      <c r="B336" s="7"/>
      <c r="C336" s="7"/>
      <c r="D336" s="7"/>
      <c r="E336" s="7"/>
    </row>
    <row r="337" spans="1:5" ht="13" x14ac:dyDescent="0.3">
      <c r="A337" s="5" t="s">
        <v>99</v>
      </c>
      <c r="B337" s="7">
        <f xml:space="preserve"> B322+B315-B294</f>
        <v>-8408.1000000000022</v>
      </c>
      <c r="C337" s="7"/>
      <c r="D337" s="7"/>
      <c r="E337" s="7"/>
    </row>
    <row r="338" spans="1:5" ht="13" x14ac:dyDescent="0.3">
      <c r="A338" s="32" t="s">
        <v>260</v>
      </c>
      <c r="B338" s="30">
        <f xml:space="preserve"> B324+B315-B294</f>
        <v>-5304.0500000000011</v>
      </c>
      <c r="C338" s="30"/>
      <c r="D338" s="30"/>
      <c r="E338" s="30"/>
    </row>
    <row r="339" spans="1:5" ht="13" x14ac:dyDescent="0.3">
      <c r="A339" s="5" t="s">
        <v>100</v>
      </c>
      <c r="B339" s="7">
        <f>SUM(B335,B337)</f>
        <v>114541.36</v>
      </c>
      <c r="C339" s="21"/>
      <c r="D339" s="7"/>
      <c r="E339" s="7"/>
    </row>
    <row r="340" spans="1:5" ht="13" x14ac:dyDescent="0.3">
      <c r="A340" s="32" t="s">
        <v>259</v>
      </c>
      <c r="B340" s="30">
        <f>SUM(B335,B338)</f>
        <v>117645.41</v>
      </c>
      <c r="C340" s="33"/>
      <c r="D340" s="30"/>
      <c r="E340" s="30"/>
    </row>
    <row r="341" spans="1:5" ht="13" x14ac:dyDescent="0.3">
      <c r="A341" s="32" t="s">
        <v>261</v>
      </c>
      <c r="B341" s="30">
        <v>17000</v>
      </c>
      <c r="C341" s="33"/>
      <c r="D341" s="30"/>
      <c r="E341" s="30"/>
    </row>
    <row r="342" spans="1:5" ht="13" x14ac:dyDescent="0.3">
      <c r="A342" s="32" t="s">
        <v>262</v>
      </c>
      <c r="B342" s="30">
        <v>2000</v>
      </c>
      <c r="C342" s="33"/>
      <c r="D342" s="30"/>
      <c r="E342" s="30"/>
    </row>
    <row r="343" spans="1:5" ht="13" x14ac:dyDescent="0.3">
      <c r="A343" s="32" t="s">
        <v>263</v>
      </c>
      <c r="B343" s="30">
        <v>0</v>
      </c>
      <c r="C343" s="33" t="s">
        <v>264</v>
      </c>
      <c r="D343" s="30"/>
      <c r="E343" s="30"/>
    </row>
    <row r="344" spans="1:5" ht="13" x14ac:dyDescent="0.3">
      <c r="A344" s="32" t="s">
        <v>265</v>
      </c>
      <c r="B344" s="30">
        <f>SUM(B339,B341:B343)</f>
        <v>133541.35999999999</v>
      </c>
      <c r="C344" s="33"/>
      <c r="D344" s="30"/>
      <c r="E344" s="30"/>
    </row>
    <row r="345" spans="1:5" ht="26" x14ac:dyDescent="0.3">
      <c r="A345" s="34" t="s">
        <v>266</v>
      </c>
      <c r="B345" s="30">
        <f>SUM(B340,B341:B343)</f>
        <v>136645.41</v>
      </c>
      <c r="C345" s="33"/>
      <c r="D345" s="30"/>
      <c r="E345" s="30"/>
    </row>
    <row r="346" spans="1:5" ht="13" x14ac:dyDescent="0.3">
      <c r="A346" s="34" t="s">
        <v>293</v>
      </c>
      <c r="B346" s="30">
        <f>B339-B290-B291-B331-B332</f>
        <v>34675.559999999983</v>
      </c>
      <c r="C346" s="33"/>
      <c r="D346" s="30"/>
      <c r="E346" s="30"/>
    </row>
    <row r="347" spans="1:5" ht="26" x14ac:dyDescent="0.3">
      <c r="A347" s="34" t="s">
        <v>294</v>
      </c>
      <c r="B347" s="30">
        <f>B340-B290-B291-B331-B332</f>
        <v>37779.609999999986</v>
      </c>
      <c r="C347" s="33"/>
      <c r="D347" s="30"/>
      <c r="E347" s="30"/>
    </row>
    <row r="348" spans="1:5" ht="26" x14ac:dyDescent="0.3">
      <c r="A348" s="34" t="s">
        <v>291</v>
      </c>
      <c r="B348" s="30">
        <f>B344-B290-B291-B331-B332</f>
        <v>53675.559999999969</v>
      </c>
      <c r="C348" s="33"/>
      <c r="D348" s="30"/>
      <c r="E348" s="30"/>
    </row>
    <row r="349" spans="1:5" ht="39" x14ac:dyDescent="0.3">
      <c r="A349" s="34" t="s">
        <v>292</v>
      </c>
      <c r="B349" s="30">
        <f>B345-B290-B291-B331-B332</f>
        <v>56779.609999999986</v>
      </c>
      <c r="C349" s="33"/>
      <c r="D349" s="30"/>
      <c r="E349" s="30"/>
    </row>
    <row r="350" spans="1:5" ht="13" x14ac:dyDescent="0.3">
      <c r="A350" s="5" t="s">
        <v>108</v>
      </c>
      <c r="B350" s="7">
        <v>98047.56</v>
      </c>
      <c r="C350" s="29" t="s">
        <v>249</v>
      </c>
      <c r="D350" s="7"/>
      <c r="E350" s="7"/>
    </row>
    <row r="351" spans="1:5" ht="100.5" x14ac:dyDescent="0.3">
      <c r="A351" s="5" t="s">
        <v>110</v>
      </c>
      <c r="B351" s="7">
        <f xml:space="preserve"> B339 - B350</f>
        <v>16493.800000000003</v>
      </c>
      <c r="C351" s="22" t="s">
        <v>197</v>
      </c>
      <c r="D351" s="7"/>
      <c r="E351" s="7"/>
    </row>
  </sheetData>
  <mergeCells count="4">
    <mergeCell ref="A127:E129"/>
    <mergeCell ref="B130:D130"/>
    <mergeCell ref="A256:E258"/>
    <mergeCell ref="B259:D259"/>
  </mergeCells>
  <dataValidations count="11">
    <dataValidation type="list" allowBlank="1" showInputMessage="1" showErrorMessage="1" sqref="A328:A334 A232:A238" xr:uid="{00000000-0002-0000-0C00-000000000000}">
      <formula1>$A$114:$A$120</formula1>
    </dataValidation>
    <dataValidation type="list" allowBlank="1" showInputMessage="1" showErrorMessage="1" sqref="A298:A299 A203:A204" xr:uid="{00000000-0002-0000-0C00-000001000000}">
      <formula1>$A$103:$A$104</formula1>
    </dataValidation>
    <dataValidation type="list" allowBlank="1" showInputMessage="1" showErrorMessage="1" sqref="A283:A285 A180:A188" xr:uid="{00000000-0002-0000-0C00-000002000000}">
      <formula1>$A$51:$A$82</formula1>
    </dataValidation>
    <dataValidation type="list" allowBlank="1" showInputMessage="1" showErrorMessage="1" sqref="A278:A279 A173:A176" xr:uid="{00000000-0002-0000-0C00-000003000000}">
      <formula1>$A$39:$A$48</formula1>
    </dataValidation>
    <dataValidation type="list" allowBlank="1" showInputMessage="1" showErrorMessage="1" sqref="A308:A312 A213:A216" xr:uid="{00000000-0002-0000-0C00-000004000000}">
      <formula1>$A$96:$A$100</formula1>
    </dataValidation>
    <dataValidation type="time" operator="greaterThan" allowBlank="1" showInputMessage="1" showErrorMessage="1" sqref="B261 B132" xr:uid="{00000000-0002-0000-0C00-000005000000}">
      <formula1>0</formula1>
    </dataValidation>
    <dataValidation type="date" operator="greaterThan" allowBlank="1" showInputMessage="1" showErrorMessage="1" sqref="B260 B131" xr:uid="{00000000-0002-0000-0C00-000006000000}">
      <formula1>41275</formula1>
    </dataValidation>
    <dataValidation type="list" allowBlank="1" showInputMessage="1" showErrorMessage="1" sqref="A136:A168 A265:A274" xr:uid="{00000000-0002-0000-0C00-000007000000}">
      <formula1>$A$3:$A$36</formula1>
    </dataValidation>
    <dataValidation type="list" allowBlank="1" showInputMessage="1" showErrorMessage="1" sqref="A318:A321 A222:A225" xr:uid="{00000000-0002-0000-0C00-000008000000}">
      <formula1>$A$123:$A$125</formula1>
    </dataValidation>
    <dataValidation type="list" allowBlank="1" showInputMessage="1" showErrorMessage="1" sqref="A303:A304 A208:A209" xr:uid="{00000000-0002-0000-0C00-000009000000}">
      <formula1>$A$107:$A$111</formula1>
    </dataValidation>
    <dataValidation type="list" allowBlank="1" showInputMessage="1" showErrorMessage="1" sqref="A192:A196 A289:A291" xr:uid="{00000000-0002-0000-0C00-00000A000000}">
      <formula1>$A$85:$A$93</formula1>
    </dataValidation>
  </dataValidations>
  <pageMargins left="0.75" right="0.75" top="1" bottom="1"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76"/>
  <sheetViews>
    <sheetView topLeftCell="A334" workbookViewId="0">
      <selection activeCell="A46" sqref="A46"/>
    </sheetView>
  </sheetViews>
  <sheetFormatPr defaultColWidth="8.81640625" defaultRowHeight="12.5" x14ac:dyDescent="0.25"/>
  <cols>
    <col min="1" max="1" width="67.08984375" bestFit="1" customWidth="1"/>
    <col min="2" max="2" width="17.453125" customWidth="1"/>
    <col min="3" max="3" width="72"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4</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15</v>
      </c>
      <c r="C20">
        <v>150</v>
      </c>
    </row>
    <row r="21" spans="1:3" x14ac:dyDescent="0.25">
      <c r="A21" t="s">
        <v>9</v>
      </c>
      <c r="B21">
        <v>600</v>
      </c>
    </row>
    <row r="22" spans="1:3" x14ac:dyDescent="0.25">
      <c r="A22" t="s">
        <v>28</v>
      </c>
      <c r="C22">
        <v>50</v>
      </c>
    </row>
    <row r="23" spans="1:3" x14ac:dyDescent="0.25">
      <c r="A23" t="s">
        <v>153</v>
      </c>
      <c r="C23">
        <v>60</v>
      </c>
    </row>
    <row r="24" spans="1:3" x14ac:dyDescent="0.25">
      <c r="A24" t="s">
        <v>32</v>
      </c>
      <c r="C24">
        <v>100</v>
      </c>
    </row>
    <row r="25" spans="1:3" x14ac:dyDescent="0.25">
      <c r="A25" t="s">
        <v>33</v>
      </c>
      <c r="C25">
        <v>100</v>
      </c>
    </row>
    <row r="26" spans="1:3" x14ac:dyDescent="0.25">
      <c r="A26" t="s">
        <v>34</v>
      </c>
      <c r="C26">
        <v>80</v>
      </c>
    </row>
    <row r="27" spans="1:3" x14ac:dyDescent="0.25">
      <c r="A27" t="s">
        <v>35</v>
      </c>
      <c r="C27">
        <v>50</v>
      </c>
    </row>
    <row r="28" spans="1:3" x14ac:dyDescent="0.25">
      <c r="A28" t="s">
        <v>39</v>
      </c>
      <c r="C28">
        <v>80</v>
      </c>
    </row>
    <row r="29" spans="1:3" x14ac:dyDescent="0.25">
      <c r="A29" t="s">
        <v>42</v>
      </c>
      <c r="C29">
        <v>150</v>
      </c>
    </row>
    <row r="30" spans="1:3" x14ac:dyDescent="0.25">
      <c r="A30" t="s">
        <v>272</v>
      </c>
      <c r="C30">
        <v>2481.16</v>
      </c>
    </row>
    <row r="31" spans="1:3" x14ac:dyDescent="0.25">
      <c r="A31" t="s">
        <v>273</v>
      </c>
      <c r="C31">
        <v>262</v>
      </c>
    </row>
    <row r="32" spans="1:3" x14ac:dyDescent="0.25">
      <c r="A32" t="s">
        <v>49</v>
      </c>
      <c r="C32">
        <v>80</v>
      </c>
    </row>
    <row r="33" spans="1:3" x14ac:dyDescent="0.25">
      <c r="A33" t="s">
        <v>281</v>
      </c>
      <c r="C33">
        <v>150</v>
      </c>
    </row>
    <row r="34" spans="1:3" x14ac:dyDescent="0.25">
      <c r="A34" t="s">
        <v>280</v>
      </c>
      <c r="C34">
        <v>100</v>
      </c>
    </row>
    <row r="35" spans="1:3" x14ac:dyDescent="0.25">
      <c r="A35" t="s">
        <v>151</v>
      </c>
    </row>
    <row r="36" spans="1:3" x14ac:dyDescent="0.25">
      <c r="A36" t="s">
        <v>149</v>
      </c>
    </row>
    <row r="38" spans="1:3" ht="13" x14ac:dyDescent="0.3">
      <c r="A38" s="1" t="s">
        <v>31</v>
      </c>
    </row>
    <row r="39" spans="1:3" x14ac:dyDescent="0.25">
      <c r="A39" t="s">
        <v>25</v>
      </c>
    </row>
    <row r="40" spans="1:3" x14ac:dyDescent="0.25">
      <c r="A40" t="s">
        <v>19</v>
      </c>
    </row>
    <row r="41" spans="1:3" x14ac:dyDescent="0.25">
      <c r="A41" t="s">
        <v>18</v>
      </c>
    </row>
    <row r="42" spans="1:3" x14ac:dyDescent="0.25">
      <c r="A42" t="s">
        <v>20</v>
      </c>
    </row>
    <row r="43" spans="1:3" x14ac:dyDescent="0.25">
      <c r="A43" t="s">
        <v>189</v>
      </c>
    </row>
    <row r="44" spans="1:3" x14ac:dyDescent="0.25">
      <c r="A44" t="s">
        <v>21</v>
      </c>
    </row>
    <row r="45" spans="1:3" x14ac:dyDescent="0.25">
      <c r="A45" t="s">
        <v>175</v>
      </c>
    </row>
    <row r="46" spans="1:3" x14ac:dyDescent="0.25">
      <c r="A46" t="s">
        <v>173</v>
      </c>
    </row>
    <row r="47" spans="1:3" x14ac:dyDescent="0.25">
      <c r="A47" t="s">
        <v>27</v>
      </c>
    </row>
    <row r="48" spans="1:3" x14ac:dyDescent="0.25">
      <c r="A48" t="s">
        <v>36</v>
      </c>
    </row>
    <row r="50" spans="1:1" ht="13" x14ac:dyDescent="0.3">
      <c r="A50" s="1" t="s">
        <v>82</v>
      </c>
    </row>
    <row r="51" spans="1:1" x14ac:dyDescent="0.25">
      <c r="A51" t="s">
        <v>40</v>
      </c>
    </row>
    <row r="52" spans="1:1" x14ac:dyDescent="0.25">
      <c r="A52" t="s">
        <v>160</v>
      </c>
    </row>
    <row r="53" spans="1:1" x14ac:dyDescent="0.25">
      <c r="A53" t="s">
        <v>41</v>
      </c>
    </row>
    <row r="54" spans="1:1" x14ac:dyDescent="0.25">
      <c r="A54" t="s">
        <v>43</v>
      </c>
    </row>
    <row r="55" spans="1:1" x14ac:dyDescent="0.25">
      <c r="A55" t="s">
        <v>44</v>
      </c>
    </row>
    <row r="56" spans="1:1" x14ac:dyDescent="0.25">
      <c r="A56" t="s">
        <v>45</v>
      </c>
    </row>
    <row r="57" spans="1:1" x14ac:dyDescent="0.25">
      <c r="A57" t="s">
        <v>46</v>
      </c>
    </row>
    <row r="58" spans="1:1" x14ac:dyDescent="0.25">
      <c r="A58" t="s">
        <v>47</v>
      </c>
    </row>
    <row r="59" spans="1:1" x14ac:dyDescent="0.25">
      <c r="A59" t="s">
        <v>48</v>
      </c>
    </row>
    <row r="60" spans="1:1" x14ac:dyDescent="0.25">
      <c r="A60" t="s">
        <v>50</v>
      </c>
    </row>
    <row r="61" spans="1:1" x14ac:dyDescent="0.25">
      <c r="A61" t="s">
        <v>51</v>
      </c>
    </row>
    <row r="62" spans="1:1" x14ac:dyDescent="0.25">
      <c r="A62" t="s">
        <v>52</v>
      </c>
    </row>
    <row r="63" spans="1:1" x14ac:dyDescent="0.25">
      <c r="A63" s="27" t="s">
        <v>231</v>
      </c>
    </row>
    <row r="64" spans="1:1" x14ac:dyDescent="0.25">
      <c r="A64" s="27" t="s">
        <v>230</v>
      </c>
    </row>
    <row r="65" spans="1:1" x14ac:dyDescent="0.25">
      <c r="A65" t="s">
        <v>53</v>
      </c>
    </row>
    <row r="66" spans="1:1" x14ac:dyDescent="0.25">
      <c r="A66" t="s">
        <v>54</v>
      </c>
    </row>
    <row r="67" spans="1:1" x14ac:dyDescent="0.25">
      <c r="A67" t="s">
        <v>55</v>
      </c>
    </row>
    <row r="68" spans="1:1" x14ac:dyDescent="0.25">
      <c r="A68" t="s">
        <v>56</v>
      </c>
    </row>
    <row r="69" spans="1:1" x14ac:dyDescent="0.25">
      <c r="A69" t="s">
        <v>57</v>
      </c>
    </row>
    <row r="70" spans="1:1" x14ac:dyDescent="0.25">
      <c r="A70" t="s">
        <v>58</v>
      </c>
    </row>
    <row r="71" spans="1:1" x14ac:dyDescent="0.25">
      <c r="A71" t="s">
        <v>59</v>
      </c>
    </row>
    <row r="72" spans="1:1" x14ac:dyDescent="0.25">
      <c r="A72" t="s">
        <v>60</v>
      </c>
    </row>
    <row r="73" spans="1:1" x14ac:dyDescent="0.25">
      <c r="A73" t="s">
        <v>61</v>
      </c>
    </row>
    <row r="74" spans="1:1" x14ac:dyDescent="0.25">
      <c r="A74" t="s">
        <v>62</v>
      </c>
    </row>
    <row r="75" spans="1:1" x14ac:dyDescent="0.25">
      <c r="A75" t="s">
        <v>81</v>
      </c>
    </row>
    <row r="76" spans="1:1" x14ac:dyDescent="0.25">
      <c r="A76" t="s">
        <v>63</v>
      </c>
    </row>
    <row r="77" spans="1:1" x14ac:dyDescent="0.25">
      <c r="A77" t="s">
        <v>64</v>
      </c>
    </row>
    <row r="78" spans="1:1" x14ac:dyDescent="0.25">
      <c r="A78" s="27" t="s">
        <v>240</v>
      </c>
    </row>
    <row r="79" spans="1:1" x14ac:dyDescent="0.25">
      <c r="A79" t="s">
        <v>161</v>
      </c>
    </row>
    <row r="80" spans="1:1" x14ac:dyDescent="0.25">
      <c r="A80" t="s">
        <v>177</v>
      </c>
    </row>
    <row r="81" spans="1:1" x14ac:dyDescent="0.25">
      <c r="A81" s="27" t="s">
        <v>202</v>
      </c>
    </row>
    <row r="82" spans="1:1" x14ac:dyDescent="0.25">
      <c r="A82" t="s">
        <v>150</v>
      </c>
    </row>
    <row r="84" spans="1:1" ht="13" x14ac:dyDescent="0.3">
      <c r="A84" s="1" t="s">
        <v>85</v>
      </c>
    </row>
    <row r="85" spans="1:1" x14ac:dyDescent="0.25">
      <c r="A85" t="s">
        <v>23</v>
      </c>
    </row>
    <row r="86" spans="1:1" x14ac:dyDescent="0.25">
      <c r="A86" t="s">
        <v>24</v>
      </c>
    </row>
    <row r="87" spans="1:1" x14ac:dyDescent="0.25">
      <c r="A87" t="s">
        <v>29</v>
      </c>
    </row>
    <row r="88" spans="1:1" x14ac:dyDescent="0.25">
      <c r="A88" t="s">
        <v>296</v>
      </c>
    </row>
    <row r="89" spans="1:1" x14ac:dyDescent="0.25">
      <c r="A89" t="s">
        <v>137</v>
      </c>
    </row>
    <row r="90" spans="1:1" x14ac:dyDescent="0.25">
      <c r="A90" t="s">
        <v>104</v>
      </c>
    </row>
    <row r="91" spans="1:1" x14ac:dyDescent="0.25">
      <c r="A91" t="s">
        <v>155</v>
      </c>
    </row>
    <row r="92" spans="1:1" x14ac:dyDescent="0.25">
      <c r="A92" t="s">
        <v>162</v>
      </c>
    </row>
    <row r="93" spans="1:1" x14ac:dyDescent="0.25">
      <c r="A93" t="s">
        <v>245</v>
      </c>
    </row>
    <row r="94" spans="1:1" x14ac:dyDescent="0.25">
      <c r="A94" t="s">
        <v>30</v>
      </c>
    </row>
    <row r="96" spans="1:1" ht="13" x14ac:dyDescent="0.3">
      <c r="A96" s="1" t="s">
        <v>86</v>
      </c>
    </row>
    <row r="97" spans="1:1" x14ac:dyDescent="0.25">
      <c r="A97" s="27" t="s">
        <v>209</v>
      </c>
    </row>
    <row r="98" spans="1:1" x14ac:dyDescent="0.25">
      <c r="A98" s="27" t="s">
        <v>248</v>
      </c>
    </row>
    <row r="99" spans="1:1" x14ac:dyDescent="0.25">
      <c r="A99" s="27" t="s">
        <v>282</v>
      </c>
    </row>
    <row r="100" spans="1:1" x14ac:dyDescent="0.25">
      <c r="A100" t="s">
        <v>157</v>
      </c>
    </row>
    <row r="101" spans="1:1" x14ac:dyDescent="0.25">
      <c r="A101" t="s">
        <v>72</v>
      </c>
    </row>
    <row r="103" spans="1:1" ht="13" x14ac:dyDescent="0.3">
      <c r="A103" s="1" t="s">
        <v>75</v>
      </c>
    </row>
    <row r="104" spans="1:1" x14ac:dyDescent="0.25">
      <c r="A104" t="s">
        <v>74</v>
      </c>
    </row>
    <row r="105" spans="1:1" x14ac:dyDescent="0.25">
      <c r="A105" t="s">
        <v>83</v>
      </c>
    </row>
    <row r="107" spans="1:1" ht="13" x14ac:dyDescent="0.3">
      <c r="A107" s="1" t="s">
        <v>76</v>
      </c>
    </row>
    <row r="108" spans="1:1" x14ac:dyDescent="0.25">
      <c r="A108" t="s">
        <v>77</v>
      </c>
    </row>
    <row r="109" spans="1:1" x14ac:dyDescent="0.25">
      <c r="A109" t="s">
        <v>78</v>
      </c>
    </row>
    <row r="110" spans="1:1" x14ac:dyDescent="0.25">
      <c r="A110" t="s">
        <v>242</v>
      </c>
    </row>
    <row r="111" spans="1:1" x14ac:dyDescent="0.25">
      <c r="A111" t="s">
        <v>79</v>
      </c>
    </row>
    <row r="112" spans="1:1" x14ac:dyDescent="0.25">
      <c r="A112" t="s">
        <v>80</v>
      </c>
    </row>
    <row r="114" spans="1:1" ht="13" x14ac:dyDescent="0.3">
      <c r="A114" s="1" t="s">
        <v>89</v>
      </c>
    </row>
    <row r="115" spans="1:1" x14ac:dyDescent="0.25">
      <c r="A115" t="s">
        <v>90</v>
      </c>
    </row>
    <row r="116" spans="1:1" x14ac:dyDescent="0.25">
      <c r="A116" t="s">
        <v>91</v>
      </c>
    </row>
    <row r="117" spans="1:1" x14ac:dyDescent="0.25">
      <c r="A117" t="s">
        <v>92</v>
      </c>
    </row>
    <row r="118" spans="1:1" x14ac:dyDescent="0.25">
      <c r="A118" t="s">
        <v>122</v>
      </c>
    </row>
    <row r="119" spans="1:1" x14ac:dyDescent="0.25">
      <c r="A119" s="27" t="s">
        <v>228</v>
      </c>
    </row>
    <row r="120" spans="1:1" x14ac:dyDescent="0.25">
      <c r="A120" s="27" t="s">
        <v>250</v>
      </c>
    </row>
    <row r="121" spans="1:1" x14ac:dyDescent="0.25">
      <c r="A121" t="s">
        <v>93</v>
      </c>
    </row>
    <row r="123" spans="1:1" ht="13" x14ac:dyDescent="0.3">
      <c r="A123" s="1" t="s">
        <v>252</v>
      </c>
    </row>
    <row r="124" spans="1:1" x14ac:dyDescent="0.25">
      <c r="A124" t="s">
        <v>244</v>
      </c>
    </row>
    <row r="125" spans="1:1" x14ac:dyDescent="0.25">
      <c r="A125" t="s">
        <v>243</v>
      </c>
    </row>
    <row r="126" spans="1:1" x14ac:dyDescent="0.25">
      <c r="A126" t="s">
        <v>316</v>
      </c>
    </row>
    <row r="127" spans="1:1" x14ac:dyDescent="0.25">
      <c r="A127" s="27" t="s">
        <v>253</v>
      </c>
    </row>
    <row r="128" spans="1:1" x14ac:dyDescent="0.25">
      <c r="A128" s="27"/>
    </row>
    <row r="129" spans="1:5" ht="13" x14ac:dyDescent="0.3">
      <c r="A129" s="1" t="s">
        <v>298</v>
      </c>
    </row>
    <row r="130" spans="1:5" x14ac:dyDescent="0.25">
      <c r="A130" t="s">
        <v>303</v>
      </c>
    </row>
    <row r="131" spans="1:5" x14ac:dyDescent="0.25">
      <c r="A131" t="s">
        <v>304</v>
      </c>
    </row>
    <row r="132" spans="1:5" x14ac:dyDescent="0.25">
      <c r="A132" t="s">
        <v>305</v>
      </c>
    </row>
    <row r="133" spans="1:5" x14ac:dyDescent="0.25">
      <c r="A133" t="s">
        <v>306</v>
      </c>
    </row>
    <row r="134" spans="1:5" x14ac:dyDescent="0.25">
      <c r="A134" s="36" t="s">
        <v>307</v>
      </c>
    </row>
    <row r="136" spans="1:5" x14ac:dyDescent="0.25">
      <c r="A136" s="66"/>
      <c r="B136" s="66"/>
      <c r="C136" s="66"/>
      <c r="D136" s="66"/>
      <c r="E136" s="66"/>
    </row>
    <row r="137" spans="1:5" x14ac:dyDescent="0.25">
      <c r="A137" s="66"/>
      <c r="B137" s="66"/>
      <c r="C137" s="66"/>
      <c r="D137" s="66"/>
      <c r="E137" s="66"/>
    </row>
    <row r="138" spans="1:5" x14ac:dyDescent="0.25">
      <c r="A138" s="67"/>
      <c r="B138" s="67"/>
      <c r="C138" s="67"/>
      <c r="D138" s="67"/>
      <c r="E138" s="67"/>
    </row>
    <row r="139" spans="1:5" ht="13" x14ac:dyDescent="0.3">
      <c r="A139" s="3" t="s">
        <v>317</v>
      </c>
      <c r="B139" s="68" t="s">
        <v>286</v>
      </c>
      <c r="C139" s="68"/>
      <c r="D139" s="68"/>
      <c r="E139" s="4"/>
    </row>
    <row r="140" spans="1:5" ht="13" x14ac:dyDescent="0.3">
      <c r="A140" s="5" t="s">
        <v>95</v>
      </c>
      <c r="B140" s="12">
        <v>42963</v>
      </c>
      <c r="C140" s="6"/>
      <c r="D140" s="6"/>
      <c r="E140" s="7"/>
    </row>
    <row r="141" spans="1:5" ht="13" x14ac:dyDescent="0.3">
      <c r="A141" s="5" t="s">
        <v>102</v>
      </c>
      <c r="B141" s="13">
        <v>0.23402777777777781</v>
      </c>
      <c r="C141" s="6"/>
      <c r="D141" s="6"/>
      <c r="E141" s="7"/>
    </row>
    <row r="142" spans="1:5" ht="13" x14ac:dyDescent="0.3">
      <c r="A142" s="5"/>
      <c r="B142" s="6"/>
      <c r="C142" s="6"/>
      <c r="D142" s="6"/>
      <c r="E142" s="7"/>
    </row>
    <row r="143" spans="1:5" ht="13" x14ac:dyDescent="0.3">
      <c r="A143" s="5" t="s">
        <v>84</v>
      </c>
      <c r="B143" s="6"/>
      <c r="C143" s="6"/>
      <c r="D143" s="6"/>
      <c r="E143" s="7"/>
    </row>
    <row r="144" spans="1:5" ht="13" x14ac:dyDescent="0.3">
      <c r="A144" s="8" t="s">
        <v>0</v>
      </c>
      <c r="B144" s="8" t="s">
        <v>66</v>
      </c>
      <c r="C144" s="5" t="s">
        <v>101</v>
      </c>
      <c r="D144" s="8" t="s">
        <v>67</v>
      </c>
      <c r="E144" s="7"/>
    </row>
    <row r="145" spans="1:6" x14ac:dyDescent="0.25">
      <c r="A145" s="9" t="s">
        <v>1</v>
      </c>
      <c r="B145" s="9">
        <v>2750</v>
      </c>
      <c r="C145" s="9"/>
      <c r="D145" s="20" t="s">
        <v>274</v>
      </c>
      <c r="E145" s="9"/>
      <c r="F145" s="2"/>
    </row>
    <row r="146" spans="1:6" x14ac:dyDescent="0.25">
      <c r="A146" s="9" t="s">
        <v>3</v>
      </c>
      <c r="B146" s="9">
        <v>0</v>
      </c>
      <c r="C146" s="23"/>
      <c r="D146" s="17"/>
      <c r="E146" s="9"/>
      <c r="F146" s="2"/>
    </row>
    <row r="147" spans="1:6" x14ac:dyDescent="0.25">
      <c r="A147" s="9" t="s">
        <v>4</v>
      </c>
      <c r="B147" s="9">
        <v>0</v>
      </c>
      <c r="C147" s="9"/>
      <c r="D147" s="17"/>
      <c r="E147" s="9"/>
      <c r="F147" s="2"/>
    </row>
    <row r="148" spans="1:6" x14ac:dyDescent="0.25">
      <c r="A148" s="9" t="s">
        <v>5</v>
      </c>
      <c r="B148" s="9">
        <v>0</v>
      </c>
      <c r="C148" s="9"/>
      <c r="D148" s="17"/>
      <c r="E148" s="9"/>
      <c r="F148" s="2"/>
    </row>
    <row r="149" spans="1:6" x14ac:dyDescent="0.25">
      <c r="A149" s="9" t="s">
        <v>275</v>
      </c>
      <c r="B149" s="9">
        <v>8</v>
      </c>
      <c r="C149" s="9"/>
      <c r="D149" s="9"/>
      <c r="E149" s="9"/>
      <c r="F149" s="2"/>
    </row>
    <row r="150" spans="1:6" x14ac:dyDescent="0.25">
      <c r="A150" s="9" t="s">
        <v>6</v>
      </c>
      <c r="B150" s="9">
        <v>0</v>
      </c>
      <c r="C150" s="9"/>
      <c r="D150" s="9"/>
      <c r="E150" s="9"/>
      <c r="F150" s="2"/>
    </row>
    <row r="151" spans="1:6" x14ac:dyDescent="0.25">
      <c r="A151" s="9" t="s">
        <v>276</v>
      </c>
      <c r="B151" s="9">
        <v>120</v>
      </c>
      <c r="C151" s="9"/>
      <c r="D151" s="9"/>
      <c r="E151" s="9"/>
      <c r="F151" s="2"/>
    </row>
    <row r="152" spans="1:6" x14ac:dyDescent="0.25">
      <c r="A152" s="9" t="s">
        <v>272</v>
      </c>
      <c r="B152" s="9">
        <v>2481.16</v>
      </c>
      <c r="C152" s="9"/>
      <c r="D152" s="9"/>
      <c r="E152" s="9"/>
      <c r="F152" s="2"/>
    </row>
    <row r="153" spans="1:6" x14ac:dyDescent="0.25">
      <c r="A153" s="9" t="s">
        <v>273</v>
      </c>
      <c r="B153" s="9">
        <v>262</v>
      </c>
      <c r="C153" s="9"/>
      <c r="D153" s="9"/>
      <c r="E153" s="9"/>
      <c r="F153" s="2"/>
    </row>
    <row r="154" spans="1:6" x14ac:dyDescent="0.25">
      <c r="A154" s="9" t="s">
        <v>8</v>
      </c>
      <c r="B154" s="9">
        <v>401</v>
      </c>
      <c r="C154" s="9"/>
      <c r="D154" s="9"/>
      <c r="E154" s="9"/>
      <c r="F154" s="2"/>
    </row>
    <row r="155" spans="1:6" x14ac:dyDescent="0.25">
      <c r="A155" s="9" t="s">
        <v>10</v>
      </c>
      <c r="B155" s="9">
        <v>160</v>
      </c>
      <c r="C155" s="9"/>
      <c r="D155" s="9"/>
      <c r="E155" s="9"/>
      <c r="F155" s="2"/>
    </row>
    <row r="156" spans="1:6" x14ac:dyDescent="0.25">
      <c r="A156" s="9" t="s">
        <v>277</v>
      </c>
      <c r="B156" s="9">
        <v>50</v>
      </c>
      <c r="C156" s="9"/>
      <c r="D156" s="9"/>
      <c r="E156" s="9"/>
      <c r="F156" s="2"/>
    </row>
    <row r="157" spans="1:6" x14ac:dyDescent="0.25">
      <c r="A157" s="9" t="s">
        <v>11</v>
      </c>
      <c r="B157" s="9">
        <v>0</v>
      </c>
      <c r="C157" s="9"/>
      <c r="D157" s="9"/>
      <c r="E157" s="9"/>
      <c r="F157" s="2"/>
    </row>
    <row r="158" spans="1:6" x14ac:dyDescent="0.25">
      <c r="A158" s="9" t="s">
        <v>12</v>
      </c>
      <c r="B158" s="9">
        <v>10</v>
      </c>
      <c r="C158" s="9"/>
      <c r="D158" s="9"/>
      <c r="E158" s="9"/>
      <c r="F158" s="2"/>
    </row>
    <row r="159" spans="1:6" x14ac:dyDescent="0.25">
      <c r="A159" s="9" t="s">
        <v>13</v>
      </c>
      <c r="B159" s="9">
        <v>90</v>
      </c>
      <c r="C159" s="9"/>
      <c r="D159" s="19" t="s">
        <v>278</v>
      </c>
      <c r="E159" s="9"/>
      <c r="F159" s="2"/>
    </row>
    <row r="160" spans="1:6" x14ac:dyDescent="0.25">
      <c r="A160" s="9" t="s">
        <v>17</v>
      </c>
      <c r="B160" s="9">
        <v>73</v>
      </c>
      <c r="C160" s="9"/>
      <c r="D160" s="19" t="s">
        <v>279</v>
      </c>
      <c r="E160" s="9"/>
      <c r="F160" s="2"/>
    </row>
    <row r="161" spans="1:6" x14ac:dyDescent="0.25">
      <c r="A161" s="9" t="s">
        <v>22</v>
      </c>
      <c r="B161" s="9">
        <v>0</v>
      </c>
      <c r="C161" s="9"/>
      <c r="D161" s="9"/>
      <c r="E161" s="9"/>
      <c r="F161" s="2"/>
    </row>
    <row r="162" spans="1:6" x14ac:dyDescent="0.25">
      <c r="A162" s="9" t="s">
        <v>14</v>
      </c>
      <c r="B162" s="9"/>
      <c r="C162" s="9"/>
      <c r="D162" s="9"/>
      <c r="E162" s="9"/>
      <c r="F162" s="2"/>
    </row>
    <row r="163" spans="1:6" x14ac:dyDescent="0.25">
      <c r="A163" s="9" t="s">
        <v>15</v>
      </c>
      <c r="B163" s="9">
        <v>150</v>
      </c>
      <c r="C163" s="9"/>
      <c r="D163" s="17"/>
      <c r="E163" s="9"/>
      <c r="F163" s="2"/>
    </row>
    <row r="164" spans="1:6" ht="25" x14ac:dyDescent="0.25">
      <c r="A164" s="9" t="s">
        <v>9</v>
      </c>
      <c r="B164" s="9">
        <v>1835</v>
      </c>
      <c r="C164" s="9"/>
      <c r="D164" s="23" t="s">
        <v>283</v>
      </c>
      <c r="E164" s="9"/>
      <c r="F164" s="2"/>
    </row>
    <row r="165" spans="1:6" x14ac:dyDescent="0.25">
      <c r="A165" s="9" t="s">
        <v>28</v>
      </c>
      <c r="B165" s="9">
        <v>50</v>
      </c>
      <c r="C165" s="9"/>
      <c r="D165" s="17"/>
      <c r="E165" s="9"/>
      <c r="F165" s="2"/>
    </row>
    <row r="166" spans="1:6" x14ac:dyDescent="0.25">
      <c r="A166" s="9" t="s">
        <v>153</v>
      </c>
      <c r="B166" s="9">
        <v>0</v>
      </c>
      <c r="C166" s="9"/>
      <c r="D166" s="17"/>
      <c r="E166" s="9"/>
      <c r="F166" s="2"/>
    </row>
    <row r="167" spans="1:6" x14ac:dyDescent="0.25">
      <c r="A167" s="9" t="s">
        <v>32</v>
      </c>
      <c r="B167" s="9">
        <v>0</v>
      </c>
      <c r="C167" s="9"/>
      <c r="D167" s="9"/>
      <c r="E167" s="9"/>
      <c r="F167" s="2"/>
    </row>
    <row r="168" spans="1:6" x14ac:dyDescent="0.25">
      <c r="A168" s="9" t="s">
        <v>33</v>
      </c>
      <c r="B168" s="9">
        <v>0</v>
      </c>
      <c r="C168" s="9"/>
      <c r="D168" s="9"/>
      <c r="E168" s="9"/>
      <c r="F168" s="2"/>
    </row>
    <row r="169" spans="1:6" x14ac:dyDescent="0.25">
      <c r="A169" s="9" t="s">
        <v>34</v>
      </c>
      <c r="B169" s="9">
        <v>80</v>
      </c>
      <c r="C169" s="9"/>
      <c r="D169" s="9"/>
      <c r="E169" s="9"/>
      <c r="F169" s="2"/>
    </row>
    <row r="170" spans="1:6" x14ac:dyDescent="0.25">
      <c r="A170" s="9" t="s">
        <v>35</v>
      </c>
      <c r="B170" s="9">
        <v>50</v>
      </c>
      <c r="C170" s="9"/>
      <c r="D170" s="9"/>
      <c r="E170" s="9"/>
      <c r="F170" s="2"/>
    </row>
    <row r="171" spans="1:6" x14ac:dyDescent="0.25">
      <c r="A171" s="9" t="s">
        <v>39</v>
      </c>
      <c r="B171" s="9">
        <v>320</v>
      </c>
      <c r="C171" s="9"/>
      <c r="D171" s="19" t="s">
        <v>271</v>
      </c>
      <c r="E171" s="9"/>
      <c r="F171" s="2"/>
    </row>
    <row r="172" spans="1:6" x14ac:dyDescent="0.25">
      <c r="A172" s="9" t="s">
        <v>42</v>
      </c>
      <c r="B172" s="9">
        <v>150</v>
      </c>
      <c r="C172" s="9"/>
      <c r="D172" s="9"/>
      <c r="E172" s="9"/>
      <c r="F172" s="2"/>
    </row>
    <row r="173" spans="1:6" x14ac:dyDescent="0.25">
      <c r="A173" s="9" t="s">
        <v>49</v>
      </c>
      <c r="B173" s="9">
        <v>80</v>
      </c>
      <c r="C173" s="9"/>
      <c r="D173" s="9"/>
      <c r="E173" s="9"/>
      <c r="F173" s="2"/>
    </row>
    <row r="174" spans="1:6" x14ac:dyDescent="0.25">
      <c r="A174" s="9" t="s">
        <v>151</v>
      </c>
      <c r="B174" s="9">
        <v>100</v>
      </c>
      <c r="C174" s="9"/>
      <c r="D174" s="9"/>
      <c r="E174" s="9"/>
      <c r="F174" s="2"/>
    </row>
    <row r="175" spans="1:6" x14ac:dyDescent="0.25">
      <c r="A175" s="9" t="s">
        <v>280</v>
      </c>
      <c r="B175" s="9">
        <v>80</v>
      </c>
      <c r="C175" s="9"/>
      <c r="D175" s="28" t="s">
        <v>288</v>
      </c>
      <c r="E175" s="9"/>
      <c r="F175" s="2"/>
    </row>
    <row r="176" spans="1:6" x14ac:dyDescent="0.25">
      <c r="A176" s="9" t="s">
        <v>281</v>
      </c>
      <c r="B176" s="9">
        <v>150</v>
      </c>
      <c r="C176" s="9"/>
      <c r="D176" s="9"/>
      <c r="E176" s="9"/>
      <c r="F176" s="2"/>
    </row>
    <row r="177" spans="1:6" x14ac:dyDescent="0.25">
      <c r="A177" s="9" t="s">
        <v>149</v>
      </c>
      <c r="B177" s="9">
        <v>0</v>
      </c>
      <c r="C177" s="9"/>
      <c r="D177" s="9"/>
      <c r="E177" s="9"/>
      <c r="F177" s="2"/>
    </row>
    <row r="178" spans="1:6" ht="50.5" x14ac:dyDescent="0.3">
      <c r="A178" s="10" t="s">
        <v>70</v>
      </c>
      <c r="B178" s="7">
        <f>SUM(B145:B177)</f>
        <v>9450.16</v>
      </c>
      <c r="C178" s="7"/>
      <c r="D178" s="22" t="s">
        <v>285</v>
      </c>
      <c r="E178" s="7"/>
    </row>
    <row r="179" spans="1:6" ht="50.5" x14ac:dyDescent="0.3">
      <c r="A179" s="31" t="s">
        <v>284</v>
      </c>
      <c r="B179" s="30">
        <f>SUM(145:177)-B145-B164+B3+B21</f>
        <v>6015.16</v>
      </c>
      <c r="C179" s="30"/>
      <c r="D179" s="33" t="s">
        <v>287</v>
      </c>
      <c r="E179" s="30"/>
    </row>
    <row r="180" spans="1:6" x14ac:dyDescent="0.25">
      <c r="A180" s="7"/>
      <c r="B180" s="7"/>
      <c r="C180" s="7"/>
      <c r="D180" s="7"/>
      <c r="E180" s="7"/>
    </row>
    <row r="181" spans="1:6" ht="13" x14ac:dyDescent="0.3">
      <c r="A181" s="8" t="s">
        <v>31</v>
      </c>
      <c r="B181" s="8" t="s">
        <v>66</v>
      </c>
      <c r="C181" s="5" t="s">
        <v>101</v>
      </c>
      <c r="D181" s="8" t="s">
        <v>67</v>
      </c>
      <c r="E181" s="7"/>
    </row>
    <row r="182" spans="1:6" x14ac:dyDescent="0.25">
      <c r="A182" s="9" t="s">
        <v>18</v>
      </c>
      <c r="B182" s="9">
        <v>0</v>
      </c>
      <c r="C182" s="9"/>
      <c r="D182" s="9"/>
      <c r="E182" s="9"/>
    </row>
    <row r="183" spans="1:6" x14ac:dyDescent="0.25">
      <c r="A183" s="9" t="s">
        <v>173</v>
      </c>
      <c r="B183" s="9">
        <v>0</v>
      </c>
      <c r="C183" s="9"/>
      <c r="D183" s="9"/>
      <c r="E183" s="9"/>
    </row>
    <row r="184" spans="1:6" x14ac:dyDescent="0.25">
      <c r="A184" s="9" t="s">
        <v>175</v>
      </c>
      <c r="B184" s="9">
        <v>0</v>
      </c>
      <c r="C184" s="9"/>
      <c r="D184" s="9"/>
      <c r="E184" s="9"/>
    </row>
    <row r="185" spans="1:6" x14ac:dyDescent="0.25">
      <c r="A185" s="9" t="s">
        <v>21</v>
      </c>
      <c r="B185" s="9">
        <v>0</v>
      </c>
      <c r="C185" s="9"/>
      <c r="D185" s="26"/>
      <c r="E185" s="9"/>
    </row>
    <row r="186" spans="1:6" ht="13" x14ac:dyDescent="0.3">
      <c r="A186" s="10" t="s">
        <v>70</v>
      </c>
      <c r="B186" s="7">
        <f>SUM(B182:B185)</f>
        <v>0</v>
      </c>
      <c r="C186" s="7"/>
      <c r="D186" s="7"/>
      <c r="E186" s="7"/>
    </row>
    <row r="187" spans="1:6" x14ac:dyDescent="0.25">
      <c r="A187" s="7"/>
      <c r="B187" s="7"/>
      <c r="C187" s="7"/>
      <c r="D187" s="7"/>
      <c r="E187" s="7"/>
    </row>
    <row r="188" spans="1:6" ht="13" x14ac:dyDescent="0.3">
      <c r="A188" s="8" t="s">
        <v>82</v>
      </c>
      <c r="B188" s="8" t="s">
        <v>66</v>
      </c>
      <c r="C188" s="5" t="s">
        <v>101</v>
      </c>
      <c r="D188" s="8" t="s">
        <v>67</v>
      </c>
      <c r="E188" s="7"/>
    </row>
    <row r="189" spans="1:6" x14ac:dyDescent="0.25">
      <c r="A189" s="9" t="s">
        <v>150</v>
      </c>
      <c r="B189" s="9">
        <v>0</v>
      </c>
      <c r="C189" s="9"/>
      <c r="D189" s="23"/>
      <c r="E189" s="9"/>
    </row>
    <row r="190" spans="1:6" x14ac:dyDescent="0.25">
      <c r="A190" s="9" t="s">
        <v>44</v>
      </c>
      <c r="B190" s="9">
        <v>0</v>
      </c>
      <c r="C190" s="9"/>
      <c r="D190" s="23"/>
      <c r="E190" s="9"/>
    </row>
    <row r="191" spans="1:6" x14ac:dyDescent="0.25">
      <c r="A191" s="9" t="s">
        <v>230</v>
      </c>
      <c r="B191" s="9">
        <v>0</v>
      </c>
      <c r="C191" s="9"/>
      <c r="D191" s="17"/>
      <c r="E191" s="9"/>
    </row>
    <row r="192" spans="1:6" x14ac:dyDescent="0.25">
      <c r="A192" s="9" t="s">
        <v>161</v>
      </c>
      <c r="B192" s="9">
        <v>0</v>
      </c>
      <c r="C192" s="9"/>
      <c r="D192" s="17"/>
      <c r="E192" s="9"/>
    </row>
    <row r="193" spans="1:5" x14ac:dyDescent="0.25">
      <c r="A193" s="9" t="s">
        <v>212</v>
      </c>
      <c r="B193" s="9">
        <v>0</v>
      </c>
      <c r="C193" s="9"/>
      <c r="D193" s="23"/>
      <c r="E193" s="9"/>
    </row>
    <row r="194" spans="1:5" x14ac:dyDescent="0.25">
      <c r="A194" s="9" t="s">
        <v>231</v>
      </c>
      <c r="B194" s="9">
        <v>0</v>
      </c>
      <c r="C194" s="9"/>
      <c r="D194" s="23"/>
      <c r="E194" s="9"/>
    </row>
    <row r="195" spans="1:5" x14ac:dyDescent="0.25">
      <c r="A195" s="9" t="s">
        <v>47</v>
      </c>
      <c r="B195" s="9">
        <v>20</v>
      </c>
      <c r="C195" s="9"/>
      <c r="D195" s="17"/>
      <c r="E195" s="9"/>
    </row>
    <row r="196" spans="1:5" x14ac:dyDescent="0.25">
      <c r="A196" s="9" t="s">
        <v>240</v>
      </c>
      <c r="B196" s="9">
        <v>300</v>
      </c>
      <c r="C196" s="9"/>
      <c r="D196" s="17"/>
      <c r="E196" s="9"/>
    </row>
    <row r="197" spans="1:5" x14ac:dyDescent="0.25">
      <c r="A197" s="9" t="s">
        <v>177</v>
      </c>
      <c r="B197" s="9">
        <v>0</v>
      </c>
      <c r="C197" s="9"/>
      <c r="D197" s="23"/>
      <c r="E197" s="9"/>
    </row>
    <row r="198" spans="1:5" ht="13" x14ac:dyDescent="0.3">
      <c r="A198" s="10" t="s">
        <v>70</v>
      </c>
      <c r="B198" s="7">
        <f>SUM(B189:B197)</f>
        <v>320</v>
      </c>
      <c r="C198" s="7"/>
      <c r="D198" s="7"/>
      <c r="E198" s="7"/>
    </row>
    <row r="199" spans="1:5" x14ac:dyDescent="0.25">
      <c r="A199" s="7"/>
      <c r="B199" s="7"/>
      <c r="C199" s="7"/>
      <c r="D199" s="7"/>
      <c r="E199" s="7"/>
    </row>
    <row r="200" spans="1:5" ht="13" x14ac:dyDescent="0.3">
      <c r="A200" s="8" t="s">
        <v>85</v>
      </c>
      <c r="B200" s="8" t="s">
        <v>66</v>
      </c>
      <c r="C200" s="5" t="s">
        <v>101</v>
      </c>
      <c r="D200" s="8" t="s">
        <v>214</v>
      </c>
      <c r="E200" s="7"/>
    </row>
    <row r="201" spans="1:5" x14ac:dyDescent="0.25">
      <c r="A201" s="9" t="s">
        <v>104</v>
      </c>
      <c r="B201" s="9">
        <v>0</v>
      </c>
      <c r="C201" s="9"/>
      <c r="D201" s="23"/>
      <c r="E201" s="9"/>
    </row>
    <row r="202" spans="1:5" x14ac:dyDescent="0.25">
      <c r="A202" s="9" t="s">
        <v>162</v>
      </c>
      <c r="B202" s="9">
        <v>0</v>
      </c>
      <c r="C202" s="9"/>
      <c r="D202" s="17"/>
      <c r="E202" s="9"/>
    </row>
    <row r="203" spans="1:5" x14ac:dyDescent="0.25">
      <c r="A203" s="9" t="s">
        <v>245</v>
      </c>
      <c r="B203" s="9">
        <v>391.24</v>
      </c>
      <c r="C203" s="9"/>
      <c r="D203" s="17"/>
      <c r="E203" s="9"/>
    </row>
    <row r="204" spans="1:5" x14ac:dyDescent="0.25">
      <c r="A204" s="9" t="s">
        <v>29</v>
      </c>
      <c r="B204" s="9">
        <v>7194.46</v>
      </c>
      <c r="C204" s="9"/>
      <c r="D204" s="17"/>
      <c r="E204" s="9"/>
    </row>
    <row r="205" spans="1:5" x14ac:dyDescent="0.25">
      <c r="A205" s="9" t="s">
        <v>30</v>
      </c>
      <c r="B205" s="9">
        <v>1045.5999999999999</v>
      </c>
      <c r="C205" s="9"/>
      <c r="D205" s="9"/>
      <c r="E205" s="9"/>
    </row>
    <row r="206" spans="1:5" ht="13" x14ac:dyDescent="0.3">
      <c r="A206" s="10" t="s">
        <v>70</v>
      </c>
      <c r="B206" s="7">
        <f>SUM(B201:B205)</f>
        <v>8631.2999999999993</v>
      </c>
      <c r="C206" s="7"/>
      <c r="D206" s="7"/>
      <c r="E206" s="7"/>
    </row>
    <row r="207" spans="1:5" ht="13" x14ac:dyDescent="0.3">
      <c r="A207" s="10"/>
      <c r="B207" s="7"/>
      <c r="C207" s="7"/>
      <c r="D207" s="7"/>
      <c r="E207" s="7"/>
    </row>
    <row r="208" spans="1:5" ht="13" x14ac:dyDescent="0.3">
      <c r="A208" s="10" t="s">
        <v>87</v>
      </c>
      <c r="B208" s="7">
        <f>SUM(B178,B186,B198)-B206</f>
        <v>1138.8600000000006</v>
      </c>
      <c r="C208" s="7"/>
      <c r="D208" s="7"/>
      <c r="E208" s="7"/>
    </row>
    <row r="209" spans="1:5" ht="13" x14ac:dyDescent="0.3">
      <c r="A209" s="10"/>
      <c r="B209" s="7"/>
      <c r="C209" s="7"/>
      <c r="D209" s="7"/>
      <c r="E209" s="7"/>
    </row>
    <row r="210" spans="1:5" ht="13" x14ac:dyDescent="0.3">
      <c r="A210" s="11" t="s">
        <v>73</v>
      </c>
      <c r="B210" s="7"/>
      <c r="C210" s="7"/>
      <c r="D210" s="7"/>
      <c r="E210" s="7"/>
    </row>
    <row r="211" spans="1:5" ht="13" x14ac:dyDescent="0.3">
      <c r="A211" s="8" t="s">
        <v>75</v>
      </c>
      <c r="B211" s="8" t="s">
        <v>66</v>
      </c>
      <c r="C211" s="5" t="s">
        <v>101</v>
      </c>
      <c r="D211" s="8" t="s">
        <v>67</v>
      </c>
      <c r="E211" s="7"/>
    </row>
    <row r="212" spans="1:5" x14ac:dyDescent="0.25">
      <c r="A212" s="9" t="s">
        <v>74</v>
      </c>
      <c r="B212" s="9">
        <v>6134.23</v>
      </c>
      <c r="C212" s="9"/>
      <c r="D212" s="9"/>
      <c r="E212" s="9"/>
    </row>
    <row r="213" spans="1:5" x14ac:dyDescent="0.25">
      <c r="A213" s="9"/>
      <c r="B213" s="9"/>
      <c r="C213" s="9"/>
      <c r="D213" s="9"/>
      <c r="E213" s="9"/>
    </row>
    <row r="214" spans="1:5" ht="13" x14ac:dyDescent="0.3">
      <c r="A214" s="10" t="s">
        <v>70</v>
      </c>
      <c r="B214" s="7">
        <f>SUM(B212:B213)</f>
        <v>6134.23</v>
      </c>
      <c r="C214" s="7"/>
      <c r="D214" s="7"/>
      <c r="E214" s="7"/>
    </row>
    <row r="215" spans="1:5" ht="13" x14ac:dyDescent="0.3">
      <c r="A215" s="11"/>
      <c r="B215" s="7"/>
      <c r="C215" s="7"/>
      <c r="D215" s="7"/>
      <c r="E215" s="7"/>
    </row>
    <row r="216" spans="1:5" ht="13" x14ac:dyDescent="0.3">
      <c r="A216" s="8" t="s">
        <v>76</v>
      </c>
      <c r="B216" s="8" t="s">
        <v>66</v>
      </c>
      <c r="C216" s="5" t="s">
        <v>101</v>
      </c>
      <c r="D216" s="8" t="s">
        <v>67</v>
      </c>
      <c r="E216" s="7"/>
    </row>
    <row r="217" spans="1:5" x14ac:dyDescent="0.25">
      <c r="A217" s="9" t="s">
        <v>242</v>
      </c>
      <c r="B217" s="9">
        <v>600</v>
      </c>
      <c r="C217" s="9"/>
      <c r="D217" s="9"/>
      <c r="E217" s="9"/>
    </row>
    <row r="218" spans="1:5" x14ac:dyDescent="0.25">
      <c r="A218" s="9"/>
      <c r="B218" s="9"/>
      <c r="C218" s="9"/>
      <c r="D218" s="9"/>
      <c r="E218" s="9"/>
    </row>
    <row r="219" spans="1:5" ht="13" x14ac:dyDescent="0.3">
      <c r="A219" s="10" t="s">
        <v>70</v>
      </c>
      <c r="B219" s="7">
        <f>SUM(B217:B218)</f>
        <v>600</v>
      </c>
      <c r="C219" s="7"/>
      <c r="D219" s="7"/>
      <c r="E219" s="7"/>
    </row>
    <row r="220" spans="1:5" x14ac:dyDescent="0.25">
      <c r="A220" s="7"/>
      <c r="B220" s="7"/>
      <c r="C220" s="7"/>
      <c r="D220" s="7"/>
      <c r="E220" s="7"/>
    </row>
    <row r="221" spans="1:5" ht="13" x14ac:dyDescent="0.3">
      <c r="A221" s="8" t="s">
        <v>86</v>
      </c>
      <c r="B221" s="8" t="s">
        <v>66</v>
      </c>
      <c r="C221" s="5" t="s">
        <v>101</v>
      </c>
      <c r="D221" s="8" t="s">
        <v>67</v>
      </c>
      <c r="E221" s="7"/>
    </row>
    <row r="222" spans="1:5" ht="87.5" x14ac:dyDescent="0.25">
      <c r="A222" s="9" t="s">
        <v>26</v>
      </c>
      <c r="B222" s="9">
        <v>0</v>
      </c>
      <c r="C222" s="9"/>
      <c r="D222" s="23" t="s">
        <v>246</v>
      </c>
      <c r="E222" s="9"/>
    </row>
    <row r="223" spans="1:5" x14ac:dyDescent="0.25">
      <c r="A223" s="9" t="s">
        <v>282</v>
      </c>
      <c r="B223" s="9">
        <v>180</v>
      </c>
      <c r="C223" s="9"/>
      <c r="D223" s="23"/>
      <c r="E223" s="9"/>
    </row>
    <row r="224" spans="1:5" x14ac:dyDescent="0.25">
      <c r="A224" s="9" t="s">
        <v>248</v>
      </c>
      <c r="B224" s="9">
        <v>25123</v>
      </c>
      <c r="C224" s="9"/>
      <c r="D224" s="23"/>
      <c r="E224" s="9"/>
    </row>
    <row r="225" spans="1:5" x14ac:dyDescent="0.25">
      <c r="A225" s="9"/>
      <c r="B225" s="9"/>
      <c r="C225" s="9"/>
      <c r="D225" s="9"/>
      <c r="E225" s="9"/>
    </row>
    <row r="226" spans="1:5" ht="13" x14ac:dyDescent="0.3">
      <c r="A226" s="10" t="s">
        <v>70</v>
      </c>
      <c r="B226" s="7">
        <f>SUM(B222:B225)</f>
        <v>25303</v>
      </c>
      <c r="C226" s="7"/>
      <c r="D226" s="7"/>
      <c r="E226" s="7"/>
    </row>
    <row r="227" spans="1:5" x14ac:dyDescent="0.25">
      <c r="A227" s="7"/>
      <c r="B227" s="7"/>
      <c r="C227" s="7"/>
      <c r="D227" s="7"/>
      <c r="E227" s="7"/>
    </row>
    <row r="228" spans="1:5" ht="13" x14ac:dyDescent="0.3">
      <c r="A228" s="10" t="s">
        <v>88</v>
      </c>
      <c r="B228" s="7">
        <f>SUM(B214,B219)-B226</f>
        <v>-18568.77</v>
      </c>
      <c r="C228" s="7"/>
      <c r="D228" s="7"/>
      <c r="E228" s="7"/>
    </row>
    <row r="229" spans="1:5" ht="13" x14ac:dyDescent="0.3">
      <c r="A229" s="10"/>
      <c r="B229" s="7"/>
      <c r="C229" s="7"/>
      <c r="D229" s="7"/>
      <c r="E229" s="7"/>
    </row>
    <row r="230" spans="1:5" ht="13" x14ac:dyDescent="0.3">
      <c r="A230" s="8" t="s">
        <v>251</v>
      </c>
      <c r="B230" s="8" t="s">
        <v>66</v>
      </c>
      <c r="C230" s="8" t="s">
        <v>67</v>
      </c>
      <c r="D230" s="7"/>
      <c r="E230" s="7"/>
    </row>
    <row r="231" spans="1:5" x14ac:dyDescent="0.25">
      <c r="A231" s="9" t="s">
        <v>243</v>
      </c>
      <c r="B231" s="9">
        <v>4502.6499999999996</v>
      </c>
      <c r="C231" s="23"/>
      <c r="D231" s="23"/>
      <c r="E231" s="23"/>
    </row>
    <row r="232" spans="1:5" x14ac:dyDescent="0.25">
      <c r="A232" s="9" t="s">
        <v>244</v>
      </c>
      <c r="B232" s="9">
        <v>848.16</v>
      </c>
      <c r="C232" s="9"/>
      <c r="D232" s="23"/>
      <c r="E232" s="23"/>
    </row>
    <row r="233" spans="1:5" x14ac:dyDescent="0.25">
      <c r="A233" s="9" t="s">
        <v>253</v>
      </c>
      <c r="B233" s="15">
        <v>6047.79</v>
      </c>
      <c r="C233" s="9"/>
      <c r="D233" s="23"/>
      <c r="E233" s="23"/>
    </row>
    <row r="234" spans="1:5" x14ac:dyDescent="0.25">
      <c r="A234" s="9"/>
      <c r="B234" s="9"/>
      <c r="C234" s="9"/>
      <c r="D234" s="23"/>
      <c r="E234" s="23"/>
    </row>
    <row r="235" spans="1:5" ht="13" x14ac:dyDescent="0.3">
      <c r="A235" s="10" t="s">
        <v>256</v>
      </c>
      <c r="B235" s="7">
        <f>SUM(B231:B234)</f>
        <v>11398.599999999999</v>
      </c>
      <c r="C235" s="7"/>
      <c r="D235" s="7"/>
      <c r="E235" s="7"/>
    </row>
    <row r="236" spans="1:5" ht="13" x14ac:dyDescent="0.3">
      <c r="A236" s="31" t="s">
        <v>257</v>
      </c>
      <c r="B236" s="30">
        <v>10000</v>
      </c>
      <c r="C236" s="30"/>
      <c r="D236" s="30"/>
      <c r="E236" s="30"/>
    </row>
    <row r="237" spans="1:5" ht="13" x14ac:dyDescent="0.3">
      <c r="A237" s="31" t="s">
        <v>258</v>
      </c>
      <c r="B237" s="30">
        <f>B231+B236</f>
        <v>14502.65</v>
      </c>
      <c r="C237" s="30"/>
      <c r="D237" s="30"/>
      <c r="E237" s="30"/>
    </row>
    <row r="238" spans="1:5" x14ac:dyDescent="0.25">
      <c r="A238" s="7"/>
      <c r="B238" s="7"/>
      <c r="C238" s="7"/>
      <c r="D238" s="7"/>
      <c r="E238" s="7"/>
    </row>
    <row r="239" spans="1:5" ht="13" x14ac:dyDescent="0.3">
      <c r="A239" s="5" t="s">
        <v>255</v>
      </c>
      <c r="B239" s="7"/>
      <c r="C239" s="7"/>
      <c r="D239" s="7"/>
      <c r="E239" s="7"/>
    </row>
    <row r="240" spans="1:5" ht="13" x14ac:dyDescent="0.3">
      <c r="A240" s="8" t="s">
        <v>94</v>
      </c>
      <c r="B240" s="8" t="s">
        <v>66</v>
      </c>
      <c r="C240" s="8" t="s">
        <v>67</v>
      </c>
      <c r="D240" s="7"/>
      <c r="E240" s="7"/>
    </row>
    <row r="241" spans="1:5" x14ac:dyDescent="0.25">
      <c r="A241" s="9" t="s">
        <v>90</v>
      </c>
      <c r="B241" s="15">
        <v>39780.6</v>
      </c>
      <c r="C241" s="9"/>
      <c r="D241" s="9"/>
      <c r="E241" s="9"/>
    </row>
    <row r="242" spans="1:5" x14ac:dyDescent="0.25">
      <c r="A242" s="9" t="s">
        <v>91</v>
      </c>
      <c r="B242" s="9">
        <v>11485.12</v>
      </c>
      <c r="C242" s="9"/>
      <c r="D242" s="9"/>
      <c r="E242" s="9"/>
    </row>
    <row r="243" spans="1:5" x14ac:dyDescent="0.25">
      <c r="A243" s="9" t="s">
        <v>92</v>
      </c>
      <c r="B243" s="9">
        <v>0</v>
      </c>
      <c r="C243" s="28">
        <v>0</v>
      </c>
      <c r="D243" s="9"/>
      <c r="E243" s="9"/>
    </row>
    <row r="244" spans="1:5" x14ac:dyDescent="0.25">
      <c r="A244" s="9" t="s">
        <v>93</v>
      </c>
      <c r="B244" s="9">
        <v>31625.74</v>
      </c>
      <c r="C244" s="28" t="s">
        <v>247</v>
      </c>
      <c r="D244" s="9"/>
      <c r="E244" s="9"/>
    </row>
    <row r="245" spans="1:5" x14ac:dyDescent="0.25">
      <c r="A245" s="9" t="s">
        <v>250</v>
      </c>
      <c r="B245" s="9">
        <v>40000</v>
      </c>
      <c r="C245" s="28"/>
      <c r="D245" s="9"/>
      <c r="E245" s="9"/>
    </row>
    <row r="246" spans="1:5" x14ac:dyDescent="0.25">
      <c r="A246" s="9" t="s">
        <v>122</v>
      </c>
      <c r="B246" s="28">
        <v>58</v>
      </c>
      <c r="C246" s="25"/>
      <c r="D246" s="9"/>
      <c r="E246" s="9"/>
    </row>
    <row r="247" spans="1:5" x14ac:dyDescent="0.25">
      <c r="A247" s="9" t="s">
        <v>228</v>
      </c>
      <c r="B247" s="28">
        <v>0</v>
      </c>
      <c r="C247" s="28"/>
      <c r="D247" s="9"/>
      <c r="E247" s="9"/>
    </row>
    <row r="248" spans="1:5" ht="13" x14ac:dyDescent="0.3">
      <c r="A248" s="10" t="s">
        <v>254</v>
      </c>
      <c r="B248" s="35">
        <f>SUM(B241:B247)</f>
        <v>122949.46</v>
      </c>
      <c r="C248" s="7"/>
      <c r="D248" s="7"/>
      <c r="E248" s="7"/>
    </row>
    <row r="249" spans="1:5" x14ac:dyDescent="0.25">
      <c r="A249" s="7"/>
      <c r="B249" s="7"/>
      <c r="C249" s="7"/>
      <c r="D249" s="7"/>
      <c r="E249" s="7"/>
    </row>
    <row r="250" spans="1:5" ht="13" x14ac:dyDescent="0.3">
      <c r="A250" s="5" t="s">
        <v>97</v>
      </c>
      <c r="B250" s="7">
        <f xml:space="preserve"> B235+B228-B208</f>
        <v>-8309.0300000000025</v>
      </c>
      <c r="C250" s="7"/>
      <c r="D250" s="7"/>
      <c r="E250" s="7"/>
    </row>
    <row r="251" spans="1:5" ht="26" x14ac:dyDescent="0.3">
      <c r="A251" s="34" t="s">
        <v>267</v>
      </c>
      <c r="B251" s="30">
        <f xml:space="preserve"> B237+B228-B208</f>
        <v>-5204.9800000000014</v>
      </c>
      <c r="C251" s="30"/>
      <c r="D251" s="30"/>
      <c r="E251" s="30"/>
    </row>
    <row r="252" spans="1:5" ht="13" x14ac:dyDescent="0.3">
      <c r="A252" s="5" t="s">
        <v>96</v>
      </c>
      <c r="B252" s="7">
        <f>SUM(B248,B250)</f>
        <v>114640.43000000001</v>
      </c>
      <c r="C252" s="21"/>
      <c r="D252" s="7"/>
      <c r="E252" s="7"/>
    </row>
    <row r="253" spans="1:5" ht="26" x14ac:dyDescent="0.3">
      <c r="A253" s="34" t="s">
        <v>268</v>
      </c>
      <c r="B253" s="30">
        <f>SUM(B248,B251)</f>
        <v>117744.48000000001</v>
      </c>
      <c r="C253" s="33"/>
      <c r="D253" s="30"/>
      <c r="E253" s="30"/>
    </row>
    <row r="254" spans="1:5" ht="13" x14ac:dyDescent="0.3">
      <c r="A254" s="32" t="s">
        <v>261</v>
      </c>
      <c r="B254" s="30">
        <v>17000</v>
      </c>
      <c r="C254" s="33"/>
      <c r="D254" s="30"/>
      <c r="E254" s="30"/>
    </row>
    <row r="255" spans="1:5" ht="13" x14ac:dyDescent="0.3">
      <c r="A255" s="32" t="s">
        <v>262</v>
      </c>
      <c r="B255" s="30">
        <v>2000</v>
      </c>
      <c r="C255" s="33"/>
      <c r="D255" s="30"/>
      <c r="E255" s="30"/>
    </row>
    <row r="256" spans="1:5" ht="13" x14ac:dyDescent="0.3">
      <c r="A256" s="32" t="s">
        <v>263</v>
      </c>
      <c r="B256" s="30">
        <v>0</v>
      </c>
      <c r="C256" s="33" t="s">
        <v>269</v>
      </c>
      <c r="D256" s="30"/>
      <c r="E256" s="30"/>
    </row>
    <row r="257" spans="1:5" ht="13" x14ac:dyDescent="0.3">
      <c r="A257" s="32" t="s">
        <v>265</v>
      </c>
      <c r="B257" s="30">
        <f>SUM(B252,B254:B256)</f>
        <v>133640.43</v>
      </c>
      <c r="C257" s="33"/>
      <c r="D257" s="30"/>
      <c r="E257" s="30"/>
    </row>
    <row r="258" spans="1:5" ht="26" x14ac:dyDescent="0.3">
      <c r="A258" s="34" t="s">
        <v>266</v>
      </c>
      <c r="B258" s="30">
        <f>SUM(B253,B254:B256)</f>
        <v>136744.48000000001</v>
      </c>
      <c r="C258" s="33"/>
      <c r="D258" s="30"/>
      <c r="E258" s="30"/>
    </row>
    <row r="259" spans="1:5" ht="13" x14ac:dyDescent="0.3">
      <c r="A259" s="34" t="s">
        <v>289</v>
      </c>
      <c r="B259" s="30">
        <f>B252-B204-B205-B244-B245</f>
        <v>34774.62999999999</v>
      </c>
      <c r="C259" s="33"/>
      <c r="D259" s="30"/>
      <c r="E259" s="30"/>
    </row>
    <row r="260" spans="1:5" ht="26" x14ac:dyDescent="0.3">
      <c r="A260" s="34" t="s">
        <v>290</v>
      </c>
      <c r="B260" s="30">
        <f>B253-B204-B205-B244-B245</f>
        <v>37878.679999999993</v>
      </c>
      <c r="C260" s="33"/>
      <c r="D260" s="30"/>
      <c r="E260" s="30"/>
    </row>
    <row r="261" spans="1:5" ht="26" x14ac:dyDescent="0.3">
      <c r="A261" s="34" t="s">
        <v>291</v>
      </c>
      <c r="B261" s="30">
        <f>B257-B204-B205-B244-B245</f>
        <v>53774.629999999976</v>
      </c>
      <c r="C261" s="33"/>
      <c r="D261" s="30"/>
      <c r="E261" s="30"/>
    </row>
    <row r="262" spans="1:5" ht="39" x14ac:dyDescent="0.3">
      <c r="A262" s="34" t="s">
        <v>292</v>
      </c>
      <c r="B262" s="30">
        <f>B258-B204-B205-B244-B245</f>
        <v>56878.679999999993</v>
      </c>
      <c r="C262" s="33"/>
      <c r="D262" s="30"/>
      <c r="E262" s="30"/>
    </row>
    <row r="263" spans="1:5" ht="13" x14ac:dyDescent="0.3">
      <c r="A263" s="5" t="s">
        <v>134</v>
      </c>
      <c r="B263" s="7">
        <f>B252-B362</f>
        <v>-18615.986999999979</v>
      </c>
      <c r="C263" s="22"/>
      <c r="D263" s="7"/>
      <c r="E263" s="7"/>
    </row>
    <row r="264" spans="1:5" x14ac:dyDescent="0.25">
      <c r="A264" s="7"/>
      <c r="B264" s="7"/>
      <c r="C264" s="7"/>
      <c r="D264" s="7"/>
      <c r="E264" s="7"/>
    </row>
    <row r="265" spans="1:5" x14ac:dyDescent="0.25">
      <c r="A265" s="69"/>
      <c r="B265" s="69"/>
      <c r="C265" s="69"/>
      <c r="D265" s="69"/>
      <c r="E265" s="69"/>
    </row>
    <row r="266" spans="1:5" x14ac:dyDescent="0.25">
      <c r="A266" s="69"/>
      <c r="B266" s="69"/>
      <c r="C266" s="69"/>
      <c r="D266" s="69"/>
      <c r="E266" s="69"/>
    </row>
    <row r="267" spans="1:5" x14ac:dyDescent="0.25">
      <c r="A267" s="69"/>
      <c r="B267" s="69"/>
      <c r="C267" s="69"/>
      <c r="D267" s="69"/>
      <c r="E267" s="69"/>
    </row>
    <row r="268" spans="1:5" ht="13" x14ac:dyDescent="0.3">
      <c r="A268" s="3" t="s">
        <v>318</v>
      </c>
      <c r="B268" s="68" t="s">
        <v>286</v>
      </c>
      <c r="C268" s="68"/>
      <c r="D268" s="68"/>
      <c r="E268" s="4"/>
    </row>
    <row r="269" spans="1:5" ht="13" x14ac:dyDescent="0.3">
      <c r="A269" s="5" t="s">
        <v>95</v>
      </c>
      <c r="B269" s="12">
        <v>42963</v>
      </c>
      <c r="C269" s="6"/>
      <c r="D269" s="6"/>
      <c r="E269" s="7"/>
    </row>
    <row r="270" spans="1:5" ht="13" x14ac:dyDescent="0.3">
      <c r="A270" s="5" t="s">
        <v>102</v>
      </c>
      <c r="B270" s="13">
        <v>0.23402777777777781</v>
      </c>
      <c r="C270" s="6"/>
      <c r="D270" s="6"/>
      <c r="E270" s="7"/>
    </row>
    <row r="271" spans="1:5" ht="13" x14ac:dyDescent="0.3">
      <c r="A271" s="5"/>
      <c r="B271" s="6"/>
      <c r="C271" s="6"/>
      <c r="D271" s="6"/>
      <c r="E271" s="7"/>
    </row>
    <row r="272" spans="1:5" ht="13" x14ac:dyDescent="0.3">
      <c r="A272" s="5" t="s">
        <v>84</v>
      </c>
      <c r="B272" s="6"/>
      <c r="C272" s="6"/>
      <c r="D272" s="6"/>
      <c r="E272" s="7"/>
    </row>
    <row r="273" spans="1:5" ht="13" x14ac:dyDescent="0.3">
      <c r="A273" s="8" t="s">
        <v>0</v>
      </c>
      <c r="B273" s="8" t="s">
        <v>66</v>
      </c>
      <c r="C273" s="8" t="s">
        <v>67</v>
      </c>
      <c r="D273" s="7"/>
      <c r="E273" s="7"/>
    </row>
    <row r="274" spans="1:5" x14ac:dyDescent="0.25">
      <c r="A274" s="9" t="s">
        <v>1</v>
      </c>
      <c r="B274" s="9">
        <v>2710.183</v>
      </c>
      <c r="C274" s="9"/>
      <c r="D274" s="9"/>
      <c r="E274" s="9"/>
    </row>
    <row r="275" spans="1:5" x14ac:dyDescent="0.25">
      <c r="A275" s="9" t="s">
        <v>9</v>
      </c>
      <c r="B275" s="9">
        <v>4200</v>
      </c>
      <c r="C275" s="23"/>
      <c r="D275" s="9"/>
      <c r="E275" s="9"/>
    </row>
    <row r="276" spans="1:5" x14ac:dyDescent="0.25">
      <c r="A276" s="9" t="s">
        <v>3</v>
      </c>
      <c r="B276" s="9">
        <v>0</v>
      </c>
      <c r="C276" s="9"/>
      <c r="D276" s="9"/>
      <c r="E276" s="9"/>
    </row>
    <row r="277" spans="1:5" x14ac:dyDescent="0.25">
      <c r="A277" s="9" t="s">
        <v>2</v>
      </c>
      <c r="B277" s="9">
        <v>0</v>
      </c>
      <c r="C277" s="9"/>
      <c r="D277" s="9"/>
      <c r="E277" s="9"/>
    </row>
    <row r="278" spans="1:5" x14ac:dyDescent="0.25">
      <c r="A278" s="9" t="s">
        <v>5</v>
      </c>
      <c r="B278" s="9">
        <v>0</v>
      </c>
      <c r="C278" s="9"/>
      <c r="D278" s="9"/>
      <c r="E278" s="9"/>
    </row>
    <row r="279" spans="1:5" x14ac:dyDescent="0.25">
      <c r="A279" s="9" t="s">
        <v>4</v>
      </c>
      <c r="B279" s="9">
        <v>0</v>
      </c>
      <c r="C279" s="9"/>
      <c r="D279" s="9"/>
      <c r="E279" s="9"/>
    </row>
    <row r="280" spans="1:5" x14ac:dyDescent="0.25">
      <c r="A280" s="9" t="s">
        <v>14</v>
      </c>
      <c r="B280" s="9">
        <v>0</v>
      </c>
      <c r="C280" s="9"/>
      <c r="D280" s="9"/>
      <c r="E280" s="9"/>
    </row>
    <row r="281" spans="1:5" x14ac:dyDescent="0.25">
      <c r="A281" s="9" t="s">
        <v>42</v>
      </c>
      <c r="B281" s="9">
        <v>0</v>
      </c>
      <c r="C281" s="9"/>
      <c r="D281" s="9"/>
      <c r="E281" s="9"/>
    </row>
    <row r="282" spans="1:5" x14ac:dyDescent="0.25">
      <c r="A282" s="9" t="s">
        <v>149</v>
      </c>
      <c r="B282" s="9">
        <v>0</v>
      </c>
      <c r="C282" s="9"/>
      <c r="D282" s="9"/>
      <c r="E282" s="9"/>
    </row>
    <row r="283" spans="1:5" x14ac:dyDescent="0.25">
      <c r="A283" s="9" t="s">
        <v>39</v>
      </c>
      <c r="B283" s="9">
        <v>0</v>
      </c>
      <c r="C283" s="9"/>
      <c r="D283" s="9"/>
      <c r="E283" s="9"/>
    </row>
    <row r="284" spans="1:5" ht="13" x14ac:dyDescent="0.3">
      <c r="A284" s="10" t="s">
        <v>70</v>
      </c>
      <c r="B284" s="7">
        <f>SUM(B274:B283)</f>
        <v>6910.183</v>
      </c>
      <c r="C284" s="7"/>
      <c r="D284" s="7"/>
      <c r="E284" s="7"/>
    </row>
    <row r="285" spans="1:5" x14ac:dyDescent="0.25">
      <c r="A285" s="7"/>
      <c r="B285" s="7"/>
      <c r="C285" s="7"/>
      <c r="D285" s="7"/>
      <c r="E285" s="7"/>
    </row>
    <row r="286" spans="1:5" ht="13" x14ac:dyDescent="0.3">
      <c r="A286" s="8" t="s">
        <v>31</v>
      </c>
      <c r="B286" s="8" t="s">
        <v>66</v>
      </c>
      <c r="C286" s="8" t="s">
        <v>67</v>
      </c>
      <c r="D286" s="7"/>
      <c r="E286" s="7"/>
    </row>
    <row r="287" spans="1:5" x14ac:dyDescent="0.25">
      <c r="A287" s="9"/>
      <c r="B287" s="9"/>
      <c r="C287" s="9"/>
      <c r="D287" s="9"/>
      <c r="E287" s="9"/>
    </row>
    <row r="288" spans="1:5" x14ac:dyDescent="0.25">
      <c r="A288" s="9"/>
      <c r="B288" s="9"/>
      <c r="C288" s="9"/>
      <c r="D288" s="9"/>
      <c r="E288" s="9"/>
    </row>
    <row r="289" spans="1:5" ht="13" x14ac:dyDescent="0.3">
      <c r="A289" s="10" t="s">
        <v>70</v>
      </c>
      <c r="B289" s="7">
        <f>SUM(B287:B288)</f>
        <v>0</v>
      </c>
      <c r="C289" s="7"/>
      <c r="D289" s="7"/>
      <c r="E289" s="7"/>
    </row>
    <row r="290" spans="1:5" x14ac:dyDescent="0.25">
      <c r="A290" s="7"/>
      <c r="B290" s="7"/>
      <c r="C290" s="7"/>
      <c r="D290" s="7"/>
      <c r="E290" s="7"/>
    </row>
    <row r="291" spans="1:5" ht="13" x14ac:dyDescent="0.3">
      <c r="A291" s="8" t="s">
        <v>82</v>
      </c>
      <c r="B291" s="8" t="s">
        <v>66</v>
      </c>
      <c r="C291" s="8" t="s">
        <v>67</v>
      </c>
      <c r="D291" s="7"/>
      <c r="E291" s="7"/>
    </row>
    <row r="292" spans="1:5" x14ac:dyDescent="0.25">
      <c r="A292" s="9" t="s">
        <v>150</v>
      </c>
      <c r="B292" s="9">
        <v>0</v>
      </c>
      <c r="C292" s="9"/>
      <c r="D292" s="23"/>
      <c r="E292" s="9"/>
    </row>
    <row r="293" spans="1:5" x14ac:dyDescent="0.25">
      <c r="A293" s="9" t="s">
        <v>240</v>
      </c>
      <c r="B293" s="9">
        <v>0</v>
      </c>
      <c r="C293" s="19"/>
      <c r="D293" s="23"/>
      <c r="E293" s="9"/>
    </row>
    <row r="294" spans="1:5" x14ac:dyDescent="0.25">
      <c r="A294" s="9"/>
      <c r="B294" s="9"/>
      <c r="C294" s="9"/>
      <c r="D294" s="9"/>
      <c r="E294" s="9"/>
    </row>
    <row r="295" spans="1:5" ht="13" x14ac:dyDescent="0.3">
      <c r="A295" s="10" t="s">
        <v>70</v>
      </c>
      <c r="B295" s="7">
        <f>SUM(B292:B294)</f>
        <v>0</v>
      </c>
      <c r="C295" s="7"/>
      <c r="D295" s="7"/>
      <c r="E295" s="7"/>
    </row>
    <row r="296" spans="1:5" x14ac:dyDescent="0.25">
      <c r="A296" s="7"/>
      <c r="B296" s="7"/>
      <c r="C296" s="7"/>
      <c r="D296" s="7"/>
      <c r="E296" s="7"/>
    </row>
    <row r="297" spans="1:5" ht="13" x14ac:dyDescent="0.3">
      <c r="A297" s="8" t="s">
        <v>85</v>
      </c>
      <c r="B297" s="8" t="s">
        <v>66</v>
      </c>
      <c r="C297" s="8" t="s">
        <v>67</v>
      </c>
      <c r="D297" s="7"/>
      <c r="E297" s="7"/>
    </row>
    <row r="298" spans="1:5" x14ac:dyDescent="0.25">
      <c r="A298" s="9" t="s">
        <v>245</v>
      </c>
      <c r="B298" s="9">
        <v>0</v>
      </c>
      <c r="C298" s="19" t="s">
        <v>295</v>
      </c>
      <c r="D298" s="23"/>
      <c r="E298" s="9"/>
    </row>
    <row r="299" spans="1:5" x14ac:dyDescent="0.25">
      <c r="A299" s="9" t="s">
        <v>29</v>
      </c>
      <c r="B299" s="9">
        <v>9624.2199999999993</v>
      </c>
      <c r="C299" s="9"/>
      <c r="D299" s="9"/>
      <c r="E299" s="9"/>
    </row>
    <row r="300" spans="1:5" x14ac:dyDescent="0.25">
      <c r="A300" s="9" t="s">
        <v>30</v>
      </c>
      <c r="B300" s="9">
        <v>1197.21</v>
      </c>
      <c r="C300" s="9"/>
      <c r="D300" s="9"/>
      <c r="E300" s="9"/>
    </row>
    <row r="301" spans="1:5" x14ac:dyDescent="0.25">
      <c r="A301" s="9" t="s">
        <v>296</v>
      </c>
      <c r="B301" s="9">
        <v>3705</v>
      </c>
      <c r="C301" s="9"/>
      <c r="D301" s="9"/>
      <c r="E301" s="9"/>
    </row>
    <row r="302" spans="1:5" ht="13" x14ac:dyDescent="0.3">
      <c r="A302" s="10" t="s">
        <v>70</v>
      </c>
      <c r="B302" s="7">
        <f>SUM(B298:B301)</f>
        <v>14526.43</v>
      </c>
      <c r="C302" s="7"/>
      <c r="D302" s="7"/>
      <c r="E302" s="7"/>
    </row>
    <row r="303" spans="1:5" ht="13" x14ac:dyDescent="0.3">
      <c r="A303" s="10"/>
      <c r="B303" s="7"/>
      <c r="C303" s="7"/>
      <c r="D303" s="7"/>
      <c r="E303" s="7"/>
    </row>
    <row r="304" spans="1:5" ht="13" x14ac:dyDescent="0.3">
      <c r="A304" s="10" t="s">
        <v>87</v>
      </c>
      <c r="B304" s="7">
        <f>SUM(B284,B289,B295) - B302</f>
        <v>-7616.2470000000003</v>
      </c>
      <c r="C304" s="7"/>
      <c r="D304" s="7"/>
      <c r="E304" s="7"/>
    </row>
    <row r="305" spans="1:5" ht="13" x14ac:dyDescent="0.3">
      <c r="A305" s="10"/>
      <c r="B305" s="7"/>
      <c r="C305" s="7"/>
      <c r="D305" s="7"/>
      <c r="E305" s="7"/>
    </row>
    <row r="306" spans="1:5" ht="13" x14ac:dyDescent="0.3">
      <c r="A306" s="11" t="s">
        <v>73</v>
      </c>
      <c r="B306" s="7"/>
      <c r="C306" s="7"/>
      <c r="D306" s="7"/>
      <c r="E306" s="7"/>
    </row>
    <row r="307" spans="1:5" ht="13" x14ac:dyDescent="0.3">
      <c r="A307" s="8" t="s">
        <v>75</v>
      </c>
      <c r="B307" s="8" t="s">
        <v>66</v>
      </c>
      <c r="C307" s="8" t="s">
        <v>67</v>
      </c>
      <c r="D307" s="7"/>
      <c r="E307" s="7"/>
    </row>
    <row r="308" spans="1:5" x14ac:dyDescent="0.25">
      <c r="A308" s="9"/>
      <c r="B308" s="9"/>
      <c r="C308" s="9"/>
      <c r="D308" s="9"/>
      <c r="E308" s="9"/>
    </row>
    <row r="309" spans="1:5" x14ac:dyDescent="0.25">
      <c r="A309" s="9"/>
      <c r="B309" s="9"/>
      <c r="C309" s="9"/>
      <c r="D309" s="9"/>
      <c r="E309" s="9"/>
    </row>
    <row r="310" spans="1:5" ht="13" x14ac:dyDescent="0.3">
      <c r="A310" s="10" t="s">
        <v>70</v>
      </c>
      <c r="B310" s="7">
        <f>SUM(B308:B309)</f>
        <v>0</v>
      </c>
      <c r="C310" s="7"/>
      <c r="D310" s="7"/>
      <c r="E310" s="7"/>
    </row>
    <row r="311" spans="1:5" ht="13" x14ac:dyDescent="0.3">
      <c r="A311" s="11"/>
      <c r="B311" s="7"/>
      <c r="C311" s="7"/>
      <c r="D311" s="7"/>
      <c r="E311" s="7"/>
    </row>
    <row r="312" spans="1:5" ht="13" x14ac:dyDescent="0.3">
      <c r="A312" s="8" t="s">
        <v>76</v>
      </c>
      <c r="B312" s="8" t="s">
        <v>66</v>
      </c>
      <c r="C312" s="8" t="s">
        <v>67</v>
      </c>
      <c r="D312" s="7"/>
      <c r="E312" s="7"/>
    </row>
    <row r="313" spans="1:5" x14ac:dyDescent="0.25">
      <c r="A313" s="9" t="s">
        <v>242</v>
      </c>
      <c r="B313" s="9">
        <v>600</v>
      </c>
      <c r="C313" s="9"/>
      <c r="D313" s="9"/>
      <c r="E313" s="9"/>
    </row>
    <row r="314" spans="1:5" x14ac:dyDescent="0.25">
      <c r="A314" s="9"/>
      <c r="B314" s="9"/>
      <c r="C314" s="9"/>
      <c r="D314" s="9"/>
      <c r="E314" s="9"/>
    </row>
    <row r="315" spans="1:5" ht="13" x14ac:dyDescent="0.3">
      <c r="A315" s="10" t="s">
        <v>70</v>
      </c>
      <c r="B315" s="7">
        <f>SUM(B313:B314)</f>
        <v>600</v>
      </c>
      <c r="C315" s="7"/>
      <c r="D315" s="7"/>
      <c r="E315" s="7"/>
    </row>
    <row r="316" spans="1:5" x14ac:dyDescent="0.25">
      <c r="A316" s="7"/>
      <c r="B316" s="7"/>
      <c r="C316" s="7"/>
      <c r="D316" s="7"/>
      <c r="E316" s="7"/>
    </row>
    <row r="317" spans="1:5" ht="13" x14ac:dyDescent="0.3">
      <c r="A317" s="8" t="s">
        <v>86</v>
      </c>
      <c r="B317" s="8" t="s">
        <v>66</v>
      </c>
      <c r="C317" s="8" t="s">
        <v>67</v>
      </c>
      <c r="D317" s="7"/>
      <c r="E317" s="7"/>
    </row>
    <row r="318" spans="1:5" x14ac:dyDescent="0.25">
      <c r="A318" s="9" t="s">
        <v>209</v>
      </c>
      <c r="B318" s="9">
        <v>2029.55</v>
      </c>
      <c r="C318" s="23"/>
      <c r="D318" s="9"/>
      <c r="E318" s="9"/>
    </row>
    <row r="319" spans="1:5" x14ac:dyDescent="0.25">
      <c r="A319" s="9" t="s">
        <v>282</v>
      </c>
      <c r="B319" s="9">
        <v>0</v>
      </c>
      <c r="C319" s="23"/>
      <c r="D319" s="9"/>
      <c r="E319" s="9"/>
    </row>
    <row r="320" spans="1:5" x14ac:dyDescent="0.25">
      <c r="A320" s="9" t="s">
        <v>248</v>
      </c>
      <c r="B320" s="9">
        <v>42611</v>
      </c>
      <c r="C320" s="23"/>
      <c r="D320" s="9"/>
      <c r="E320" s="9"/>
    </row>
    <row r="321" spans="1:5" x14ac:dyDescent="0.25">
      <c r="A321" s="9" t="s">
        <v>157</v>
      </c>
      <c r="B321" s="15">
        <v>0</v>
      </c>
      <c r="C321" s="9"/>
      <c r="D321" s="9"/>
      <c r="E321" s="9"/>
    </row>
    <row r="322" spans="1:5" x14ac:dyDescent="0.25">
      <c r="A322" s="9"/>
      <c r="B322" s="9"/>
      <c r="C322" s="9"/>
      <c r="D322" s="9"/>
      <c r="E322" s="9"/>
    </row>
    <row r="323" spans="1:5" ht="13" x14ac:dyDescent="0.3">
      <c r="A323" s="10" t="s">
        <v>70</v>
      </c>
      <c r="B323" s="7">
        <f>SUM(B318:B322)</f>
        <v>44640.55</v>
      </c>
      <c r="C323" s="7"/>
      <c r="D323" s="7"/>
      <c r="E323" s="7"/>
    </row>
    <row r="324" spans="1:5" x14ac:dyDescent="0.25">
      <c r="A324" s="7"/>
      <c r="B324" s="7"/>
      <c r="C324" s="7"/>
      <c r="D324" s="7"/>
      <c r="E324" s="7"/>
    </row>
    <row r="325" spans="1:5" ht="13" x14ac:dyDescent="0.3">
      <c r="A325" s="10" t="s">
        <v>88</v>
      </c>
      <c r="B325" s="7">
        <f>SUM(B310,B315) - B323</f>
        <v>-44040.55</v>
      </c>
      <c r="C325" s="7"/>
      <c r="D325" s="7"/>
      <c r="E325" s="7"/>
    </row>
    <row r="326" spans="1:5" ht="13" x14ac:dyDescent="0.3">
      <c r="A326" s="10"/>
      <c r="B326" s="7"/>
      <c r="C326" s="7"/>
      <c r="D326" s="7"/>
      <c r="E326" s="7"/>
    </row>
    <row r="327" spans="1:5" ht="13" x14ac:dyDescent="0.3">
      <c r="A327" s="8" t="s">
        <v>310</v>
      </c>
      <c r="B327" s="8" t="s">
        <v>66</v>
      </c>
      <c r="C327" s="8" t="s">
        <v>67</v>
      </c>
      <c r="D327" s="7"/>
      <c r="E327" s="7"/>
    </row>
    <row r="328" spans="1:5" ht="62.5" x14ac:dyDescent="0.25">
      <c r="A328" s="19" t="s">
        <v>303</v>
      </c>
      <c r="B328" s="9">
        <v>1128.24</v>
      </c>
      <c r="C328" s="20" t="s">
        <v>319</v>
      </c>
      <c r="D328" s="9"/>
      <c r="E328" s="9"/>
    </row>
    <row r="329" spans="1:5" ht="37.5" x14ac:dyDescent="0.25">
      <c r="A329" s="19" t="s">
        <v>304</v>
      </c>
      <c r="B329" s="9">
        <v>377.64299999999997</v>
      </c>
      <c r="C329" s="20" t="s">
        <v>308</v>
      </c>
      <c r="D329" s="9"/>
      <c r="E329" s="9"/>
    </row>
    <row r="330" spans="1:5" x14ac:dyDescent="0.25">
      <c r="A330" s="19" t="s">
        <v>306</v>
      </c>
      <c r="B330" s="15">
        <v>0</v>
      </c>
      <c r="C330" s="20"/>
      <c r="D330" s="9"/>
      <c r="E330" s="9"/>
    </row>
    <row r="331" spans="1:5" ht="50" x14ac:dyDescent="0.25">
      <c r="A331" s="19" t="s">
        <v>305</v>
      </c>
      <c r="B331" s="15">
        <v>3016.38</v>
      </c>
      <c r="C331" s="20" t="s">
        <v>309</v>
      </c>
      <c r="D331" s="9"/>
      <c r="E331" s="9"/>
    </row>
    <row r="332" spans="1:5" x14ac:dyDescent="0.25">
      <c r="A332" s="19" t="s">
        <v>307</v>
      </c>
      <c r="B332" s="15">
        <v>0</v>
      </c>
      <c r="C332" s="9"/>
      <c r="D332" s="9"/>
      <c r="E332" s="9"/>
    </row>
    <row r="333" spans="1:5" x14ac:dyDescent="0.25">
      <c r="A333" s="9"/>
      <c r="B333" s="9"/>
      <c r="C333" s="9"/>
      <c r="D333" s="9"/>
      <c r="E333" s="9"/>
    </row>
    <row r="334" spans="1:5" ht="13" x14ac:dyDescent="0.3">
      <c r="A334" s="10" t="s">
        <v>299</v>
      </c>
      <c r="B334" s="7">
        <f>SUM(B328:B333)</f>
        <v>4522.2629999999999</v>
      </c>
      <c r="C334" s="7"/>
      <c r="D334" s="7"/>
      <c r="E334" s="7"/>
    </row>
    <row r="335" spans="1:5" ht="13" x14ac:dyDescent="0.3">
      <c r="A335" s="10" t="s">
        <v>302</v>
      </c>
      <c r="B335" s="7">
        <f>B328</f>
        <v>1128.24</v>
      </c>
      <c r="C335" s="7"/>
      <c r="D335" s="7"/>
      <c r="E335" s="7"/>
    </row>
    <row r="336" spans="1:5" ht="13" x14ac:dyDescent="0.3">
      <c r="A336" s="10"/>
      <c r="B336" s="7"/>
      <c r="C336" s="7"/>
      <c r="D336" s="7"/>
      <c r="E336" s="7"/>
    </row>
    <row r="337" spans="1:5" ht="13" x14ac:dyDescent="0.3">
      <c r="A337" s="8" t="s">
        <v>251</v>
      </c>
      <c r="B337" s="8" t="s">
        <v>66</v>
      </c>
      <c r="C337" s="8" t="s">
        <v>67</v>
      </c>
      <c r="D337" s="7"/>
      <c r="E337" s="7"/>
    </row>
    <row r="338" spans="1:5" x14ac:dyDescent="0.25">
      <c r="A338" s="19" t="s">
        <v>243</v>
      </c>
      <c r="B338" s="9">
        <v>12709.65</v>
      </c>
      <c r="C338" s="23"/>
      <c r="D338" s="9"/>
      <c r="E338" s="9"/>
    </row>
    <row r="339" spans="1:5" x14ac:dyDescent="0.25">
      <c r="A339" s="9" t="s">
        <v>244</v>
      </c>
      <c r="B339" s="9">
        <v>3124.66</v>
      </c>
      <c r="C339" s="9"/>
      <c r="D339" s="9"/>
      <c r="E339" s="9"/>
    </row>
    <row r="340" spans="1:5" x14ac:dyDescent="0.25">
      <c r="A340" s="9" t="s">
        <v>253</v>
      </c>
      <c r="B340" s="15">
        <v>7362.12</v>
      </c>
      <c r="C340" s="9"/>
      <c r="D340" s="9"/>
      <c r="E340" s="9"/>
    </row>
    <row r="341" spans="1:5" x14ac:dyDescent="0.25">
      <c r="A341" s="9" t="s">
        <v>316</v>
      </c>
      <c r="B341" s="15">
        <v>1705.8</v>
      </c>
      <c r="C341" s="9"/>
      <c r="D341" s="9"/>
      <c r="E341" s="9"/>
    </row>
    <row r="342" spans="1:5" x14ac:dyDescent="0.25">
      <c r="A342" s="9"/>
      <c r="B342" s="9"/>
      <c r="C342" s="9"/>
      <c r="D342" s="9"/>
      <c r="E342" s="9"/>
    </row>
    <row r="343" spans="1:5" ht="13" x14ac:dyDescent="0.3">
      <c r="A343" s="10" t="s">
        <v>256</v>
      </c>
      <c r="B343" s="7">
        <f>SUM(B338:B342)</f>
        <v>24902.23</v>
      </c>
      <c r="C343" s="7"/>
      <c r="D343" s="7"/>
      <c r="E343" s="7"/>
    </row>
    <row r="344" spans="1:5" ht="13" x14ac:dyDescent="0.3">
      <c r="A344" s="31" t="s">
        <v>257</v>
      </c>
      <c r="B344" s="30">
        <v>20000</v>
      </c>
      <c r="C344" s="30"/>
      <c r="D344" s="30"/>
      <c r="E344" s="30"/>
    </row>
    <row r="345" spans="1:5" ht="13" x14ac:dyDescent="0.3">
      <c r="A345" s="31" t="s">
        <v>297</v>
      </c>
      <c r="B345" s="30">
        <f>B338+B344</f>
        <v>32709.65</v>
      </c>
      <c r="C345" s="30"/>
      <c r="D345" s="30"/>
      <c r="E345" s="30"/>
    </row>
    <row r="346" spans="1:5" ht="13" x14ac:dyDescent="0.3">
      <c r="A346" s="31" t="s">
        <v>300</v>
      </c>
      <c r="B346" s="30">
        <f>B343+B334</f>
        <v>29424.492999999999</v>
      </c>
      <c r="C346" s="30" t="s">
        <v>312</v>
      </c>
      <c r="D346" s="30"/>
      <c r="E346" s="30"/>
    </row>
    <row r="347" spans="1:5" ht="13" x14ac:dyDescent="0.3">
      <c r="A347" s="31" t="s">
        <v>301</v>
      </c>
      <c r="B347" s="30">
        <f>B343+B335</f>
        <v>26030.47</v>
      </c>
      <c r="C347" s="30" t="s">
        <v>312</v>
      </c>
      <c r="D347" s="30"/>
      <c r="E347" s="30"/>
    </row>
    <row r="348" spans="1:5" x14ac:dyDescent="0.25">
      <c r="A348" s="7"/>
      <c r="B348" s="7"/>
      <c r="C348" s="7"/>
      <c r="D348" s="7"/>
      <c r="E348" s="7"/>
    </row>
    <row r="349" spans="1:5" ht="13" x14ac:dyDescent="0.3">
      <c r="A349" s="5" t="s">
        <v>255</v>
      </c>
      <c r="B349" s="7"/>
      <c r="C349" s="7"/>
      <c r="D349" s="7"/>
      <c r="E349" s="7"/>
    </row>
    <row r="350" spans="1:5" ht="13" x14ac:dyDescent="0.3">
      <c r="A350" s="8" t="s">
        <v>94</v>
      </c>
      <c r="B350" s="8" t="s">
        <v>66</v>
      </c>
      <c r="C350" s="8" t="s">
        <v>67</v>
      </c>
      <c r="D350" s="7"/>
      <c r="E350" s="7"/>
    </row>
    <row r="351" spans="1:5" x14ac:dyDescent="0.25">
      <c r="A351" s="9" t="s">
        <v>90</v>
      </c>
      <c r="B351" s="15">
        <v>59193.24</v>
      </c>
      <c r="C351" s="9"/>
      <c r="D351" s="9"/>
      <c r="E351" s="9"/>
    </row>
    <row r="352" spans="1:5" x14ac:dyDescent="0.25">
      <c r="A352" s="9" t="s">
        <v>91</v>
      </c>
      <c r="B352" s="9">
        <v>10374.09</v>
      </c>
      <c r="C352" s="9"/>
      <c r="D352" s="9"/>
      <c r="E352" s="9"/>
    </row>
    <row r="353" spans="1:5" x14ac:dyDescent="0.25">
      <c r="A353" s="9" t="s">
        <v>92</v>
      </c>
      <c r="B353" s="9">
        <v>0</v>
      </c>
      <c r="C353" s="28">
        <v>0</v>
      </c>
      <c r="D353" s="9"/>
      <c r="E353" s="9"/>
    </row>
    <row r="354" spans="1:5" x14ac:dyDescent="0.25">
      <c r="A354" s="9" t="s">
        <v>93</v>
      </c>
      <c r="B354" s="9">
        <v>35031.160000000003</v>
      </c>
      <c r="C354" s="28" t="s">
        <v>247</v>
      </c>
      <c r="D354" s="9"/>
      <c r="E354" s="9"/>
    </row>
    <row r="355" spans="1:5" x14ac:dyDescent="0.25">
      <c r="A355" s="9" t="s">
        <v>250</v>
      </c>
      <c r="B355" s="9">
        <v>40000</v>
      </c>
      <c r="C355" s="28"/>
      <c r="D355" s="9"/>
      <c r="E355" s="9"/>
    </row>
    <row r="356" spans="1:5" x14ac:dyDescent="0.25">
      <c r="A356" s="9" t="s">
        <v>122</v>
      </c>
      <c r="B356" s="28">
        <v>180</v>
      </c>
      <c r="C356" s="25"/>
      <c r="D356" s="9"/>
      <c r="E356" s="9"/>
    </row>
    <row r="357" spans="1:5" x14ac:dyDescent="0.25">
      <c r="A357" s="9" t="s">
        <v>228</v>
      </c>
      <c r="B357" s="28">
        <v>0</v>
      </c>
      <c r="C357" s="28"/>
      <c r="D357" s="9"/>
      <c r="E357" s="9"/>
    </row>
    <row r="358" spans="1:5" ht="13" x14ac:dyDescent="0.3">
      <c r="A358" s="10" t="s">
        <v>254</v>
      </c>
      <c r="B358" s="35">
        <f>SUM(B351:B357)</f>
        <v>144778.49</v>
      </c>
      <c r="C358" s="7"/>
      <c r="D358" s="7"/>
      <c r="E358" s="7"/>
    </row>
    <row r="359" spans="1:5" x14ac:dyDescent="0.25">
      <c r="A359" s="7"/>
      <c r="B359" s="7"/>
      <c r="C359" s="7"/>
      <c r="D359" s="7"/>
      <c r="E359" s="7"/>
    </row>
    <row r="360" spans="1:5" ht="13" x14ac:dyDescent="0.3">
      <c r="A360" s="5" t="s">
        <v>99</v>
      </c>
      <c r="B360" s="7">
        <f xml:space="preserve"> B343+B325-B304</f>
        <v>-11522.073000000004</v>
      </c>
      <c r="C360" s="7"/>
      <c r="D360" s="7"/>
      <c r="E360" s="7"/>
    </row>
    <row r="361" spans="1:5" ht="13" x14ac:dyDescent="0.3">
      <c r="A361" s="32" t="s">
        <v>260</v>
      </c>
      <c r="B361" s="30">
        <f xml:space="preserve"> B345+B325-B304</f>
        <v>-3714.6530000000012</v>
      </c>
      <c r="C361" s="30"/>
      <c r="D361" s="30"/>
      <c r="E361" s="30"/>
    </row>
    <row r="362" spans="1:5" ht="13" x14ac:dyDescent="0.3">
      <c r="A362" s="5" t="s">
        <v>100</v>
      </c>
      <c r="B362" s="38">
        <f>SUM(B358,B360)</f>
        <v>133256.41699999999</v>
      </c>
      <c r="C362" s="21"/>
      <c r="D362" s="7"/>
      <c r="E362" s="7"/>
    </row>
    <row r="363" spans="1:5" ht="13" x14ac:dyDescent="0.3">
      <c r="A363" s="32" t="s">
        <v>259</v>
      </c>
      <c r="B363" s="38">
        <f>SUM(B358,B361)</f>
        <v>141063.837</v>
      </c>
      <c r="C363" s="33"/>
      <c r="D363" s="30"/>
      <c r="E363" s="30"/>
    </row>
    <row r="364" spans="1:5" ht="13" x14ac:dyDescent="0.3">
      <c r="A364" s="32" t="s">
        <v>261</v>
      </c>
      <c r="B364" s="30">
        <v>17000</v>
      </c>
      <c r="C364" s="33"/>
      <c r="D364" s="30"/>
      <c r="E364" s="30"/>
    </row>
    <row r="365" spans="1:5" ht="13" x14ac:dyDescent="0.3">
      <c r="A365" s="32" t="s">
        <v>262</v>
      </c>
      <c r="B365" s="30">
        <v>2000</v>
      </c>
      <c r="C365" s="33"/>
      <c r="D365" s="30"/>
      <c r="E365" s="30"/>
    </row>
    <row r="366" spans="1:5" ht="13" x14ac:dyDescent="0.3">
      <c r="A366" s="32" t="s">
        <v>263</v>
      </c>
      <c r="B366" s="30">
        <v>0</v>
      </c>
      <c r="C366" s="33" t="s">
        <v>264</v>
      </c>
      <c r="D366" s="30"/>
      <c r="E366" s="30"/>
    </row>
    <row r="367" spans="1:5" ht="13" x14ac:dyDescent="0.3">
      <c r="A367" s="32" t="s">
        <v>265</v>
      </c>
      <c r="B367" s="38">
        <f>SUM(B362,B364:B366)</f>
        <v>152256.41699999999</v>
      </c>
      <c r="C367" s="37" t="s">
        <v>311</v>
      </c>
      <c r="D367" s="30"/>
      <c r="E367" s="30"/>
    </row>
    <row r="368" spans="1:5" ht="26" x14ac:dyDescent="0.3">
      <c r="A368" s="34" t="s">
        <v>266</v>
      </c>
      <c r="B368" s="38">
        <f>SUM(B363,B364:B366)</f>
        <v>160063.837</v>
      </c>
      <c r="C368" s="33"/>
      <c r="D368" s="30"/>
      <c r="E368" s="30"/>
    </row>
    <row r="369" spans="1:5" ht="13" x14ac:dyDescent="0.3">
      <c r="A369" s="34" t="s">
        <v>293</v>
      </c>
      <c r="B369" s="38">
        <f>B362-B299-B300-B354-B355</f>
        <v>47403.826999999976</v>
      </c>
      <c r="C369" s="33"/>
      <c r="D369" s="30"/>
      <c r="E369" s="30"/>
    </row>
    <row r="370" spans="1:5" ht="26" x14ac:dyDescent="0.3">
      <c r="A370" s="34" t="s">
        <v>294</v>
      </c>
      <c r="B370" s="38">
        <f>B363-B299-B300-B354-B355</f>
        <v>55211.246999999988</v>
      </c>
      <c r="C370" s="33"/>
      <c r="D370" s="30"/>
      <c r="E370" s="30"/>
    </row>
    <row r="371" spans="1:5" ht="26" x14ac:dyDescent="0.3">
      <c r="A371" s="34" t="s">
        <v>291</v>
      </c>
      <c r="B371" s="38">
        <f>B367-B299-B300-B354-B355</f>
        <v>66403.82699999999</v>
      </c>
      <c r="C371" s="33"/>
      <c r="D371" s="30"/>
      <c r="E371" s="30"/>
    </row>
    <row r="372" spans="1:5" ht="39" x14ac:dyDescent="0.3">
      <c r="A372" s="34" t="s">
        <v>292</v>
      </c>
      <c r="B372" s="38">
        <f>B368-B299-B300-B354-B355</f>
        <v>74211.247000000003</v>
      </c>
      <c r="C372" s="33"/>
      <c r="D372" s="30"/>
      <c r="E372" s="30"/>
    </row>
    <row r="373" spans="1:5" ht="13" x14ac:dyDescent="0.3">
      <c r="A373" s="34" t="s">
        <v>313</v>
      </c>
      <c r="B373" s="38">
        <f>B367-B299-B300</f>
        <v>141434.98699999999</v>
      </c>
      <c r="C373" s="37" t="s">
        <v>315</v>
      </c>
      <c r="D373" s="30"/>
      <c r="E373" s="30"/>
    </row>
    <row r="374" spans="1:5" ht="26" x14ac:dyDescent="0.3">
      <c r="A374" s="34" t="s">
        <v>314</v>
      </c>
      <c r="B374" s="38">
        <f>B368-B299-B300</f>
        <v>149242.40700000001</v>
      </c>
      <c r="C374" s="33"/>
      <c r="D374" s="30"/>
      <c r="E374" s="30"/>
    </row>
    <row r="375" spans="1:5" ht="13" x14ac:dyDescent="0.3">
      <c r="A375" s="5" t="s">
        <v>108</v>
      </c>
      <c r="B375" s="7">
        <v>16493.8</v>
      </c>
      <c r="C375" s="29" t="s">
        <v>249</v>
      </c>
      <c r="D375" s="7"/>
      <c r="E375" s="7"/>
    </row>
    <row r="376" spans="1:5" ht="100.5" x14ac:dyDescent="0.3">
      <c r="A376" s="5" t="s">
        <v>110</v>
      </c>
      <c r="B376" s="7">
        <f xml:space="preserve"> B362 - B375</f>
        <v>116762.61699999998</v>
      </c>
      <c r="C376" s="22" t="s">
        <v>197</v>
      </c>
      <c r="D376" s="7"/>
      <c r="E376" s="7"/>
    </row>
  </sheetData>
  <mergeCells count="4">
    <mergeCell ref="A136:E138"/>
    <mergeCell ref="B139:D139"/>
    <mergeCell ref="A265:E267"/>
    <mergeCell ref="B268:D268"/>
  </mergeCells>
  <dataValidations count="12">
    <dataValidation type="list" allowBlank="1" showInputMessage="1" showErrorMessage="1" sqref="A201:A205 A298:A301" xr:uid="{00000000-0002-0000-0D00-000000000000}">
      <formula1>$A$85:$A$94</formula1>
    </dataValidation>
    <dataValidation type="list" allowBlank="1" showInputMessage="1" showErrorMessage="1" sqref="A313:A314 A217:A218" xr:uid="{00000000-0002-0000-0D00-000001000000}">
      <formula1>$A$108:$A$112</formula1>
    </dataValidation>
    <dataValidation type="list" allowBlank="1" showInputMessage="1" showErrorMessage="1" sqref="A338:A342 A333 A231:A234" xr:uid="{00000000-0002-0000-0D00-000002000000}">
      <formula1>$A$124:$A$127</formula1>
    </dataValidation>
    <dataValidation type="list" allowBlank="1" showInputMessage="1" showErrorMessage="1" sqref="A145:A177 A274:A283" xr:uid="{00000000-0002-0000-0D00-000003000000}">
      <formula1>$A$3:$A$36</formula1>
    </dataValidation>
    <dataValidation type="date" operator="greaterThan" allowBlank="1" showInputMessage="1" showErrorMessage="1" sqref="B140 B269" xr:uid="{00000000-0002-0000-0D00-000004000000}">
      <formula1>41275</formula1>
    </dataValidation>
    <dataValidation type="time" operator="greaterThan" allowBlank="1" showInputMessage="1" showErrorMessage="1" sqref="B141 B270" xr:uid="{00000000-0002-0000-0D00-000005000000}">
      <formula1>0</formula1>
    </dataValidation>
    <dataValidation type="list" allowBlank="1" showInputMessage="1" showErrorMessage="1" sqref="A318:A322 A222:A225" xr:uid="{00000000-0002-0000-0D00-000006000000}">
      <formula1>$A$97:$A$101</formula1>
    </dataValidation>
    <dataValidation type="list" allowBlank="1" showInputMessage="1" showErrorMessage="1" sqref="A287:A288 A182:A185" xr:uid="{00000000-0002-0000-0D00-000007000000}">
      <formula1>$A$39:$A$48</formula1>
    </dataValidation>
    <dataValidation type="list" allowBlank="1" showInputMessage="1" showErrorMessage="1" sqref="A292:A294 A189:A197" xr:uid="{00000000-0002-0000-0D00-000008000000}">
      <formula1>$A$51:$A$82</formula1>
    </dataValidation>
    <dataValidation type="list" allowBlank="1" showInputMessage="1" showErrorMessage="1" sqref="A308:A309 A212:A213" xr:uid="{00000000-0002-0000-0D00-000009000000}">
      <formula1>$A$104:$A$105</formula1>
    </dataValidation>
    <dataValidation type="list" allowBlank="1" showInputMessage="1" showErrorMessage="1" sqref="A351:A357 A241:A247" xr:uid="{00000000-0002-0000-0D00-00000A000000}">
      <formula1>$A$115:$A$121</formula1>
    </dataValidation>
    <dataValidation type="list" allowBlank="1" showInputMessage="1" showErrorMessage="1" sqref="A328:A332" xr:uid="{00000000-0002-0000-0D00-00000B000000}">
      <formula1>$A$130:$A$134</formula1>
    </dataValidation>
  </dataValidations>
  <pageMargins left="0.75" right="0.75" top="1" bottom="1" header="0.3" footer="0.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81"/>
  <sheetViews>
    <sheetView topLeftCell="A337" workbookViewId="0">
      <selection activeCell="B381" sqref="B381"/>
    </sheetView>
  </sheetViews>
  <sheetFormatPr defaultColWidth="8.81640625" defaultRowHeight="12.5" x14ac:dyDescent="0.25"/>
  <cols>
    <col min="1" max="1" width="67.08984375" bestFit="1" customWidth="1"/>
    <col min="2" max="2" width="17.453125" customWidth="1"/>
    <col min="3" max="3" width="72"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322</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355</v>
      </c>
      <c r="C20">
        <v>2707.96</v>
      </c>
    </row>
    <row r="21" spans="1:3" x14ac:dyDescent="0.25">
      <c r="A21" t="s">
        <v>15</v>
      </c>
      <c r="C21">
        <v>150</v>
      </c>
    </row>
    <row r="22" spans="1:3" x14ac:dyDescent="0.25">
      <c r="A22" t="s">
        <v>9</v>
      </c>
      <c r="B22">
        <v>600</v>
      </c>
    </row>
    <row r="23" spans="1:3" x14ac:dyDescent="0.25">
      <c r="A23" t="s">
        <v>28</v>
      </c>
      <c r="C23">
        <v>50</v>
      </c>
    </row>
    <row r="24" spans="1:3" x14ac:dyDescent="0.25">
      <c r="A24" t="s">
        <v>153</v>
      </c>
      <c r="C24">
        <v>40</v>
      </c>
    </row>
    <row r="25" spans="1:3" x14ac:dyDescent="0.25">
      <c r="A25" t="s">
        <v>32</v>
      </c>
      <c r="C25">
        <v>100</v>
      </c>
    </row>
    <row r="26" spans="1:3" x14ac:dyDescent="0.25">
      <c r="A26" t="s">
        <v>33</v>
      </c>
      <c r="C26">
        <v>100</v>
      </c>
    </row>
    <row r="27" spans="1:3" x14ac:dyDescent="0.25">
      <c r="A27" t="s">
        <v>34</v>
      </c>
      <c r="C27">
        <v>0</v>
      </c>
    </row>
    <row r="28" spans="1:3" x14ac:dyDescent="0.25">
      <c r="A28" t="s">
        <v>35</v>
      </c>
      <c r="C28">
        <v>150</v>
      </c>
    </row>
    <row r="29" spans="1:3" x14ac:dyDescent="0.25">
      <c r="A29" t="s">
        <v>39</v>
      </c>
      <c r="C29">
        <v>100</v>
      </c>
    </row>
    <row r="30" spans="1:3" x14ac:dyDescent="0.25">
      <c r="A30" t="s">
        <v>42</v>
      </c>
      <c r="C30">
        <v>250</v>
      </c>
    </row>
    <row r="31" spans="1:3" x14ac:dyDescent="0.25">
      <c r="A31" t="s">
        <v>272</v>
      </c>
      <c r="C31">
        <v>2481.16</v>
      </c>
    </row>
    <row r="32" spans="1:3" x14ac:dyDescent="0.25">
      <c r="A32" t="s">
        <v>273</v>
      </c>
      <c r="C32">
        <v>243</v>
      </c>
    </row>
    <row r="33" spans="1:3" x14ac:dyDescent="0.25">
      <c r="A33" t="s">
        <v>379</v>
      </c>
      <c r="C33">
        <v>75</v>
      </c>
    </row>
    <row r="34" spans="1:3" x14ac:dyDescent="0.25">
      <c r="A34" t="s">
        <v>49</v>
      </c>
      <c r="C34">
        <v>80</v>
      </c>
    </row>
    <row r="35" spans="1:3" x14ac:dyDescent="0.25">
      <c r="A35" t="s">
        <v>281</v>
      </c>
      <c r="C35">
        <v>150</v>
      </c>
    </row>
    <row r="36" spans="1:3" x14ac:dyDescent="0.25">
      <c r="A36" t="s">
        <v>280</v>
      </c>
      <c r="C36">
        <v>100</v>
      </c>
    </row>
    <row r="37" spans="1:3" x14ac:dyDescent="0.25">
      <c r="A37" t="s">
        <v>151</v>
      </c>
    </row>
    <row r="38" spans="1:3" x14ac:dyDescent="0.25">
      <c r="A38" t="s">
        <v>358</v>
      </c>
    </row>
    <row r="40" spans="1:3" ht="13" x14ac:dyDescent="0.3">
      <c r="A40" s="1" t="s">
        <v>31</v>
      </c>
    </row>
    <row r="41" spans="1:3" x14ac:dyDescent="0.25">
      <c r="A41" t="s">
        <v>25</v>
      </c>
    </row>
    <row r="42" spans="1:3" x14ac:dyDescent="0.25">
      <c r="A42" t="s">
        <v>19</v>
      </c>
    </row>
    <row r="43" spans="1:3" x14ac:dyDescent="0.25">
      <c r="A43" t="s">
        <v>18</v>
      </c>
    </row>
    <row r="44" spans="1:3" x14ac:dyDescent="0.25">
      <c r="A44" t="s">
        <v>20</v>
      </c>
    </row>
    <row r="45" spans="1:3" x14ac:dyDescent="0.25">
      <c r="A45" t="s">
        <v>189</v>
      </c>
    </row>
    <row r="46" spans="1:3" x14ac:dyDescent="0.25">
      <c r="A46" t="s">
        <v>21</v>
      </c>
    </row>
    <row r="47" spans="1:3" x14ac:dyDescent="0.25">
      <c r="A47" t="s">
        <v>175</v>
      </c>
    </row>
    <row r="48" spans="1:3" x14ac:dyDescent="0.25">
      <c r="A48" t="s">
        <v>173</v>
      </c>
    </row>
    <row r="49" spans="1:1" x14ac:dyDescent="0.25">
      <c r="A49" t="s">
        <v>27</v>
      </c>
    </row>
    <row r="50" spans="1:1" x14ac:dyDescent="0.25">
      <c r="A50" t="s">
        <v>36</v>
      </c>
    </row>
    <row r="52" spans="1:1" ht="13" x14ac:dyDescent="0.3">
      <c r="A52" s="1" t="s">
        <v>82</v>
      </c>
    </row>
    <row r="53" spans="1:1" x14ac:dyDescent="0.25">
      <c r="A53" t="s">
        <v>40</v>
      </c>
    </row>
    <row r="54" spans="1:1" x14ac:dyDescent="0.25">
      <c r="A54" t="s">
        <v>160</v>
      </c>
    </row>
    <row r="55" spans="1:1" x14ac:dyDescent="0.25">
      <c r="A55" t="s">
        <v>41</v>
      </c>
    </row>
    <row r="56" spans="1:1" x14ac:dyDescent="0.25">
      <c r="A56" t="s">
        <v>43</v>
      </c>
    </row>
    <row r="57" spans="1:1" x14ac:dyDescent="0.25">
      <c r="A57" t="s">
        <v>44</v>
      </c>
    </row>
    <row r="58" spans="1:1" x14ac:dyDescent="0.25">
      <c r="A58" t="s">
        <v>45</v>
      </c>
    </row>
    <row r="59" spans="1:1" x14ac:dyDescent="0.25">
      <c r="A59" t="s">
        <v>46</v>
      </c>
    </row>
    <row r="60" spans="1:1" x14ac:dyDescent="0.25">
      <c r="A60" t="s">
        <v>47</v>
      </c>
    </row>
    <row r="61" spans="1:1" x14ac:dyDescent="0.25">
      <c r="A61" t="s">
        <v>48</v>
      </c>
    </row>
    <row r="62" spans="1:1" x14ac:dyDescent="0.25">
      <c r="A62" t="s">
        <v>50</v>
      </c>
    </row>
    <row r="63" spans="1:1" x14ac:dyDescent="0.25">
      <c r="A63" t="s">
        <v>51</v>
      </c>
    </row>
    <row r="64" spans="1:1" x14ac:dyDescent="0.25">
      <c r="A64" t="s">
        <v>52</v>
      </c>
    </row>
    <row r="65" spans="1:1" x14ac:dyDescent="0.25">
      <c r="A65" s="27" t="s">
        <v>231</v>
      </c>
    </row>
    <row r="66" spans="1:1" x14ac:dyDescent="0.25">
      <c r="A66" s="27" t="s">
        <v>230</v>
      </c>
    </row>
    <row r="67" spans="1:1" x14ac:dyDescent="0.25">
      <c r="A67" t="s">
        <v>53</v>
      </c>
    </row>
    <row r="68" spans="1:1" x14ac:dyDescent="0.25">
      <c r="A68" t="s">
        <v>54</v>
      </c>
    </row>
    <row r="69" spans="1:1" x14ac:dyDescent="0.25">
      <c r="A69" t="s">
        <v>55</v>
      </c>
    </row>
    <row r="70" spans="1:1" x14ac:dyDescent="0.25">
      <c r="A70" t="s">
        <v>56</v>
      </c>
    </row>
    <row r="71" spans="1:1" x14ac:dyDescent="0.25">
      <c r="A71"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81</v>
      </c>
    </row>
    <row r="78" spans="1:1" x14ac:dyDescent="0.25">
      <c r="A78" t="s">
        <v>63</v>
      </c>
    </row>
    <row r="79" spans="1:1" x14ac:dyDescent="0.25">
      <c r="A79" t="s">
        <v>64</v>
      </c>
    </row>
    <row r="80" spans="1:1" x14ac:dyDescent="0.25">
      <c r="A80" s="27" t="s">
        <v>240</v>
      </c>
    </row>
    <row r="81" spans="1:1" x14ac:dyDescent="0.25">
      <c r="A81" t="s">
        <v>161</v>
      </c>
    </row>
    <row r="82" spans="1:1" x14ac:dyDescent="0.25">
      <c r="A82" t="s">
        <v>177</v>
      </c>
    </row>
    <row r="83" spans="1:1" x14ac:dyDescent="0.25">
      <c r="A83" s="27" t="s">
        <v>202</v>
      </c>
    </row>
    <row r="84" spans="1:1" x14ac:dyDescent="0.25">
      <c r="A84" t="s">
        <v>150</v>
      </c>
    </row>
    <row r="86" spans="1:1" ht="13" x14ac:dyDescent="0.3">
      <c r="A86" s="1" t="s">
        <v>85</v>
      </c>
    </row>
    <row r="87" spans="1:1" x14ac:dyDescent="0.25">
      <c r="A87" t="s">
        <v>23</v>
      </c>
    </row>
    <row r="88" spans="1:1" x14ac:dyDescent="0.25">
      <c r="A88" t="s">
        <v>24</v>
      </c>
    </row>
    <row r="89" spans="1:1" x14ac:dyDescent="0.25">
      <c r="A89" t="s">
        <v>29</v>
      </c>
    </row>
    <row r="90" spans="1:1" x14ac:dyDescent="0.25">
      <c r="A90" t="s">
        <v>296</v>
      </c>
    </row>
    <row r="91" spans="1:1" x14ac:dyDescent="0.25">
      <c r="A91" t="s">
        <v>137</v>
      </c>
    </row>
    <row r="92" spans="1:1" x14ac:dyDescent="0.25">
      <c r="A92" t="s">
        <v>104</v>
      </c>
    </row>
    <row r="93" spans="1:1" x14ac:dyDescent="0.25">
      <c r="A93" t="s">
        <v>155</v>
      </c>
    </row>
    <row r="94" spans="1:1" x14ac:dyDescent="0.25">
      <c r="A94" t="s">
        <v>162</v>
      </c>
    </row>
    <row r="95" spans="1:1" x14ac:dyDescent="0.25">
      <c r="A95" t="s">
        <v>245</v>
      </c>
    </row>
    <row r="96" spans="1:1" x14ac:dyDescent="0.25">
      <c r="A96" t="s">
        <v>30</v>
      </c>
    </row>
    <row r="98" spans="1:1" ht="13" x14ac:dyDescent="0.3">
      <c r="A98" s="1" t="s">
        <v>86</v>
      </c>
    </row>
    <row r="99" spans="1:1" x14ac:dyDescent="0.25">
      <c r="A99" s="27" t="s">
        <v>209</v>
      </c>
    </row>
    <row r="100" spans="1:1" x14ac:dyDescent="0.25">
      <c r="A100" s="27" t="s">
        <v>248</v>
      </c>
    </row>
    <row r="101" spans="1:1" x14ac:dyDescent="0.25">
      <c r="A101" s="27" t="s">
        <v>282</v>
      </c>
    </row>
    <row r="102" spans="1:1" x14ac:dyDescent="0.25">
      <c r="A102" t="s">
        <v>157</v>
      </c>
    </row>
    <row r="103" spans="1:1" x14ac:dyDescent="0.25">
      <c r="A103" t="s">
        <v>72</v>
      </c>
    </row>
    <row r="105" spans="1:1" ht="13" x14ac:dyDescent="0.3">
      <c r="A105" s="1" t="s">
        <v>75</v>
      </c>
    </row>
    <row r="106" spans="1:1" x14ac:dyDescent="0.25">
      <c r="A106" t="s">
        <v>74</v>
      </c>
    </row>
    <row r="107" spans="1:1" x14ac:dyDescent="0.25">
      <c r="A107" t="s">
        <v>83</v>
      </c>
    </row>
    <row r="109" spans="1:1" ht="13" x14ac:dyDescent="0.3">
      <c r="A109" s="1" t="s">
        <v>76</v>
      </c>
    </row>
    <row r="110" spans="1:1" x14ac:dyDescent="0.25">
      <c r="A110" t="s">
        <v>77</v>
      </c>
    </row>
    <row r="111" spans="1:1" x14ac:dyDescent="0.25">
      <c r="A111" t="s">
        <v>78</v>
      </c>
    </row>
    <row r="112" spans="1:1" x14ac:dyDescent="0.25">
      <c r="A112" t="s">
        <v>242</v>
      </c>
    </row>
    <row r="113" spans="1:1" x14ac:dyDescent="0.25">
      <c r="A113" t="s">
        <v>79</v>
      </c>
    </row>
    <row r="114" spans="1:1" x14ac:dyDescent="0.25">
      <c r="A114" t="s">
        <v>80</v>
      </c>
    </row>
    <row r="116" spans="1:1" ht="13" x14ac:dyDescent="0.3">
      <c r="A116" s="1" t="s">
        <v>89</v>
      </c>
    </row>
    <row r="117" spans="1:1" x14ac:dyDescent="0.25">
      <c r="A117" t="s">
        <v>90</v>
      </c>
    </row>
    <row r="118" spans="1:1" x14ac:dyDescent="0.25">
      <c r="A118" t="s">
        <v>91</v>
      </c>
    </row>
    <row r="119" spans="1:1" x14ac:dyDescent="0.25">
      <c r="A119" t="s">
        <v>92</v>
      </c>
    </row>
    <row r="120" spans="1:1" x14ac:dyDescent="0.25">
      <c r="A120" t="s">
        <v>122</v>
      </c>
    </row>
    <row r="121" spans="1:1" x14ac:dyDescent="0.25">
      <c r="A121" s="27" t="s">
        <v>228</v>
      </c>
    </row>
    <row r="122" spans="1:1" x14ac:dyDescent="0.25">
      <c r="A122" s="27" t="s">
        <v>250</v>
      </c>
    </row>
    <row r="123" spans="1:1" x14ac:dyDescent="0.25">
      <c r="A123" t="s">
        <v>93</v>
      </c>
    </row>
    <row r="125" spans="1:1" ht="13" x14ac:dyDescent="0.3">
      <c r="A125" s="1" t="s">
        <v>252</v>
      </c>
    </row>
    <row r="126" spans="1:1" x14ac:dyDescent="0.25">
      <c r="A126" t="s">
        <v>244</v>
      </c>
    </row>
    <row r="127" spans="1:1" x14ac:dyDescent="0.25">
      <c r="A127" t="s">
        <v>243</v>
      </c>
    </row>
    <row r="128" spans="1:1" x14ac:dyDescent="0.25">
      <c r="A128" t="s">
        <v>316</v>
      </c>
    </row>
    <row r="129" spans="1:5" x14ac:dyDescent="0.25">
      <c r="A129" s="27" t="s">
        <v>253</v>
      </c>
    </row>
    <row r="130" spans="1:5" x14ac:dyDescent="0.25">
      <c r="A130" s="27"/>
    </row>
    <row r="131" spans="1:5" ht="13" x14ac:dyDescent="0.3">
      <c r="A131" s="1" t="s">
        <v>298</v>
      </c>
    </row>
    <row r="132" spans="1:5" x14ac:dyDescent="0.25">
      <c r="A132" t="s">
        <v>303</v>
      </c>
    </row>
    <row r="133" spans="1:5" x14ac:dyDescent="0.25">
      <c r="A133" t="s">
        <v>304</v>
      </c>
    </row>
    <row r="134" spans="1:5" x14ac:dyDescent="0.25">
      <c r="A134" t="s">
        <v>305</v>
      </c>
    </row>
    <row r="135" spans="1:5" x14ac:dyDescent="0.25">
      <c r="A135" t="s">
        <v>306</v>
      </c>
    </row>
    <row r="136" spans="1:5" x14ac:dyDescent="0.25">
      <c r="A136" s="36" t="s">
        <v>307</v>
      </c>
    </row>
    <row r="138" spans="1:5" x14ac:dyDescent="0.25">
      <c r="A138" s="66"/>
      <c r="B138" s="66"/>
      <c r="C138" s="66"/>
      <c r="D138" s="66"/>
      <c r="E138" s="66"/>
    </row>
    <row r="139" spans="1:5" x14ac:dyDescent="0.25">
      <c r="A139" s="66"/>
      <c r="B139" s="66"/>
      <c r="C139" s="66"/>
      <c r="D139" s="66"/>
      <c r="E139" s="66"/>
    </row>
    <row r="140" spans="1:5" x14ac:dyDescent="0.25">
      <c r="A140" s="67"/>
      <c r="B140" s="67"/>
      <c r="C140" s="67"/>
      <c r="D140" s="67"/>
      <c r="E140" s="67"/>
    </row>
    <row r="141" spans="1:5" ht="13" x14ac:dyDescent="0.3">
      <c r="A141" s="3" t="s">
        <v>324</v>
      </c>
      <c r="B141" s="68" t="s">
        <v>286</v>
      </c>
      <c r="C141" s="68"/>
      <c r="D141" s="68"/>
      <c r="E141" s="4"/>
    </row>
    <row r="142" spans="1:5" ht="13" x14ac:dyDescent="0.3">
      <c r="A142" s="5" t="s">
        <v>95</v>
      </c>
      <c r="B142" s="39">
        <v>42981</v>
      </c>
      <c r="C142" s="6"/>
      <c r="D142" s="6"/>
      <c r="E142" s="7"/>
    </row>
    <row r="143" spans="1:5" ht="13" x14ac:dyDescent="0.3">
      <c r="A143" s="5" t="s">
        <v>102</v>
      </c>
      <c r="B143" s="40">
        <v>0.21597222222222223</v>
      </c>
      <c r="C143" s="6"/>
      <c r="D143" s="6"/>
      <c r="E143" s="7"/>
    </row>
    <row r="144" spans="1:5" ht="13" x14ac:dyDescent="0.3">
      <c r="A144" s="5"/>
      <c r="B144" s="6"/>
      <c r="C144" s="6"/>
      <c r="D144" s="6"/>
      <c r="E144" s="7"/>
    </row>
    <row r="145" spans="1:6" ht="13" x14ac:dyDescent="0.3">
      <c r="A145" s="5" t="s">
        <v>84</v>
      </c>
      <c r="B145" s="6"/>
      <c r="C145" s="6"/>
      <c r="D145" s="6"/>
      <c r="E145" s="7"/>
    </row>
    <row r="146" spans="1:6" ht="13" x14ac:dyDescent="0.3">
      <c r="A146" s="8" t="s">
        <v>0</v>
      </c>
      <c r="B146" s="8" t="s">
        <v>66</v>
      </c>
      <c r="C146" s="5" t="s">
        <v>101</v>
      </c>
      <c r="D146" s="8" t="s">
        <v>67</v>
      </c>
      <c r="E146" s="7"/>
    </row>
    <row r="147" spans="1:6" x14ac:dyDescent="0.25">
      <c r="A147" s="9" t="s">
        <v>1</v>
      </c>
      <c r="B147" s="9">
        <v>2750</v>
      </c>
      <c r="C147" s="9"/>
      <c r="D147" s="20" t="s">
        <v>274</v>
      </c>
      <c r="E147" s="9"/>
      <c r="F147" s="2"/>
    </row>
    <row r="148" spans="1:6" x14ac:dyDescent="0.25">
      <c r="A148" s="9" t="s">
        <v>3</v>
      </c>
      <c r="B148" s="9">
        <v>0</v>
      </c>
      <c r="C148" s="23"/>
      <c r="D148" s="17"/>
      <c r="E148" s="9"/>
      <c r="F148" s="2"/>
    </row>
    <row r="149" spans="1:6" x14ac:dyDescent="0.25">
      <c r="A149" s="9" t="s">
        <v>322</v>
      </c>
      <c r="B149" s="9">
        <v>0</v>
      </c>
      <c r="C149" s="9"/>
      <c r="D149" s="17"/>
      <c r="E149" s="9"/>
      <c r="F149" s="2"/>
    </row>
    <row r="150" spans="1:6" x14ac:dyDescent="0.25">
      <c r="A150" s="9" t="s">
        <v>5</v>
      </c>
      <c r="B150" s="9">
        <v>0</v>
      </c>
      <c r="C150" s="9"/>
      <c r="D150" s="17"/>
      <c r="E150" s="9"/>
      <c r="F150" s="2"/>
    </row>
    <row r="151" spans="1:6" x14ac:dyDescent="0.25">
      <c r="A151" s="9" t="s">
        <v>275</v>
      </c>
      <c r="B151" s="9">
        <v>9</v>
      </c>
      <c r="C151" s="9"/>
      <c r="D151" s="9"/>
      <c r="E151" s="9"/>
      <c r="F151" s="2"/>
    </row>
    <row r="152" spans="1:6" x14ac:dyDescent="0.25">
      <c r="A152" s="9" t="s">
        <v>6</v>
      </c>
      <c r="B152" s="9">
        <v>0</v>
      </c>
      <c r="C152" s="9"/>
      <c r="D152" s="9"/>
      <c r="E152" s="9"/>
      <c r="F152" s="2"/>
    </row>
    <row r="153" spans="1:6" x14ac:dyDescent="0.25">
      <c r="A153" s="9" t="s">
        <v>276</v>
      </c>
      <c r="B153" s="9">
        <v>133</v>
      </c>
      <c r="C153" s="9"/>
      <c r="D153" s="9"/>
      <c r="E153" s="9"/>
      <c r="F153" s="2"/>
    </row>
    <row r="154" spans="1:6" x14ac:dyDescent="0.25">
      <c r="A154" s="9" t="s">
        <v>272</v>
      </c>
      <c r="B154" s="9">
        <v>2707.96</v>
      </c>
      <c r="C154" s="9"/>
      <c r="D154" s="9"/>
      <c r="E154" s="9"/>
      <c r="F154" s="2"/>
    </row>
    <row r="155" spans="1:6" x14ac:dyDescent="0.25">
      <c r="A155" s="9" t="s">
        <v>273</v>
      </c>
      <c r="B155" s="9">
        <v>263</v>
      </c>
      <c r="C155" s="9"/>
      <c r="D155" s="9"/>
      <c r="E155" s="9"/>
      <c r="F155" s="2"/>
    </row>
    <row r="156" spans="1:6" x14ac:dyDescent="0.25">
      <c r="A156" s="9" t="s">
        <v>8</v>
      </c>
      <c r="B156" s="9">
        <v>0</v>
      </c>
      <c r="C156" s="9"/>
      <c r="D156" s="9"/>
      <c r="E156" s="9"/>
      <c r="F156" s="2"/>
    </row>
    <row r="157" spans="1:6" x14ac:dyDescent="0.25">
      <c r="A157" s="9" t="s">
        <v>10</v>
      </c>
      <c r="B157" s="9">
        <v>185</v>
      </c>
      <c r="C157" s="9"/>
      <c r="D157" s="9"/>
      <c r="E157" s="9"/>
      <c r="F157" s="2"/>
    </row>
    <row r="158" spans="1:6" x14ac:dyDescent="0.25">
      <c r="A158" s="9" t="s">
        <v>277</v>
      </c>
      <c r="B158" s="9">
        <v>81</v>
      </c>
      <c r="C158" s="9"/>
      <c r="D158" s="9"/>
      <c r="E158" s="9"/>
      <c r="F158" s="2"/>
    </row>
    <row r="159" spans="1:6" x14ac:dyDescent="0.25">
      <c r="A159" s="9" t="s">
        <v>11</v>
      </c>
      <c r="B159" s="9">
        <v>0</v>
      </c>
      <c r="C159" s="9"/>
      <c r="D159" s="9"/>
      <c r="E159" s="9"/>
      <c r="F159" s="2"/>
    </row>
    <row r="160" spans="1:6" x14ac:dyDescent="0.25">
      <c r="A160" s="9" t="s">
        <v>12</v>
      </c>
      <c r="B160" s="9">
        <v>10</v>
      </c>
      <c r="C160" s="9"/>
      <c r="D160" s="9"/>
      <c r="E160" s="9"/>
      <c r="F160" s="2"/>
    </row>
    <row r="161" spans="1:6" x14ac:dyDescent="0.25">
      <c r="A161" s="9" t="s">
        <v>13</v>
      </c>
      <c r="B161" s="9">
        <v>90</v>
      </c>
      <c r="C161" s="9"/>
      <c r="D161" s="19" t="s">
        <v>278</v>
      </c>
      <c r="E161" s="9"/>
      <c r="F161" s="2"/>
    </row>
    <row r="162" spans="1:6" x14ac:dyDescent="0.25">
      <c r="A162" s="9" t="s">
        <v>17</v>
      </c>
      <c r="B162" s="9">
        <v>87</v>
      </c>
      <c r="C162" s="9"/>
      <c r="D162" s="19" t="s">
        <v>279</v>
      </c>
      <c r="E162" s="9"/>
      <c r="F162" s="2"/>
    </row>
    <row r="163" spans="1:6" x14ac:dyDescent="0.25">
      <c r="A163" s="9" t="s">
        <v>22</v>
      </c>
      <c r="B163" s="9">
        <v>0</v>
      </c>
      <c r="C163" s="9"/>
      <c r="D163" s="9"/>
      <c r="E163" s="9"/>
      <c r="F163" s="2"/>
    </row>
    <row r="164" spans="1:6" x14ac:dyDescent="0.25">
      <c r="A164" s="9" t="s">
        <v>14</v>
      </c>
      <c r="B164" s="9">
        <v>0</v>
      </c>
      <c r="C164" s="9"/>
      <c r="D164" s="9"/>
      <c r="E164" s="9"/>
      <c r="F164" s="2"/>
    </row>
    <row r="165" spans="1:6" x14ac:dyDescent="0.25">
      <c r="A165" s="9" t="s">
        <v>15</v>
      </c>
      <c r="B165" s="9">
        <v>150</v>
      </c>
      <c r="C165" s="9"/>
      <c r="D165" s="17"/>
      <c r="E165" s="9"/>
      <c r="F165" s="2"/>
    </row>
    <row r="166" spans="1:6" ht="25" x14ac:dyDescent="0.25">
      <c r="A166" s="9" t="s">
        <v>9</v>
      </c>
      <c r="B166" s="9">
        <v>0</v>
      </c>
      <c r="C166" s="9"/>
      <c r="D166" s="23" t="s">
        <v>283</v>
      </c>
      <c r="E166" s="9"/>
      <c r="F166" s="2"/>
    </row>
    <row r="167" spans="1:6" x14ac:dyDescent="0.25">
      <c r="A167" s="9" t="s">
        <v>28</v>
      </c>
      <c r="B167" s="9">
        <v>50</v>
      </c>
      <c r="C167" s="9"/>
      <c r="D167" s="17"/>
      <c r="E167" s="9"/>
      <c r="F167" s="2"/>
    </row>
    <row r="168" spans="1:6" x14ac:dyDescent="0.25">
      <c r="A168" s="9" t="s">
        <v>153</v>
      </c>
      <c r="B168" s="9">
        <v>40</v>
      </c>
      <c r="C168" s="9"/>
      <c r="D168" s="17"/>
      <c r="E168" s="9"/>
      <c r="F168" s="2"/>
    </row>
    <row r="169" spans="1:6" x14ac:dyDescent="0.25">
      <c r="A169" s="9" t="s">
        <v>32</v>
      </c>
      <c r="B169" s="9">
        <v>75</v>
      </c>
      <c r="C169" s="9"/>
      <c r="D169" s="9"/>
      <c r="E169" s="9"/>
      <c r="F169" s="2"/>
    </row>
    <row r="170" spans="1:6" x14ac:dyDescent="0.25">
      <c r="A170" s="9" t="s">
        <v>33</v>
      </c>
      <c r="B170" s="9">
        <v>75</v>
      </c>
      <c r="C170" s="9"/>
      <c r="D170" s="9"/>
      <c r="E170" s="9"/>
      <c r="F170" s="2"/>
    </row>
    <row r="171" spans="1:6" x14ac:dyDescent="0.25">
      <c r="A171" s="9" t="s">
        <v>34</v>
      </c>
      <c r="B171" s="9">
        <v>0</v>
      </c>
      <c r="C171" s="9"/>
      <c r="D171" s="9"/>
      <c r="E171" s="9"/>
      <c r="F171" s="2"/>
    </row>
    <row r="172" spans="1:6" x14ac:dyDescent="0.25">
      <c r="A172" s="9" t="s">
        <v>35</v>
      </c>
      <c r="B172" s="9">
        <v>150</v>
      </c>
      <c r="C172" s="9"/>
      <c r="D172" s="9"/>
      <c r="E172" s="9"/>
      <c r="F172" s="2"/>
    </row>
    <row r="173" spans="1:6" x14ac:dyDescent="0.25">
      <c r="A173" s="9" t="s">
        <v>39</v>
      </c>
      <c r="B173" s="9">
        <v>400</v>
      </c>
      <c r="C173" s="9"/>
      <c r="D173" s="19" t="s">
        <v>271</v>
      </c>
      <c r="E173" s="9"/>
      <c r="F173" s="2"/>
    </row>
    <row r="174" spans="1:6" x14ac:dyDescent="0.25">
      <c r="A174" s="9" t="s">
        <v>42</v>
      </c>
      <c r="B174" s="9">
        <v>250</v>
      </c>
      <c r="C174" s="9"/>
      <c r="D174" s="9"/>
      <c r="E174" s="9"/>
      <c r="F174" s="2"/>
    </row>
    <row r="175" spans="1:6" x14ac:dyDescent="0.25">
      <c r="A175" s="9" t="s">
        <v>49</v>
      </c>
      <c r="B175" s="9">
        <v>80</v>
      </c>
      <c r="C175" s="9"/>
      <c r="D175" s="9"/>
      <c r="E175" s="9"/>
      <c r="F175" s="2"/>
    </row>
    <row r="176" spans="1:6" x14ac:dyDescent="0.25">
      <c r="A176" s="9" t="s">
        <v>151</v>
      </c>
      <c r="B176" s="9">
        <v>100</v>
      </c>
      <c r="C176" s="9"/>
      <c r="D176" s="9"/>
      <c r="E176" s="9"/>
      <c r="F176" s="2"/>
    </row>
    <row r="177" spans="1:6" x14ac:dyDescent="0.25">
      <c r="A177" s="9" t="s">
        <v>280</v>
      </c>
      <c r="B177" s="9">
        <v>100</v>
      </c>
      <c r="C177" s="9"/>
      <c r="D177" s="28" t="s">
        <v>288</v>
      </c>
      <c r="E177" s="9"/>
      <c r="F177" s="2"/>
    </row>
    <row r="178" spans="1:6" x14ac:dyDescent="0.25">
      <c r="A178" s="9" t="s">
        <v>281</v>
      </c>
      <c r="B178" s="9">
        <v>150</v>
      </c>
      <c r="C178" s="9"/>
      <c r="D178" s="9"/>
      <c r="E178" s="9"/>
      <c r="F178" s="2"/>
    </row>
    <row r="179" spans="1:6" x14ac:dyDescent="0.25">
      <c r="A179" s="9" t="s">
        <v>149</v>
      </c>
      <c r="B179" s="9">
        <v>300</v>
      </c>
      <c r="C179" s="9"/>
      <c r="D179" s="9"/>
      <c r="E179" s="9"/>
      <c r="F179" s="2"/>
    </row>
    <row r="180" spans="1:6" ht="50.5" x14ac:dyDescent="0.3">
      <c r="A180" s="10" t="s">
        <v>70</v>
      </c>
      <c r="B180" s="7">
        <f>SUM(B147:B179)</f>
        <v>8235.9599999999991</v>
      </c>
      <c r="C180" s="7"/>
      <c r="D180" s="22" t="s">
        <v>285</v>
      </c>
      <c r="E180" s="7"/>
    </row>
    <row r="181" spans="1:6" ht="50.5" x14ac:dyDescent="0.3">
      <c r="A181" s="31" t="s">
        <v>284</v>
      </c>
      <c r="B181" s="30">
        <f>SUM(147:179)-B147-B166+B3+B22</f>
        <v>6635.9599999999991</v>
      </c>
      <c r="C181" s="30"/>
      <c r="D181" s="33" t="s">
        <v>287</v>
      </c>
      <c r="E181" s="30"/>
    </row>
    <row r="182" spans="1:6" x14ac:dyDescent="0.25">
      <c r="A182" s="7"/>
      <c r="B182" s="7"/>
      <c r="C182" s="7"/>
      <c r="D182" s="7"/>
      <c r="E182" s="7"/>
    </row>
    <row r="183" spans="1:6" ht="13" x14ac:dyDescent="0.3">
      <c r="A183" s="8" t="s">
        <v>31</v>
      </c>
      <c r="B183" s="8" t="s">
        <v>66</v>
      </c>
      <c r="C183" s="5" t="s">
        <v>101</v>
      </c>
      <c r="D183" s="8" t="s">
        <v>67</v>
      </c>
      <c r="E183" s="7"/>
    </row>
    <row r="184" spans="1:6" x14ac:dyDescent="0.25">
      <c r="A184" s="9" t="s">
        <v>18</v>
      </c>
      <c r="B184" s="9">
        <v>0</v>
      </c>
      <c r="C184" s="9"/>
      <c r="D184" s="9"/>
      <c r="E184" s="9"/>
    </row>
    <row r="185" spans="1:6" x14ac:dyDescent="0.25">
      <c r="A185" s="9" t="s">
        <v>173</v>
      </c>
      <c r="B185" s="9">
        <v>0</v>
      </c>
      <c r="C185" s="9"/>
      <c r="D185" s="9"/>
      <c r="E185" s="9"/>
    </row>
    <row r="186" spans="1:6" x14ac:dyDescent="0.25">
      <c r="A186" s="9" t="s">
        <v>175</v>
      </c>
      <c r="B186" s="9">
        <v>0</v>
      </c>
      <c r="C186" s="9"/>
      <c r="D186" s="9"/>
      <c r="E186" s="9"/>
    </row>
    <row r="187" spans="1:6" x14ac:dyDescent="0.25">
      <c r="A187" s="9" t="s">
        <v>21</v>
      </c>
      <c r="B187" s="9">
        <v>0</v>
      </c>
      <c r="C187" s="9"/>
      <c r="D187" s="26"/>
      <c r="E187" s="9"/>
    </row>
    <row r="188" spans="1:6" ht="13" x14ac:dyDescent="0.3">
      <c r="A188" s="10" t="s">
        <v>70</v>
      </c>
      <c r="B188" s="7">
        <f>SUM(B184:B187)</f>
        <v>0</v>
      </c>
      <c r="C188" s="7"/>
      <c r="D188" s="7"/>
      <c r="E188" s="7"/>
    </row>
    <row r="189" spans="1:6" x14ac:dyDescent="0.25">
      <c r="A189" s="7"/>
      <c r="B189" s="7"/>
      <c r="C189" s="7"/>
      <c r="D189" s="7"/>
      <c r="E189" s="7"/>
    </row>
    <row r="190" spans="1:6" ht="13" x14ac:dyDescent="0.3">
      <c r="A190" s="8" t="s">
        <v>82</v>
      </c>
      <c r="B190" s="8" t="s">
        <v>66</v>
      </c>
      <c r="C190" s="5" t="s">
        <v>101</v>
      </c>
      <c r="D190" s="8" t="s">
        <v>67</v>
      </c>
      <c r="E190" s="7"/>
    </row>
    <row r="191" spans="1:6" x14ac:dyDescent="0.25">
      <c r="A191" s="9" t="s">
        <v>150</v>
      </c>
      <c r="B191" s="9">
        <v>0</v>
      </c>
      <c r="C191" s="9"/>
      <c r="D191" s="23"/>
      <c r="E191" s="9"/>
    </row>
    <row r="192" spans="1:6" x14ac:dyDescent="0.25">
      <c r="A192" s="9" t="s">
        <v>44</v>
      </c>
      <c r="B192" s="9">
        <v>0</v>
      </c>
      <c r="C192" s="9"/>
      <c r="D192" s="23"/>
      <c r="E192" s="9"/>
    </row>
    <row r="193" spans="1:5" x14ac:dyDescent="0.25">
      <c r="A193" s="9" t="s">
        <v>230</v>
      </c>
      <c r="B193" s="9">
        <v>0</v>
      </c>
      <c r="C193" s="9"/>
      <c r="D193" s="17"/>
      <c r="E193" s="9"/>
    </row>
    <row r="194" spans="1:5" x14ac:dyDescent="0.25">
      <c r="A194" s="9" t="s">
        <v>161</v>
      </c>
      <c r="B194" s="9">
        <v>0</v>
      </c>
      <c r="C194" s="9"/>
      <c r="D194" s="17"/>
      <c r="E194" s="9"/>
    </row>
    <row r="195" spans="1:5" x14ac:dyDescent="0.25">
      <c r="A195" s="9" t="s">
        <v>212</v>
      </c>
      <c r="B195" s="9">
        <v>0</v>
      </c>
      <c r="C195" s="9"/>
      <c r="D195" s="23"/>
      <c r="E195" s="9"/>
    </row>
    <row r="196" spans="1:5" x14ac:dyDescent="0.25">
      <c r="A196" s="9" t="s">
        <v>231</v>
      </c>
      <c r="B196" s="9">
        <v>0</v>
      </c>
      <c r="C196" s="9"/>
      <c r="D196" s="23"/>
      <c r="E196" s="9"/>
    </row>
    <row r="197" spans="1:5" x14ac:dyDescent="0.25">
      <c r="A197" s="9" t="s">
        <v>47</v>
      </c>
      <c r="B197" s="9">
        <v>20</v>
      </c>
      <c r="C197" s="9"/>
      <c r="D197" s="17"/>
      <c r="E197" s="9"/>
    </row>
    <row r="198" spans="1:5" x14ac:dyDescent="0.25">
      <c r="A198" s="9" t="s">
        <v>240</v>
      </c>
      <c r="B198" s="9">
        <v>300</v>
      </c>
      <c r="C198" s="9"/>
      <c r="D198" s="17"/>
      <c r="E198" s="9"/>
    </row>
    <row r="199" spans="1:5" x14ac:dyDescent="0.25">
      <c r="A199" s="9" t="s">
        <v>177</v>
      </c>
      <c r="B199" s="9">
        <v>0</v>
      </c>
      <c r="C199" s="9"/>
      <c r="D199" s="23"/>
      <c r="E199" s="9"/>
    </row>
    <row r="200" spans="1:5" ht="13" x14ac:dyDescent="0.3">
      <c r="A200" s="10" t="s">
        <v>70</v>
      </c>
      <c r="B200" s="7">
        <f>SUM(B191:B199)</f>
        <v>320</v>
      </c>
      <c r="C200" s="7"/>
      <c r="D200" s="7"/>
      <c r="E200" s="7"/>
    </row>
    <row r="201" spans="1:5" x14ac:dyDescent="0.25">
      <c r="A201" s="7"/>
      <c r="B201" s="7"/>
      <c r="C201" s="7"/>
      <c r="D201" s="7"/>
      <c r="E201" s="7"/>
    </row>
    <row r="202" spans="1:5" ht="13" x14ac:dyDescent="0.3">
      <c r="A202" s="8" t="s">
        <v>85</v>
      </c>
      <c r="B202" s="8" t="s">
        <v>66</v>
      </c>
      <c r="C202" s="5" t="s">
        <v>101</v>
      </c>
      <c r="D202" s="8" t="s">
        <v>214</v>
      </c>
      <c r="E202" s="7"/>
    </row>
    <row r="203" spans="1:5" x14ac:dyDescent="0.25">
      <c r="A203" s="9" t="s">
        <v>104</v>
      </c>
      <c r="B203" s="9">
        <v>0</v>
      </c>
      <c r="C203" s="9"/>
      <c r="D203" s="23"/>
      <c r="E203" s="9"/>
    </row>
    <row r="204" spans="1:5" x14ac:dyDescent="0.25">
      <c r="A204" s="9" t="s">
        <v>162</v>
      </c>
      <c r="B204" s="9">
        <v>0</v>
      </c>
      <c r="C204" s="9"/>
      <c r="D204" s="17"/>
      <c r="E204" s="9"/>
    </row>
    <row r="205" spans="1:5" x14ac:dyDescent="0.25">
      <c r="A205" s="9" t="s">
        <v>245</v>
      </c>
      <c r="B205" s="9">
        <v>391.24</v>
      </c>
      <c r="C205" s="9"/>
      <c r="D205" s="17"/>
      <c r="E205" s="9"/>
    </row>
    <row r="206" spans="1:5" x14ac:dyDescent="0.25">
      <c r="A206" s="9" t="s">
        <v>29</v>
      </c>
      <c r="B206" s="9">
        <v>7194.46</v>
      </c>
      <c r="C206" s="9"/>
      <c r="D206" s="17"/>
      <c r="E206" s="9"/>
    </row>
    <row r="207" spans="1:5" x14ac:dyDescent="0.25">
      <c r="A207" s="9" t="s">
        <v>30</v>
      </c>
      <c r="B207" s="9">
        <v>1045.5999999999999</v>
      </c>
      <c r="C207" s="9"/>
      <c r="D207" s="9"/>
      <c r="E207" s="9"/>
    </row>
    <row r="208" spans="1:5" ht="13" x14ac:dyDescent="0.3">
      <c r="A208" s="10" t="s">
        <v>70</v>
      </c>
      <c r="B208" s="7">
        <f>SUM(B203:B207)</f>
        <v>8631.2999999999993</v>
      </c>
      <c r="C208" s="7"/>
      <c r="D208" s="7"/>
      <c r="E208" s="7"/>
    </row>
    <row r="209" spans="1:5" ht="13" x14ac:dyDescent="0.3">
      <c r="A209" s="10"/>
      <c r="B209" s="7"/>
      <c r="C209" s="7"/>
      <c r="D209" s="7"/>
      <c r="E209" s="7"/>
    </row>
    <row r="210" spans="1:5" ht="13" x14ac:dyDescent="0.3">
      <c r="A210" s="10" t="s">
        <v>87</v>
      </c>
      <c r="B210" s="7">
        <f>SUM(B180,B188,B200)-B208</f>
        <v>-75.340000000000146</v>
      </c>
      <c r="C210" s="7"/>
      <c r="D210" s="7"/>
      <c r="E210" s="7"/>
    </row>
    <row r="211" spans="1:5" ht="13" x14ac:dyDescent="0.3">
      <c r="A211" s="10"/>
      <c r="B211" s="7"/>
      <c r="C211" s="7"/>
      <c r="D211" s="7"/>
      <c r="E211" s="7"/>
    </row>
    <row r="212" spans="1:5" ht="13" x14ac:dyDescent="0.3">
      <c r="A212" s="11" t="s">
        <v>73</v>
      </c>
      <c r="B212" s="7"/>
      <c r="C212" s="7"/>
      <c r="D212" s="7"/>
      <c r="E212" s="7"/>
    </row>
    <row r="213" spans="1:5" ht="13" x14ac:dyDescent="0.3">
      <c r="A213" s="8" t="s">
        <v>75</v>
      </c>
      <c r="B213" s="8" t="s">
        <v>66</v>
      </c>
      <c r="C213" s="5" t="s">
        <v>101</v>
      </c>
      <c r="D213" s="8" t="s">
        <v>67</v>
      </c>
      <c r="E213" s="7"/>
    </row>
    <row r="214" spans="1:5" x14ac:dyDescent="0.25">
      <c r="A214" s="9" t="s">
        <v>74</v>
      </c>
      <c r="B214" s="9">
        <v>6134.23</v>
      </c>
      <c r="C214" s="9"/>
      <c r="D214" s="9"/>
      <c r="E214" s="9"/>
    </row>
    <row r="215" spans="1:5" x14ac:dyDescent="0.25">
      <c r="A215" s="9"/>
      <c r="B215" s="9"/>
      <c r="C215" s="9"/>
      <c r="D215" s="9"/>
      <c r="E215" s="9"/>
    </row>
    <row r="216" spans="1:5" ht="13" x14ac:dyDescent="0.3">
      <c r="A216" s="10" t="s">
        <v>70</v>
      </c>
      <c r="B216" s="7">
        <f>SUM(B214:B215)</f>
        <v>6134.23</v>
      </c>
      <c r="C216" s="7"/>
      <c r="D216" s="7"/>
      <c r="E216" s="7"/>
    </row>
    <row r="217" spans="1:5" ht="13" x14ac:dyDescent="0.3">
      <c r="A217" s="11"/>
      <c r="B217" s="7"/>
      <c r="C217" s="7"/>
      <c r="D217" s="7"/>
      <c r="E217" s="7"/>
    </row>
    <row r="218" spans="1:5" ht="13" x14ac:dyDescent="0.3">
      <c r="A218" s="8" t="s">
        <v>76</v>
      </c>
      <c r="B218" s="8" t="s">
        <v>66</v>
      </c>
      <c r="C218" s="5" t="s">
        <v>101</v>
      </c>
      <c r="D218" s="8" t="s">
        <v>67</v>
      </c>
      <c r="E218" s="7"/>
    </row>
    <row r="219" spans="1:5" x14ac:dyDescent="0.25">
      <c r="A219" s="9" t="s">
        <v>242</v>
      </c>
      <c r="B219" s="9">
        <v>600</v>
      </c>
      <c r="C219" s="9"/>
      <c r="D219" s="9"/>
      <c r="E219" s="9"/>
    </row>
    <row r="220" spans="1:5" x14ac:dyDescent="0.25">
      <c r="A220" s="9"/>
      <c r="B220" s="9"/>
      <c r="C220" s="9"/>
      <c r="D220" s="9"/>
      <c r="E220" s="9"/>
    </row>
    <row r="221" spans="1:5" ht="13" x14ac:dyDescent="0.3">
      <c r="A221" s="10" t="s">
        <v>70</v>
      </c>
      <c r="B221" s="7">
        <f>SUM(B219:B220)</f>
        <v>600</v>
      </c>
      <c r="C221" s="7"/>
      <c r="D221" s="7"/>
      <c r="E221" s="7"/>
    </row>
    <row r="222" spans="1:5" x14ac:dyDescent="0.25">
      <c r="A222" s="7"/>
      <c r="B222" s="7"/>
      <c r="C222" s="7"/>
      <c r="D222" s="7"/>
      <c r="E222" s="7"/>
    </row>
    <row r="223" spans="1:5" ht="13" x14ac:dyDescent="0.3">
      <c r="A223" s="8" t="s">
        <v>86</v>
      </c>
      <c r="B223" s="8" t="s">
        <v>66</v>
      </c>
      <c r="C223" s="5" t="s">
        <v>101</v>
      </c>
      <c r="D223" s="8" t="s">
        <v>67</v>
      </c>
      <c r="E223" s="7"/>
    </row>
    <row r="224" spans="1:5" ht="87.5" x14ac:dyDescent="0.25">
      <c r="A224" s="9" t="s">
        <v>26</v>
      </c>
      <c r="B224" s="9">
        <v>0</v>
      </c>
      <c r="C224" s="9"/>
      <c r="D224" s="23" t="s">
        <v>246</v>
      </c>
      <c r="E224" s="9"/>
    </row>
    <row r="225" spans="1:5" x14ac:dyDescent="0.25">
      <c r="A225" s="9" t="s">
        <v>282</v>
      </c>
      <c r="B225" s="9">
        <v>180</v>
      </c>
      <c r="C225" s="9"/>
      <c r="D225" s="23"/>
      <c r="E225" s="9"/>
    </row>
    <row r="226" spans="1:5" x14ac:dyDescent="0.25">
      <c r="A226" s="9" t="s">
        <v>248</v>
      </c>
      <c r="B226" s="9">
        <v>25123</v>
      </c>
      <c r="C226" s="9"/>
      <c r="D226" s="23"/>
      <c r="E226" s="9"/>
    </row>
    <row r="227" spans="1:5" x14ac:dyDescent="0.25">
      <c r="A227" s="9"/>
      <c r="B227" s="9"/>
      <c r="C227" s="9"/>
      <c r="D227" s="9"/>
      <c r="E227" s="9"/>
    </row>
    <row r="228" spans="1:5" ht="13" x14ac:dyDescent="0.3">
      <c r="A228" s="10" t="s">
        <v>70</v>
      </c>
      <c r="B228" s="7">
        <f>SUM(B224:B227)</f>
        <v>25303</v>
      </c>
      <c r="C228" s="7"/>
      <c r="D228" s="7"/>
      <c r="E228" s="7"/>
    </row>
    <row r="229" spans="1:5" x14ac:dyDescent="0.25">
      <c r="A229" s="7"/>
      <c r="B229" s="7"/>
      <c r="C229" s="7"/>
      <c r="D229" s="7"/>
      <c r="E229" s="7"/>
    </row>
    <row r="230" spans="1:5" ht="13" x14ac:dyDescent="0.3">
      <c r="A230" s="10" t="s">
        <v>88</v>
      </c>
      <c r="B230" s="7">
        <f>SUM(B216,B221)-B228</f>
        <v>-18568.77</v>
      </c>
      <c r="C230" s="7"/>
      <c r="D230" s="7"/>
      <c r="E230" s="7"/>
    </row>
    <row r="231" spans="1:5" ht="13" x14ac:dyDescent="0.3">
      <c r="A231" s="10"/>
      <c r="B231" s="7"/>
      <c r="C231" s="7"/>
      <c r="D231" s="7"/>
      <c r="E231" s="7"/>
    </row>
    <row r="232" spans="1:5" ht="13" x14ac:dyDescent="0.3">
      <c r="A232" s="8" t="s">
        <v>251</v>
      </c>
      <c r="B232" s="8" t="s">
        <v>66</v>
      </c>
      <c r="C232" s="8" t="s">
        <v>67</v>
      </c>
      <c r="D232" s="7"/>
      <c r="E232" s="7"/>
    </row>
    <row r="233" spans="1:5" x14ac:dyDescent="0.25">
      <c r="A233" s="9" t="s">
        <v>243</v>
      </c>
      <c r="B233" s="9">
        <v>4502.6499999999996</v>
      </c>
      <c r="C233" s="23"/>
      <c r="D233" s="23"/>
      <c r="E233" s="23"/>
    </row>
    <row r="234" spans="1:5" x14ac:dyDescent="0.25">
      <c r="A234" s="9" t="s">
        <v>244</v>
      </c>
      <c r="B234" s="9">
        <v>848.16</v>
      </c>
      <c r="C234" s="9"/>
      <c r="D234" s="23"/>
      <c r="E234" s="23"/>
    </row>
    <row r="235" spans="1:5" x14ac:dyDescent="0.25">
      <c r="A235" s="9" t="s">
        <v>253</v>
      </c>
      <c r="B235" s="15">
        <v>6047.79</v>
      </c>
      <c r="C235" s="9"/>
      <c r="D235" s="23"/>
      <c r="E235" s="23"/>
    </row>
    <row r="236" spans="1:5" x14ac:dyDescent="0.25">
      <c r="A236" s="9"/>
      <c r="B236" s="9"/>
      <c r="C236" s="9"/>
      <c r="D236" s="23"/>
      <c r="E236" s="23"/>
    </row>
    <row r="237" spans="1:5" ht="13" x14ac:dyDescent="0.3">
      <c r="A237" s="10" t="s">
        <v>256</v>
      </c>
      <c r="B237" s="7">
        <f>SUM(B233:B236)</f>
        <v>11398.599999999999</v>
      </c>
      <c r="C237" s="7"/>
      <c r="D237" s="7"/>
      <c r="E237" s="7"/>
    </row>
    <row r="238" spans="1:5" ht="13" x14ac:dyDescent="0.3">
      <c r="A238" s="31" t="s">
        <v>257</v>
      </c>
      <c r="B238" s="30">
        <v>10000</v>
      </c>
      <c r="C238" s="30"/>
      <c r="D238" s="30"/>
      <c r="E238" s="30"/>
    </row>
    <row r="239" spans="1:5" ht="13" x14ac:dyDescent="0.3">
      <c r="A239" s="31" t="s">
        <v>258</v>
      </c>
      <c r="B239" s="30">
        <f>B233+B238</f>
        <v>14502.65</v>
      </c>
      <c r="C239" s="30"/>
      <c r="D239" s="30"/>
      <c r="E239" s="30"/>
    </row>
    <row r="240" spans="1:5" x14ac:dyDescent="0.25">
      <c r="A240" s="7"/>
      <c r="B240" s="7"/>
      <c r="C240" s="7"/>
      <c r="D240" s="7"/>
      <c r="E240" s="7"/>
    </row>
    <row r="241" spans="1:5" ht="13" x14ac:dyDescent="0.3">
      <c r="A241" s="5" t="s">
        <v>255</v>
      </c>
      <c r="B241" s="7"/>
      <c r="C241" s="7"/>
      <c r="D241" s="7"/>
      <c r="E241" s="7"/>
    </row>
    <row r="242" spans="1:5" ht="13" x14ac:dyDescent="0.3">
      <c r="A242" s="8" t="s">
        <v>94</v>
      </c>
      <c r="B242" s="8" t="s">
        <v>66</v>
      </c>
      <c r="C242" s="8" t="s">
        <v>67</v>
      </c>
      <c r="D242" s="7"/>
      <c r="E242" s="7"/>
    </row>
    <row r="243" spans="1:5" x14ac:dyDescent="0.25">
      <c r="A243" s="9" t="s">
        <v>90</v>
      </c>
      <c r="B243" s="15">
        <v>39780.6</v>
      </c>
      <c r="C243" s="9"/>
      <c r="D243" s="9"/>
      <c r="E243" s="9"/>
    </row>
    <row r="244" spans="1:5" x14ac:dyDescent="0.25">
      <c r="A244" s="9" t="s">
        <v>91</v>
      </c>
      <c r="B244" s="9">
        <v>11485.12</v>
      </c>
      <c r="C244" s="9"/>
      <c r="D244" s="9"/>
      <c r="E244" s="9"/>
    </row>
    <row r="245" spans="1:5" x14ac:dyDescent="0.25">
      <c r="A245" s="9" t="s">
        <v>92</v>
      </c>
      <c r="B245" s="9">
        <v>0</v>
      </c>
      <c r="C245" s="28">
        <v>0</v>
      </c>
      <c r="D245" s="9"/>
      <c r="E245" s="9"/>
    </row>
    <row r="246" spans="1:5" x14ac:dyDescent="0.25">
      <c r="A246" s="9" t="s">
        <v>93</v>
      </c>
      <c r="B246" s="9">
        <v>31625.74</v>
      </c>
      <c r="C246" s="28" t="s">
        <v>247</v>
      </c>
      <c r="D246" s="9"/>
      <c r="E246" s="9"/>
    </row>
    <row r="247" spans="1:5" x14ac:dyDescent="0.25">
      <c r="A247" s="9" t="s">
        <v>250</v>
      </c>
      <c r="B247" s="9">
        <v>40000</v>
      </c>
      <c r="C247" s="28"/>
      <c r="D247" s="9"/>
      <c r="E247" s="9"/>
    </row>
    <row r="248" spans="1:5" x14ac:dyDescent="0.25">
      <c r="A248" s="9" t="s">
        <v>122</v>
      </c>
      <c r="B248" s="28">
        <v>58</v>
      </c>
      <c r="C248" s="25"/>
      <c r="D248" s="9"/>
      <c r="E248" s="9"/>
    </row>
    <row r="249" spans="1:5" x14ac:dyDescent="0.25">
      <c r="A249" s="9" t="s">
        <v>228</v>
      </c>
      <c r="B249" s="28">
        <v>0</v>
      </c>
      <c r="C249" s="28"/>
      <c r="D249" s="9"/>
      <c r="E249" s="9"/>
    </row>
    <row r="250" spans="1:5" ht="13" x14ac:dyDescent="0.3">
      <c r="A250" s="10" t="s">
        <v>254</v>
      </c>
      <c r="B250" s="35">
        <f>SUM(B243:B249)</f>
        <v>122949.46</v>
      </c>
      <c r="C250" s="7"/>
      <c r="D250" s="7"/>
      <c r="E250" s="7"/>
    </row>
    <row r="251" spans="1:5" x14ac:dyDescent="0.25">
      <c r="A251" s="7"/>
      <c r="B251" s="7"/>
      <c r="C251" s="7"/>
      <c r="D251" s="7"/>
      <c r="E251" s="7"/>
    </row>
    <row r="252" spans="1:5" ht="13" x14ac:dyDescent="0.3">
      <c r="A252" s="5" t="s">
        <v>97</v>
      </c>
      <c r="B252" s="7">
        <f xml:space="preserve"> B237+B230-B210</f>
        <v>-7094.8300000000017</v>
      </c>
      <c r="C252" s="7"/>
      <c r="D252" s="7"/>
      <c r="E252" s="7"/>
    </row>
    <row r="253" spans="1:5" ht="26" x14ac:dyDescent="0.3">
      <c r="A253" s="34" t="s">
        <v>267</v>
      </c>
      <c r="B253" s="30">
        <f xml:space="preserve"> B239+B230-B210</f>
        <v>-3990.7800000000007</v>
      </c>
      <c r="C253" s="30"/>
      <c r="D253" s="30"/>
      <c r="E253" s="30"/>
    </row>
    <row r="254" spans="1:5" ht="13" x14ac:dyDescent="0.3">
      <c r="A254" s="5" t="s">
        <v>96</v>
      </c>
      <c r="B254" s="7">
        <f>SUM(B250,B252)</f>
        <v>115854.63</v>
      </c>
      <c r="C254" s="21"/>
      <c r="D254" s="7"/>
      <c r="E254" s="7"/>
    </row>
    <row r="255" spans="1:5" ht="26" x14ac:dyDescent="0.3">
      <c r="A255" s="34" t="s">
        <v>268</v>
      </c>
      <c r="B255" s="30">
        <f>SUM(B250,B253)</f>
        <v>118958.68000000001</v>
      </c>
      <c r="C255" s="33"/>
      <c r="D255" s="30"/>
      <c r="E255" s="30"/>
    </row>
    <row r="256" spans="1:5" ht="13" x14ac:dyDescent="0.3">
      <c r="A256" s="32" t="s">
        <v>261</v>
      </c>
      <c r="B256" s="30">
        <v>17000</v>
      </c>
      <c r="C256" s="33"/>
      <c r="D256" s="30"/>
      <c r="E256" s="30"/>
    </row>
    <row r="257" spans="1:5" ht="13" x14ac:dyDescent="0.3">
      <c r="A257" s="32" t="s">
        <v>262</v>
      </c>
      <c r="B257" s="30">
        <v>2000</v>
      </c>
      <c r="C257" s="33"/>
      <c r="D257" s="30"/>
      <c r="E257" s="30"/>
    </row>
    <row r="258" spans="1:5" ht="13" x14ac:dyDescent="0.3">
      <c r="A258" s="32" t="s">
        <v>263</v>
      </c>
      <c r="B258" s="30">
        <v>0</v>
      </c>
      <c r="C258" s="33" t="s">
        <v>269</v>
      </c>
      <c r="D258" s="30"/>
      <c r="E258" s="30"/>
    </row>
    <row r="259" spans="1:5" ht="13" x14ac:dyDescent="0.3">
      <c r="A259" s="32" t="s">
        <v>265</v>
      </c>
      <c r="B259" s="30">
        <f>SUM(B254,B256:B258)</f>
        <v>134854.63</v>
      </c>
      <c r="C259" s="33"/>
      <c r="D259" s="30"/>
      <c r="E259" s="30"/>
    </row>
    <row r="260" spans="1:5" ht="26" x14ac:dyDescent="0.3">
      <c r="A260" s="34" t="s">
        <v>266</v>
      </c>
      <c r="B260" s="30">
        <f>SUM(B255,B256:B258)</f>
        <v>137958.68</v>
      </c>
      <c r="C260" s="33"/>
      <c r="D260" s="30"/>
      <c r="E260" s="30"/>
    </row>
    <row r="261" spans="1:5" ht="13" x14ac:dyDescent="0.3">
      <c r="A261" s="34" t="s">
        <v>289</v>
      </c>
      <c r="B261" s="30">
        <f>B254-B206-B207-B246-B247</f>
        <v>35988.829999999987</v>
      </c>
      <c r="C261" s="33"/>
      <c r="D261" s="30"/>
      <c r="E261" s="30"/>
    </row>
    <row r="262" spans="1:5" ht="26" x14ac:dyDescent="0.3">
      <c r="A262" s="34" t="s">
        <v>290</v>
      </c>
      <c r="B262" s="30">
        <f>B255-B206-B207-B246-B247</f>
        <v>39092.87999999999</v>
      </c>
      <c r="C262" s="33"/>
      <c r="D262" s="30"/>
      <c r="E262" s="30"/>
    </row>
    <row r="263" spans="1:5" ht="26" x14ac:dyDescent="0.3">
      <c r="A263" s="34" t="s">
        <v>291</v>
      </c>
      <c r="B263" s="30">
        <f>B259-B206-B207-B246-B247</f>
        <v>54988.829999999987</v>
      </c>
      <c r="C263" s="33"/>
      <c r="D263" s="30"/>
      <c r="E263" s="30"/>
    </row>
    <row r="264" spans="1:5" ht="39" x14ac:dyDescent="0.3">
      <c r="A264" s="34" t="s">
        <v>292</v>
      </c>
      <c r="B264" s="30">
        <f>B260-B206-B207-B246-B247</f>
        <v>58092.879999999976</v>
      </c>
      <c r="C264" s="33"/>
      <c r="D264" s="30"/>
      <c r="E264" s="30"/>
    </row>
    <row r="265" spans="1:5" ht="13" x14ac:dyDescent="0.3">
      <c r="A265" s="5" t="s">
        <v>134</v>
      </c>
      <c r="B265" s="7">
        <f>B254-B367</f>
        <v>-17422.82699999999</v>
      </c>
      <c r="C265" s="22"/>
      <c r="D265" s="7"/>
      <c r="E265" s="7"/>
    </row>
    <row r="266" spans="1:5" x14ac:dyDescent="0.25">
      <c r="A266" s="7"/>
      <c r="B266" s="7"/>
      <c r="C266" s="7"/>
      <c r="D266" s="7"/>
      <c r="E266" s="7"/>
    </row>
    <row r="267" spans="1:5" x14ac:dyDescent="0.25">
      <c r="A267" s="69"/>
      <c r="B267" s="69"/>
      <c r="C267" s="69"/>
      <c r="D267" s="69"/>
      <c r="E267" s="69"/>
    </row>
    <row r="268" spans="1:5" x14ac:dyDescent="0.25">
      <c r="A268" s="69"/>
      <c r="B268" s="69"/>
      <c r="C268" s="69"/>
      <c r="D268" s="69"/>
      <c r="E268" s="69"/>
    </row>
    <row r="269" spans="1:5" x14ac:dyDescent="0.25">
      <c r="A269" s="69"/>
      <c r="B269" s="69"/>
      <c r="C269" s="69"/>
      <c r="D269" s="69"/>
      <c r="E269" s="69"/>
    </row>
    <row r="270" spans="1:5" ht="13" x14ac:dyDescent="0.3">
      <c r="A270" s="3" t="s">
        <v>323</v>
      </c>
      <c r="B270" s="68" t="s">
        <v>286</v>
      </c>
      <c r="C270" s="68"/>
      <c r="D270" s="68"/>
      <c r="E270" s="4"/>
    </row>
    <row r="271" spans="1:5" ht="13" x14ac:dyDescent="0.3">
      <c r="A271" s="5" t="s">
        <v>95</v>
      </c>
      <c r="B271" s="12">
        <v>42981</v>
      </c>
      <c r="C271" s="6"/>
      <c r="D271" s="6"/>
      <c r="E271" s="7"/>
    </row>
    <row r="272" spans="1:5" ht="13" x14ac:dyDescent="0.3">
      <c r="A272" s="5" t="s">
        <v>102</v>
      </c>
      <c r="B272" s="13">
        <v>0.21597222222222223</v>
      </c>
      <c r="C272" s="6"/>
      <c r="D272" s="6"/>
      <c r="E272" s="7"/>
    </row>
    <row r="273" spans="1:5" ht="13" x14ac:dyDescent="0.3">
      <c r="A273" s="5"/>
      <c r="B273" s="6"/>
      <c r="C273" s="6"/>
      <c r="D273" s="6"/>
      <c r="E273" s="7"/>
    </row>
    <row r="274" spans="1:5" ht="13" x14ac:dyDescent="0.3">
      <c r="A274" s="5" t="s">
        <v>84</v>
      </c>
      <c r="B274" s="6"/>
      <c r="C274" s="6"/>
      <c r="D274" s="6"/>
      <c r="E274" s="7"/>
    </row>
    <row r="275" spans="1:5" ht="13" x14ac:dyDescent="0.3">
      <c r="A275" s="8" t="s">
        <v>0</v>
      </c>
      <c r="B275" s="8" t="s">
        <v>66</v>
      </c>
      <c r="C275" s="8" t="s">
        <v>67</v>
      </c>
      <c r="D275" s="7"/>
      <c r="E275" s="7"/>
    </row>
    <row r="276" spans="1:5" x14ac:dyDescent="0.25">
      <c r="A276" s="9" t="s">
        <v>1</v>
      </c>
      <c r="B276" s="9">
        <v>3820.183</v>
      </c>
      <c r="C276" s="9"/>
      <c r="D276" s="9"/>
      <c r="E276" s="9"/>
    </row>
    <row r="277" spans="1:5" x14ac:dyDescent="0.25">
      <c r="A277" s="9" t="s">
        <v>9</v>
      </c>
      <c r="B277" s="9">
        <v>4800</v>
      </c>
      <c r="C277" s="23"/>
      <c r="D277" s="9"/>
      <c r="E277" s="9"/>
    </row>
    <row r="278" spans="1:5" x14ac:dyDescent="0.25">
      <c r="A278" s="9" t="s">
        <v>3</v>
      </c>
      <c r="B278" s="9">
        <v>4068.27</v>
      </c>
      <c r="C278" s="9"/>
      <c r="D278" s="9"/>
      <c r="E278" s="9"/>
    </row>
    <row r="279" spans="1:5" x14ac:dyDescent="0.25">
      <c r="A279" s="9" t="s">
        <v>2</v>
      </c>
      <c r="B279" s="9">
        <v>0</v>
      </c>
      <c r="C279" s="9"/>
      <c r="D279" s="9"/>
      <c r="E279" s="9"/>
    </row>
    <row r="280" spans="1:5" x14ac:dyDescent="0.25">
      <c r="A280" s="9" t="s">
        <v>5</v>
      </c>
      <c r="B280" s="9">
        <v>0</v>
      </c>
      <c r="C280" s="9"/>
      <c r="D280" s="9"/>
      <c r="E280" s="9"/>
    </row>
    <row r="281" spans="1:5" x14ac:dyDescent="0.25">
      <c r="A281" s="19" t="s">
        <v>322</v>
      </c>
      <c r="B281" s="9">
        <v>357.97</v>
      </c>
      <c r="C281" s="9"/>
      <c r="D281" s="9"/>
      <c r="E281" s="9"/>
    </row>
    <row r="282" spans="1:5" x14ac:dyDescent="0.25">
      <c r="A282" s="9" t="s">
        <v>273</v>
      </c>
      <c r="B282" s="9">
        <v>263</v>
      </c>
      <c r="C282" s="9"/>
      <c r="D282" s="9"/>
      <c r="E282" s="9"/>
    </row>
    <row r="283" spans="1:5" x14ac:dyDescent="0.25">
      <c r="A283" s="9" t="s">
        <v>277</v>
      </c>
      <c r="B283" s="9">
        <v>81</v>
      </c>
      <c r="C283" s="9"/>
      <c r="D283" s="9"/>
      <c r="E283" s="9"/>
    </row>
    <row r="284" spans="1:5" x14ac:dyDescent="0.25">
      <c r="A284" s="9" t="s">
        <v>280</v>
      </c>
      <c r="B284" s="9">
        <v>140</v>
      </c>
      <c r="C284" s="19" t="s">
        <v>356</v>
      </c>
      <c r="D284" s="9"/>
      <c r="E284" s="9"/>
    </row>
    <row r="285" spans="1:5" x14ac:dyDescent="0.25">
      <c r="A285" s="9" t="s">
        <v>42</v>
      </c>
      <c r="B285" s="9">
        <v>100</v>
      </c>
      <c r="C285" s="9"/>
      <c r="D285" s="9"/>
      <c r="E285" s="9"/>
    </row>
    <row r="286" spans="1:5" x14ac:dyDescent="0.25">
      <c r="A286" s="9" t="s">
        <v>49</v>
      </c>
      <c r="B286" s="9">
        <v>40</v>
      </c>
      <c r="C286" s="9"/>
      <c r="D286" s="9"/>
      <c r="E286" s="9"/>
    </row>
    <row r="287" spans="1:5" x14ac:dyDescent="0.25">
      <c r="A287" s="9" t="s">
        <v>379</v>
      </c>
      <c r="B287" s="9">
        <v>75</v>
      </c>
      <c r="C287" s="9"/>
      <c r="D287" s="9"/>
      <c r="E287" s="9"/>
    </row>
    <row r="288" spans="1:5" x14ac:dyDescent="0.25">
      <c r="A288" s="9" t="s">
        <v>39</v>
      </c>
      <c r="B288" s="9">
        <v>200</v>
      </c>
      <c r="C288" s="9"/>
      <c r="D288" s="9"/>
      <c r="E288" s="9"/>
    </row>
    <row r="289" spans="1:5" ht="13" x14ac:dyDescent="0.3">
      <c r="A289" s="10" t="s">
        <v>70</v>
      </c>
      <c r="B289" s="7">
        <f>SUM(B276:B288)</f>
        <v>13945.423000000001</v>
      </c>
      <c r="C289" s="7"/>
      <c r="D289" s="7"/>
      <c r="E289" s="7"/>
    </row>
    <row r="290" spans="1:5" x14ac:dyDescent="0.25">
      <c r="A290" s="7"/>
      <c r="B290" s="7"/>
      <c r="C290" s="7"/>
      <c r="D290" s="7"/>
      <c r="E290" s="7"/>
    </row>
    <row r="291" spans="1:5" ht="13" x14ac:dyDescent="0.3">
      <c r="A291" s="8" t="s">
        <v>31</v>
      </c>
      <c r="B291" s="8" t="s">
        <v>66</v>
      </c>
      <c r="C291" s="8" t="s">
        <v>67</v>
      </c>
      <c r="D291" s="7"/>
      <c r="E291" s="7"/>
    </row>
    <row r="292" spans="1:5" x14ac:dyDescent="0.25">
      <c r="A292" s="9"/>
      <c r="B292" s="9"/>
      <c r="C292" s="9"/>
      <c r="D292" s="9"/>
      <c r="E292" s="9"/>
    </row>
    <row r="293" spans="1:5" x14ac:dyDescent="0.25">
      <c r="A293" s="9"/>
      <c r="B293" s="9"/>
      <c r="C293" s="9"/>
      <c r="D293" s="9"/>
      <c r="E293" s="9"/>
    </row>
    <row r="294" spans="1:5" ht="13" x14ac:dyDescent="0.3">
      <c r="A294" s="10" t="s">
        <v>70</v>
      </c>
      <c r="B294" s="7">
        <f>SUM(B292:B293)</f>
        <v>0</v>
      </c>
      <c r="C294" s="7"/>
      <c r="D294" s="7"/>
      <c r="E294" s="7"/>
    </row>
    <row r="295" spans="1:5" x14ac:dyDescent="0.25">
      <c r="A295" s="7"/>
      <c r="B295" s="7"/>
      <c r="C295" s="7"/>
      <c r="D295" s="7"/>
      <c r="E295" s="7"/>
    </row>
    <row r="296" spans="1:5" ht="13" x14ac:dyDescent="0.3">
      <c r="A296" s="8" t="s">
        <v>82</v>
      </c>
      <c r="B296" s="8" t="s">
        <v>66</v>
      </c>
      <c r="C296" s="8" t="s">
        <v>67</v>
      </c>
      <c r="D296" s="7"/>
      <c r="E296" s="7"/>
    </row>
    <row r="297" spans="1:5" x14ac:dyDescent="0.25">
      <c r="A297" s="9" t="s">
        <v>150</v>
      </c>
      <c r="B297" s="9">
        <v>0</v>
      </c>
      <c r="C297" s="9"/>
      <c r="D297" s="23"/>
      <c r="E297" s="9"/>
    </row>
    <row r="298" spans="1:5" x14ac:dyDescent="0.25">
      <c r="A298" s="9" t="s">
        <v>240</v>
      </c>
      <c r="B298" s="9">
        <v>0</v>
      </c>
      <c r="C298" s="19"/>
      <c r="D298" s="23"/>
      <c r="E298" s="9"/>
    </row>
    <row r="299" spans="1:5" x14ac:dyDescent="0.25">
      <c r="A299" s="9"/>
      <c r="B299" s="9"/>
      <c r="C299" s="9"/>
      <c r="D299" s="9"/>
      <c r="E299" s="9"/>
    </row>
    <row r="300" spans="1:5" ht="13" x14ac:dyDescent="0.3">
      <c r="A300" s="10" t="s">
        <v>70</v>
      </c>
      <c r="B300" s="7">
        <f>SUM(B297:B299)</f>
        <v>0</v>
      </c>
      <c r="C300" s="7"/>
      <c r="D300" s="7"/>
      <c r="E300" s="7"/>
    </row>
    <row r="301" spans="1:5" x14ac:dyDescent="0.25">
      <c r="A301" s="7"/>
      <c r="B301" s="7"/>
      <c r="C301" s="7"/>
      <c r="D301" s="7"/>
      <c r="E301" s="7"/>
    </row>
    <row r="302" spans="1:5" ht="13" x14ac:dyDescent="0.3">
      <c r="A302" s="8" t="s">
        <v>85</v>
      </c>
      <c r="B302" s="8" t="s">
        <v>66</v>
      </c>
      <c r="C302" s="8" t="s">
        <v>67</v>
      </c>
      <c r="D302" s="7"/>
      <c r="E302" s="7"/>
    </row>
    <row r="303" spans="1:5" x14ac:dyDescent="0.25">
      <c r="A303" s="9" t="s">
        <v>245</v>
      </c>
      <c r="B303" s="9">
        <v>0</v>
      </c>
      <c r="C303" s="19" t="s">
        <v>295</v>
      </c>
      <c r="D303" s="23"/>
      <c r="E303" s="9"/>
    </row>
    <row r="304" spans="1:5" x14ac:dyDescent="0.25">
      <c r="A304" s="9" t="s">
        <v>29</v>
      </c>
      <c r="B304" s="9">
        <v>9906.31</v>
      </c>
      <c r="C304" s="9"/>
      <c r="D304" s="9"/>
      <c r="E304" s="9"/>
    </row>
    <row r="305" spans="1:5" x14ac:dyDescent="0.25">
      <c r="A305" s="9" t="s">
        <v>30</v>
      </c>
      <c r="B305" s="9">
        <v>1291.04</v>
      </c>
      <c r="C305" s="9"/>
      <c r="D305" s="9"/>
      <c r="E305" s="9"/>
    </row>
    <row r="306" spans="1:5" x14ac:dyDescent="0.25">
      <c r="A306" s="9" t="s">
        <v>296</v>
      </c>
      <c r="B306" s="9">
        <v>3705</v>
      </c>
      <c r="C306" s="9"/>
      <c r="D306" s="9"/>
      <c r="E306" s="9"/>
    </row>
    <row r="307" spans="1:5" ht="13" x14ac:dyDescent="0.3">
      <c r="A307" s="10" t="s">
        <v>70</v>
      </c>
      <c r="B307" s="7">
        <f>SUM(B303:B306)</f>
        <v>14902.349999999999</v>
      </c>
      <c r="C307" s="7"/>
      <c r="D307" s="7"/>
      <c r="E307" s="7"/>
    </row>
    <row r="308" spans="1:5" ht="13" x14ac:dyDescent="0.3">
      <c r="A308" s="10"/>
      <c r="B308" s="7"/>
      <c r="C308" s="7"/>
      <c r="D308" s="7"/>
      <c r="E308" s="7"/>
    </row>
    <row r="309" spans="1:5" ht="13" x14ac:dyDescent="0.3">
      <c r="A309" s="10" t="s">
        <v>87</v>
      </c>
      <c r="B309" s="7">
        <f>SUM(B289,B294,B300) - B307</f>
        <v>-956.92699999999786</v>
      </c>
      <c r="C309" s="7"/>
      <c r="D309" s="7"/>
      <c r="E309" s="7"/>
    </row>
    <row r="310" spans="1:5" ht="13" x14ac:dyDescent="0.3">
      <c r="A310" s="10"/>
      <c r="B310" s="7"/>
      <c r="C310" s="7"/>
      <c r="D310" s="7"/>
      <c r="E310" s="7"/>
    </row>
    <row r="311" spans="1:5" ht="13" x14ac:dyDescent="0.3">
      <c r="A311" s="11" t="s">
        <v>73</v>
      </c>
      <c r="B311" s="7"/>
      <c r="C311" s="7"/>
      <c r="D311" s="7"/>
      <c r="E311" s="7"/>
    </row>
    <row r="312" spans="1:5" ht="13" x14ac:dyDescent="0.3">
      <c r="A312" s="8" t="s">
        <v>75</v>
      </c>
      <c r="B312" s="8" t="s">
        <v>66</v>
      </c>
      <c r="C312" s="8" t="s">
        <v>67</v>
      </c>
      <c r="D312" s="7"/>
      <c r="E312" s="7"/>
    </row>
    <row r="313" spans="1:5" x14ac:dyDescent="0.25">
      <c r="A313" s="9"/>
      <c r="B313" s="9"/>
      <c r="C313" s="9"/>
      <c r="D313" s="9"/>
      <c r="E313" s="9"/>
    </row>
    <row r="314" spans="1:5" x14ac:dyDescent="0.25">
      <c r="A314" s="9"/>
      <c r="B314" s="9"/>
      <c r="C314" s="9"/>
      <c r="D314" s="9"/>
      <c r="E314" s="9"/>
    </row>
    <row r="315" spans="1:5" ht="13" x14ac:dyDescent="0.3">
      <c r="A315" s="10" t="s">
        <v>70</v>
      </c>
      <c r="B315" s="7">
        <f>SUM(B313:B314)</f>
        <v>0</v>
      </c>
      <c r="C315" s="7"/>
      <c r="D315" s="7"/>
      <c r="E315" s="7"/>
    </row>
    <row r="316" spans="1:5" ht="13" x14ac:dyDescent="0.3">
      <c r="A316" s="11"/>
      <c r="B316" s="7"/>
      <c r="C316" s="7"/>
      <c r="D316" s="7"/>
      <c r="E316" s="7"/>
    </row>
    <row r="317" spans="1:5" ht="13" x14ac:dyDescent="0.3">
      <c r="A317" s="8" t="s">
        <v>76</v>
      </c>
      <c r="B317" s="8" t="s">
        <v>66</v>
      </c>
      <c r="C317" s="8" t="s">
        <v>67</v>
      </c>
      <c r="D317" s="7"/>
      <c r="E317" s="7"/>
    </row>
    <row r="318" spans="1:5" x14ac:dyDescent="0.25">
      <c r="A318" s="9" t="s">
        <v>242</v>
      </c>
      <c r="B318" s="9">
        <v>600</v>
      </c>
      <c r="C318" s="9"/>
      <c r="D318" s="9"/>
      <c r="E318" s="9"/>
    </row>
    <row r="319" spans="1:5" x14ac:dyDescent="0.25">
      <c r="A319" s="9"/>
      <c r="B319" s="9"/>
      <c r="C319" s="9"/>
      <c r="D319" s="9"/>
      <c r="E319" s="9"/>
    </row>
    <row r="320" spans="1:5" ht="13" x14ac:dyDescent="0.3">
      <c r="A320" s="10" t="s">
        <v>70</v>
      </c>
      <c r="B320" s="7">
        <f>SUM(B318:B319)</f>
        <v>600</v>
      </c>
      <c r="C320" s="7"/>
      <c r="D320" s="7"/>
      <c r="E320" s="7"/>
    </row>
    <row r="321" spans="1:5" x14ac:dyDescent="0.25">
      <c r="A321" s="7"/>
      <c r="B321" s="7"/>
      <c r="C321" s="7"/>
      <c r="D321" s="7"/>
      <c r="E321" s="7"/>
    </row>
    <row r="322" spans="1:5" ht="13" x14ac:dyDescent="0.3">
      <c r="A322" s="8" t="s">
        <v>86</v>
      </c>
      <c r="B322" s="8" t="s">
        <v>66</v>
      </c>
      <c r="C322" s="8" t="s">
        <v>67</v>
      </c>
      <c r="D322" s="7"/>
      <c r="E322" s="7"/>
    </row>
    <row r="323" spans="1:5" x14ac:dyDescent="0.25">
      <c r="A323" s="9" t="s">
        <v>209</v>
      </c>
      <c r="B323" s="9">
        <v>2029.55</v>
      </c>
      <c r="C323" s="23"/>
      <c r="D323" s="9"/>
      <c r="E323" s="9"/>
    </row>
    <row r="324" spans="1:5" x14ac:dyDescent="0.25">
      <c r="A324" s="9" t="s">
        <v>282</v>
      </c>
      <c r="B324" s="9">
        <v>0</v>
      </c>
      <c r="C324" s="23"/>
      <c r="D324" s="9"/>
      <c r="E324" s="9"/>
    </row>
    <row r="325" spans="1:5" x14ac:dyDescent="0.25">
      <c r="A325" s="9" t="s">
        <v>248</v>
      </c>
      <c r="B325" s="9">
        <f>42611+9469</f>
        <v>52080</v>
      </c>
      <c r="C325" s="20" t="s">
        <v>321</v>
      </c>
      <c r="D325" s="9"/>
      <c r="E325" s="9"/>
    </row>
    <row r="326" spans="1:5" x14ac:dyDescent="0.25">
      <c r="A326" s="9" t="s">
        <v>157</v>
      </c>
      <c r="B326" s="15">
        <v>0</v>
      </c>
      <c r="C326" s="9"/>
      <c r="D326" s="9"/>
      <c r="E326" s="9"/>
    </row>
    <row r="327" spans="1:5" x14ac:dyDescent="0.25">
      <c r="A327" s="9"/>
      <c r="B327" s="9"/>
      <c r="C327" s="9"/>
      <c r="D327" s="9"/>
      <c r="E327" s="9"/>
    </row>
    <row r="328" spans="1:5" ht="13" x14ac:dyDescent="0.3">
      <c r="A328" s="10" t="s">
        <v>70</v>
      </c>
      <c r="B328" s="7">
        <f>SUM(B323:B327)</f>
        <v>54109.55</v>
      </c>
      <c r="C328" s="7"/>
      <c r="D328" s="7"/>
      <c r="E328" s="7"/>
    </row>
    <row r="329" spans="1:5" x14ac:dyDescent="0.25">
      <c r="A329" s="7"/>
      <c r="B329" s="7"/>
      <c r="C329" s="7"/>
      <c r="D329" s="7"/>
      <c r="E329" s="7"/>
    </row>
    <row r="330" spans="1:5" ht="13" x14ac:dyDescent="0.3">
      <c r="A330" s="10" t="s">
        <v>88</v>
      </c>
      <c r="B330" s="7">
        <f>SUM(B315,B320) - B328</f>
        <v>-53509.55</v>
      </c>
      <c r="C330" s="7"/>
      <c r="D330" s="7"/>
      <c r="E330" s="7"/>
    </row>
    <row r="331" spans="1:5" ht="13" x14ac:dyDescent="0.3">
      <c r="A331" s="10"/>
      <c r="B331" s="7"/>
      <c r="C331" s="7"/>
      <c r="D331" s="7"/>
      <c r="E331" s="7"/>
    </row>
    <row r="332" spans="1:5" ht="13" x14ac:dyDescent="0.3">
      <c r="A332" s="8" t="s">
        <v>310</v>
      </c>
      <c r="B332" s="8" t="s">
        <v>66</v>
      </c>
      <c r="C332" s="8" t="s">
        <v>67</v>
      </c>
      <c r="D332" s="7"/>
      <c r="E332" s="7"/>
    </row>
    <row r="333" spans="1:5" ht="62.5" x14ac:dyDescent="0.25">
      <c r="A333" s="19" t="s">
        <v>303</v>
      </c>
      <c r="B333" s="9">
        <v>1292.8399999999999</v>
      </c>
      <c r="C333" s="20" t="s">
        <v>319</v>
      </c>
      <c r="D333" s="9"/>
      <c r="E333" s="9"/>
    </row>
    <row r="334" spans="1:5" ht="37.5" x14ac:dyDescent="0.25">
      <c r="A334" s="19" t="s">
        <v>304</v>
      </c>
      <c r="B334" s="9">
        <v>174.35300000000001</v>
      </c>
      <c r="C334" s="20" t="s">
        <v>308</v>
      </c>
      <c r="D334" s="9"/>
      <c r="E334" s="9"/>
    </row>
    <row r="335" spans="1:5" x14ac:dyDescent="0.25">
      <c r="A335" s="19" t="s">
        <v>306</v>
      </c>
      <c r="B335" s="15">
        <v>0</v>
      </c>
      <c r="C335" s="20"/>
      <c r="D335" s="9"/>
      <c r="E335" s="9"/>
    </row>
    <row r="336" spans="1:5" ht="50" x14ac:dyDescent="0.25">
      <c r="A336" s="19" t="s">
        <v>305</v>
      </c>
      <c r="B336" s="15">
        <v>2866.38</v>
      </c>
      <c r="C336" s="20" t="s">
        <v>309</v>
      </c>
      <c r="D336" s="9"/>
      <c r="E336" s="9"/>
    </row>
    <row r="337" spans="1:5" x14ac:dyDescent="0.25">
      <c r="A337" s="19" t="s">
        <v>307</v>
      </c>
      <c r="B337" s="15">
        <v>0</v>
      </c>
      <c r="C337" s="9"/>
      <c r="D337" s="9"/>
      <c r="E337" s="9"/>
    </row>
    <row r="338" spans="1:5" x14ac:dyDescent="0.25">
      <c r="A338" s="9"/>
      <c r="B338" s="9"/>
      <c r="C338" s="9"/>
      <c r="D338" s="9"/>
      <c r="E338" s="9"/>
    </row>
    <row r="339" spans="1:5" ht="13" x14ac:dyDescent="0.3">
      <c r="A339" s="10" t="s">
        <v>299</v>
      </c>
      <c r="B339" s="7">
        <f>SUM(B333:B338)</f>
        <v>4333.5730000000003</v>
      </c>
      <c r="C339" s="7"/>
      <c r="D339" s="7"/>
      <c r="E339" s="7"/>
    </row>
    <row r="340" spans="1:5" ht="13" x14ac:dyDescent="0.3">
      <c r="A340" s="10" t="s">
        <v>302</v>
      </c>
      <c r="B340" s="7">
        <f>B333</f>
        <v>1292.8399999999999</v>
      </c>
      <c r="C340" s="7"/>
      <c r="D340" s="7"/>
      <c r="E340" s="7"/>
    </row>
    <row r="341" spans="1:5" ht="13" x14ac:dyDescent="0.3">
      <c r="A341" s="10"/>
      <c r="B341" s="7"/>
      <c r="C341" s="7"/>
      <c r="D341" s="7"/>
      <c r="E341" s="7"/>
    </row>
    <row r="342" spans="1:5" ht="13" x14ac:dyDescent="0.3">
      <c r="A342" s="8" t="s">
        <v>251</v>
      </c>
      <c r="B342" s="8" t="s">
        <v>66</v>
      </c>
      <c r="C342" s="8" t="s">
        <v>67</v>
      </c>
      <c r="D342" s="7"/>
      <c r="E342" s="7"/>
    </row>
    <row r="343" spans="1:5" x14ac:dyDescent="0.25">
      <c r="A343" s="19" t="s">
        <v>243</v>
      </c>
      <c r="B343" s="9">
        <v>15099.65</v>
      </c>
      <c r="C343" s="23"/>
      <c r="D343" s="9"/>
      <c r="E343" s="9"/>
    </row>
    <row r="344" spans="1:5" x14ac:dyDescent="0.25">
      <c r="A344" s="9" t="s">
        <v>244</v>
      </c>
      <c r="B344" s="9">
        <v>3348.05</v>
      </c>
      <c r="C344" s="9"/>
      <c r="D344" s="9"/>
      <c r="E344" s="9"/>
    </row>
    <row r="345" spans="1:5" x14ac:dyDescent="0.25">
      <c r="A345" s="9" t="s">
        <v>253</v>
      </c>
      <c r="B345" s="15">
        <v>8856.18</v>
      </c>
      <c r="C345" s="9"/>
      <c r="D345" s="9"/>
      <c r="E345" s="9"/>
    </row>
    <row r="346" spans="1:5" x14ac:dyDescent="0.25">
      <c r="A346" s="9" t="s">
        <v>316</v>
      </c>
      <c r="B346" s="15">
        <v>1705.8</v>
      </c>
      <c r="C346" s="19" t="s">
        <v>320</v>
      </c>
      <c r="D346" s="9"/>
      <c r="E346" s="9"/>
    </row>
    <row r="347" spans="1:5" x14ac:dyDescent="0.25">
      <c r="A347" s="9"/>
      <c r="B347" s="9"/>
      <c r="C347" s="9"/>
      <c r="D347" s="9"/>
      <c r="E347" s="9"/>
    </row>
    <row r="348" spans="1:5" ht="13" x14ac:dyDescent="0.3">
      <c r="A348" s="10" t="s">
        <v>256</v>
      </c>
      <c r="B348" s="7">
        <f>SUM(B343:B347)</f>
        <v>29009.68</v>
      </c>
      <c r="C348" s="7"/>
      <c r="D348" s="7"/>
      <c r="E348" s="7"/>
    </row>
    <row r="349" spans="1:5" ht="13" x14ac:dyDescent="0.3">
      <c r="A349" s="31" t="s">
        <v>257</v>
      </c>
      <c r="B349" s="30">
        <v>20000</v>
      </c>
      <c r="C349" s="30"/>
      <c r="D349" s="30"/>
      <c r="E349" s="30"/>
    </row>
    <row r="350" spans="1:5" ht="13" x14ac:dyDescent="0.3">
      <c r="A350" s="31" t="s">
        <v>297</v>
      </c>
      <c r="B350" s="30">
        <f>B343+B349</f>
        <v>35099.65</v>
      </c>
      <c r="C350" s="30"/>
      <c r="D350" s="30"/>
      <c r="E350" s="30"/>
    </row>
    <row r="351" spans="1:5" ht="13" x14ac:dyDescent="0.3">
      <c r="A351" s="31" t="s">
        <v>300</v>
      </c>
      <c r="B351" s="30">
        <f>B348+B339</f>
        <v>33343.252999999997</v>
      </c>
      <c r="C351" s="30" t="s">
        <v>312</v>
      </c>
      <c r="D351" s="30"/>
      <c r="E351" s="30"/>
    </row>
    <row r="352" spans="1:5" ht="13" x14ac:dyDescent="0.3">
      <c r="A352" s="31" t="s">
        <v>301</v>
      </c>
      <c r="B352" s="30">
        <f>B348+B340</f>
        <v>30302.52</v>
      </c>
      <c r="C352" s="30" t="s">
        <v>312</v>
      </c>
      <c r="D352" s="30"/>
      <c r="E352" s="30"/>
    </row>
    <row r="353" spans="1:5" x14ac:dyDescent="0.25">
      <c r="A353" s="7"/>
      <c r="B353" s="7"/>
      <c r="C353" s="7"/>
      <c r="D353" s="7"/>
      <c r="E353" s="7"/>
    </row>
    <row r="354" spans="1:5" ht="13" x14ac:dyDescent="0.3">
      <c r="A354" s="5" t="s">
        <v>255</v>
      </c>
      <c r="B354" s="7"/>
      <c r="C354" s="7"/>
      <c r="D354" s="7"/>
      <c r="E354" s="7"/>
    </row>
    <row r="355" spans="1:5" ht="13" x14ac:dyDescent="0.3">
      <c r="A355" s="8" t="s">
        <v>94</v>
      </c>
      <c r="B355" s="8" t="s">
        <v>66</v>
      </c>
      <c r="C355" s="8" t="s">
        <v>67</v>
      </c>
      <c r="D355" s="7"/>
      <c r="E355" s="7"/>
    </row>
    <row r="356" spans="1:5" x14ac:dyDescent="0.25">
      <c r="A356" s="9" t="s">
        <v>90</v>
      </c>
      <c r="B356" s="15">
        <v>71375.820000000007</v>
      </c>
      <c r="C356" s="9"/>
      <c r="D356" s="9"/>
      <c r="E356" s="9"/>
    </row>
    <row r="357" spans="1:5" x14ac:dyDescent="0.25">
      <c r="A357" s="9" t="s">
        <v>91</v>
      </c>
      <c r="B357" s="9">
        <v>10374.09</v>
      </c>
      <c r="C357" s="9"/>
      <c r="D357" s="9"/>
      <c r="E357" s="9"/>
    </row>
    <row r="358" spans="1:5" x14ac:dyDescent="0.25">
      <c r="A358" s="9" t="s">
        <v>92</v>
      </c>
      <c r="B358" s="9">
        <v>0</v>
      </c>
      <c r="C358" s="28">
        <v>0</v>
      </c>
      <c r="D358" s="9"/>
      <c r="E358" s="9"/>
    </row>
    <row r="359" spans="1:5" x14ac:dyDescent="0.25">
      <c r="A359" s="9" t="s">
        <v>93</v>
      </c>
      <c r="B359" s="9">
        <v>35060.49</v>
      </c>
      <c r="C359" s="28" t="s">
        <v>247</v>
      </c>
      <c r="D359" s="9"/>
      <c r="E359" s="9"/>
    </row>
    <row r="360" spans="1:5" x14ac:dyDescent="0.25">
      <c r="A360" s="9" t="s">
        <v>250</v>
      </c>
      <c r="B360" s="9">
        <v>40000</v>
      </c>
      <c r="C360" s="28"/>
      <c r="D360" s="9"/>
      <c r="E360" s="9"/>
    </row>
    <row r="361" spans="1:5" x14ac:dyDescent="0.25">
      <c r="A361" s="9" t="s">
        <v>122</v>
      </c>
      <c r="B361" s="28">
        <v>10</v>
      </c>
      <c r="C361" s="19" t="s">
        <v>378</v>
      </c>
      <c r="D361" s="9"/>
      <c r="E361" s="9"/>
    </row>
    <row r="362" spans="1:5" x14ac:dyDescent="0.25">
      <c r="A362" s="9" t="s">
        <v>228</v>
      </c>
      <c r="B362" s="28">
        <v>0</v>
      </c>
      <c r="C362" s="28"/>
      <c r="D362" s="9"/>
      <c r="E362" s="9"/>
    </row>
    <row r="363" spans="1:5" ht="13" x14ac:dyDescent="0.3">
      <c r="A363" s="10" t="s">
        <v>254</v>
      </c>
      <c r="B363" s="35">
        <f>SUM(B356:B362)</f>
        <v>156820.4</v>
      </c>
      <c r="C363" s="7"/>
      <c r="D363" s="7"/>
      <c r="E363" s="7"/>
    </row>
    <row r="364" spans="1:5" x14ac:dyDescent="0.25">
      <c r="A364" s="7"/>
      <c r="B364" s="7"/>
      <c r="C364" s="7"/>
      <c r="D364" s="7"/>
      <c r="E364" s="7"/>
    </row>
    <row r="365" spans="1:5" ht="13" x14ac:dyDescent="0.3">
      <c r="A365" s="5" t="s">
        <v>99</v>
      </c>
      <c r="B365" s="7">
        <f xml:space="preserve"> B348+B330-B309</f>
        <v>-23542.943000000007</v>
      </c>
      <c r="C365" s="7"/>
      <c r="D365" s="7"/>
      <c r="E365" s="7"/>
    </row>
    <row r="366" spans="1:5" ht="13" x14ac:dyDescent="0.3">
      <c r="A366" s="32" t="s">
        <v>260</v>
      </c>
      <c r="B366" s="30">
        <f xml:space="preserve"> B350+B330-B309</f>
        <v>-17452.973000000005</v>
      </c>
      <c r="C366" s="30"/>
      <c r="D366" s="30"/>
      <c r="E366" s="30"/>
    </row>
    <row r="367" spans="1:5" ht="13" x14ac:dyDescent="0.3">
      <c r="A367" s="5" t="s">
        <v>100</v>
      </c>
      <c r="B367" s="38">
        <f>SUM(B363,B365)</f>
        <v>133277.45699999999</v>
      </c>
      <c r="C367" s="21"/>
      <c r="D367" s="7"/>
      <c r="E367" s="7"/>
    </row>
    <row r="368" spans="1:5" ht="13" x14ac:dyDescent="0.3">
      <c r="A368" s="32" t="s">
        <v>259</v>
      </c>
      <c r="B368" s="38">
        <f>SUM(B363,B366)</f>
        <v>139367.427</v>
      </c>
      <c r="C368" s="33"/>
      <c r="D368" s="30"/>
      <c r="E368" s="30"/>
    </row>
    <row r="369" spans="1:5" ht="13" x14ac:dyDescent="0.3">
      <c r="A369" s="32" t="s">
        <v>261</v>
      </c>
      <c r="B369" s="30">
        <v>17000</v>
      </c>
      <c r="C369" s="33"/>
      <c r="D369" s="30"/>
      <c r="E369" s="30"/>
    </row>
    <row r="370" spans="1:5" ht="13" x14ac:dyDescent="0.3">
      <c r="A370" s="32" t="s">
        <v>262</v>
      </c>
      <c r="B370" s="30">
        <v>2000</v>
      </c>
      <c r="C370" s="33"/>
      <c r="D370" s="30"/>
      <c r="E370" s="30"/>
    </row>
    <row r="371" spans="1:5" ht="13" x14ac:dyDescent="0.3">
      <c r="A371" s="32" t="s">
        <v>263</v>
      </c>
      <c r="B371" s="30">
        <v>0</v>
      </c>
      <c r="C371" s="33" t="s">
        <v>264</v>
      </c>
      <c r="D371" s="30"/>
      <c r="E371" s="30"/>
    </row>
    <row r="372" spans="1:5" ht="13" x14ac:dyDescent="0.3">
      <c r="A372" s="32" t="s">
        <v>265</v>
      </c>
      <c r="B372" s="38">
        <f>SUM(B367,B369:B371)</f>
        <v>152277.45699999999</v>
      </c>
      <c r="C372" s="37" t="s">
        <v>311</v>
      </c>
      <c r="D372" s="30"/>
      <c r="E372" s="30"/>
    </row>
    <row r="373" spans="1:5" ht="26" x14ac:dyDescent="0.3">
      <c r="A373" s="34" t="s">
        <v>266</v>
      </c>
      <c r="B373" s="38">
        <f>SUM(B368,B369:B371)</f>
        <v>158367.427</v>
      </c>
      <c r="C373" s="33"/>
      <c r="D373" s="30"/>
      <c r="E373" s="30"/>
    </row>
    <row r="374" spans="1:5" ht="13" x14ac:dyDescent="0.3">
      <c r="A374" s="34" t="s">
        <v>373</v>
      </c>
      <c r="B374" s="38">
        <f>B367-B304-B305-B306-B318-B359-B360</f>
        <v>42714.616999999998</v>
      </c>
      <c r="C374" s="33"/>
      <c r="D374" s="30"/>
      <c r="E374" s="30"/>
    </row>
    <row r="375" spans="1:5" ht="26" x14ac:dyDescent="0.3">
      <c r="A375" s="34" t="s">
        <v>374</v>
      </c>
      <c r="B375" s="38">
        <f>B368-B304-B305-B306-B318-B359-B360</f>
        <v>48804.587</v>
      </c>
      <c r="C375" s="33"/>
      <c r="D375" s="30"/>
      <c r="E375" s="30"/>
    </row>
    <row r="376" spans="1:5" ht="26" x14ac:dyDescent="0.3">
      <c r="A376" s="34" t="s">
        <v>375</v>
      </c>
      <c r="B376" s="38">
        <f>B372-B304-B305-B306-B318-B359-B360</f>
        <v>61714.616999999998</v>
      </c>
      <c r="C376" s="33"/>
      <c r="D376" s="30"/>
      <c r="E376" s="30"/>
    </row>
    <row r="377" spans="1:5" ht="39" x14ac:dyDescent="0.3">
      <c r="A377" s="34" t="s">
        <v>376</v>
      </c>
      <c r="B377" s="38">
        <f>B373-B304-B305-B306-B318-B359-B360</f>
        <v>67804.587</v>
      </c>
      <c r="C377" s="33"/>
      <c r="D377" s="30"/>
      <c r="E377" s="30"/>
    </row>
    <row r="378" spans="1:5" ht="13" x14ac:dyDescent="0.3">
      <c r="A378" s="34" t="s">
        <v>313</v>
      </c>
      <c r="B378" s="38">
        <f>B372-B304-B305</f>
        <v>141080.10699999999</v>
      </c>
      <c r="C378" s="37" t="s">
        <v>315</v>
      </c>
      <c r="D378" s="30"/>
      <c r="E378" s="30"/>
    </row>
    <row r="379" spans="1:5" ht="26" x14ac:dyDescent="0.3">
      <c r="A379" s="34" t="s">
        <v>314</v>
      </c>
      <c r="B379" s="38">
        <f>B373-B304-B305</f>
        <v>147170.07699999999</v>
      </c>
      <c r="C379" s="33"/>
      <c r="D379" s="30"/>
      <c r="E379" s="30"/>
    </row>
    <row r="380" spans="1:5" ht="13" x14ac:dyDescent="0.3">
      <c r="A380" s="5" t="s">
        <v>108</v>
      </c>
      <c r="B380" s="7">
        <v>16493.8</v>
      </c>
      <c r="C380" s="29" t="s">
        <v>249</v>
      </c>
      <c r="D380" s="7"/>
      <c r="E380" s="7"/>
    </row>
    <row r="381" spans="1:5" ht="100.5" x14ac:dyDescent="0.3">
      <c r="A381" s="5" t="s">
        <v>110</v>
      </c>
      <c r="B381" s="7">
        <f xml:space="preserve"> B367 - B380</f>
        <v>116783.65699999999</v>
      </c>
      <c r="C381" s="22" t="s">
        <v>197</v>
      </c>
      <c r="D381" s="7"/>
      <c r="E381" s="7"/>
    </row>
  </sheetData>
  <mergeCells count="4">
    <mergeCell ref="A138:E140"/>
    <mergeCell ref="B141:D141"/>
    <mergeCell ref="A267:E269"/>
    <mergeCell ref="B270:D270"/>
  </mergeCells>
  <dataValidations count="12">
    <dataValidation type="list" allowBlank="1" showInputMessage="1" showErrorMessage="1" sqref="A333:A337" xr:uid="{00000000-0002-0000-0E00-000000000000}">
      <formula1>$A$132:$A$136</formula1>
    </dataValidation>
    <dataValidation type="list" allowBlank="1" showInputMessage="1" showErrorMessage="1" sqref="A356:A362 A243:A249" xr:uid="{00000000-0002-0000-0E00-000001000000}">
      <formula1>$A$117:$A$123</formula1>
    </dataValidation>
    <dataValidation type="list" allowBlank="1" showInputMessage="1" showErrorMessage="1" sqref="A313:A314 A214:A215" xr:uid="{00000000-0002-0000-0E00-000002000000}">
      <formula1>$A$106:$A$107</formula1>
    </dataValidation>
    <dataValidation type="list" allowBlank="1" showInputMessage="1" showErrorMessage="1" sqref="A297:A299 A191:A199" xr:uid="{00000000-0002-0000-0E00-000003000000}">
      <formula1>$A$53:$A$84</formula1>
    </dataValidation>
    <dataValidation type="list" allowBlank="1" showInputMessage="1" showErrorMessage="1" sqref="A292:A293 A184:A187" xr:uid="{00000000-0002-0000-0E00-000004000000}">
      <formula1>$A$41:$A$50</formula1>
    </dataValidation>
    <dataValidation type="list" allowBlank="1" showInputMessage="1" showErrorMessage="1" sqref="A323:A327 A224:A227" xr:uid="{00000000-0002-0000-0E00-000005000000}">
      <formula1>$A$99:$A$103</formula1>
    </dataValidation>
    <dataValidation type="time" operator="greaterThan" allowBlank="1" showInputMessage="1" showErrorMessage="1" sqref="B272" xr:uid="{00000000-0002-0000-0E00-000006000000}">
      <formula1>0</formula1>
    </dataValidation>
    <dataValidation type="date" operator="greaterThan" allowBlank="1" showInputMessage="1" showErrorMessage="1" sqref="B271" xr:uid="{00000000-0002-0000-0E00-000007000000}">
      <formula1>41275</formula1>
    </dataValidation>
    <dataValidation type="list" allowBlank="1" showInputMessage="1" showErrorMessage="1" sqref="A147:A179 A276:A288" xr:uid="{00000000-0002-0000-0E00-000008000000}">
      <formula1>$A$3:$A$38</formula1>
    </dataValidation>
    <dataValidation type="list" allowBlank="1" showInputMessage="1" showErrorMessage="1" sqref="A343:A347 A338 A233:A236" xr:uid="{00000000-0002-0000-0E00-000009000000}">
      <formula1>$A$126:$A$129</formula1>
    </dataValidation>
    <dataValidation type="list" allowBlank="1" showInputMessage="1" showErrorMessage="1" sqref="A318:A319 A219:A220" xr:uid="{00000000-0002-0000-0E00-00000A000000}">
      <formula1>$A$110:$A$114</formula1>
    </dataValidation>
    <dataValidation type="list" allowBlank="1" showInputMessage="1" showErrorMessage="1" sqref="A203:A207 A303:A306" xr:uid="{00000000-0002-0000-0E00-00000B000000}">
      <formula1>$A$87:$A$96</formula1>
    </dataValidation>
  </dataValidations>
  <pageMargins left="0.75" right="0.75" top="1" bottom="1" header="0.3" footer="0.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96"/>
  <sheetViews>
    <sheetView topLeftCell="A345" workbookViewId="0">
      <selection activeCell="B309" sqref="B309"/>
    </sheetView>
  </sheetViews>
  <sheetFormatPr defaultColWidth="8.81640625" defaultRowHeight="12.5" x14ac:dyDescent="0.25"/>
  <cols>
    <col min="1" max="1" width="77.6328125" bestFit="1" customWidth="1"/>
    <col min="2" max="2" width="17.453125" customWidth="1"/>
    <col min="3" max="3" width="74.36328125"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322</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355</v>
      </c>
      <c r="C20">
        <v>2707.96</v>
      </c>
    </row>
    <row r="21" spans="1:3" x14ac:dyDescent="0.25">
      <c r="A21" t="s">
        <v>15</v>
      </c>
      <c r="C21">
        <v>150</v>
      </c>
    </row>
    <row r="22" spans="1:3" x14ac:dyDescent="0.25">
      <c r="A22" t="s">
        <v>9</v>
      </c>
      <c r="B22">
        <v>600</v>
      </c>
    </row>
    <row r="23" spans="1:3" x14ac:dyDescent="0.25">
      <c r="A23" t="s">
        <v>28</v>
      </c>
      <c r="C23">
        <v>50</v>
      </c>
    </row>
    <row r="24" spans="1:3" x14ac:dyDescent="0.25">
      <c r="A24" t="s">
        <v>153</v>
      </c>
      <c r="C24">
        <v>40</v>
      </c>
    </row>
    <row r="25" spans="1:3" x14ac:dyDescent="0.25">
      <c r="A25" t="s">
        <v>32</v>
      </c>
      <c r="C25">
        <v>100</v>
      </c>
    </row>
    <row r="26" spans="1:3" x14ac:dyDescent="0.25">
      <c r="A26" t="s">
        <v>33</v>
      </c>
      <c r="C26">
        <v>100</v>
      </c>
    </row>
    <row r="27" spans="1:3" x14ac:dyDescent="0.25">
      <c r="A27" t="s">
        <v>34</v>
      </c>
      <c r="C27">
        <v>0</v>
      </c>
    </row>
    <row r="28" spans="1:3" x14ac:dyDescent="0.25">
      <c r="A28" t="s">
        <v>35</v>
      </c>
      <c r="C28">
        <v>150</v>
      </c>
    </row>
    <row r="29" spans="1:3" x14ac:dyDescent="0.25">
      <c r="A29" t="s">
        <v>39</v>
      </c>
      <c r="C29">
        <v>100</v>
      </c>
    </row>
    <row r="30" spans="1:3" x14ac:dyDescent="0.25">
      <c r="A30" t="s">
        <v>42</v>
      </c>
      <c r="C30">
        <v>250</v>
      </c>
    </row>
    <row r="31" spans="1:3" x14ac:dyDescent="0.25">
      <c r="A31" t="s">
        <v>272</v>
      </c>
      <c r="C31">
        <v>2481.16</v>
      </c>
    </row>
    <row r="32" spans="1:3" x14ac:dyDescent="0.25">
      <c r="A32" t="s">
        <v>273</v>
      </c>
      <c r="C32">
        <v>243</v>
      </c>
    </row>
    <row r="33" spans="1:3" x14ac:dyDescent="0.25">
      <c r="A33" t="s">
        <v>379</v>
      </c>
      <c r="C33">
        <v>75</v>
      </c>
    </row>
    <row r="34" spans="1:3" x14ac:dyDescent="0.25">
      <c r="A34" t="s">
        <v>49</v>
      </c>
      <c r="C34">
        <v>80</v>
      </c>
    </row>
    <row r="35" spans="1:3" x14ac:dyDescent="0.25">
      <c r="A35" t="s">
        <v>281</v>
      </c>
      <c r="C35">
        <v>150</v>
      </c>
    </row>
    <row r="36" spans="1:3" x14ac:dyDescent="0.25">
      <c r="A36" t="s">
        <v>280</v>
      </c>
      <c r="C36">
        <v>100</v>
      </c>
    </row>
    <row r="37" spans="1:3" x14ac:dyDescent="0.25">
      <c r="A37" t="s">
        <v>151</v>
      </c>
    </row>
    <row r="38" spans="1:3" x14ac:dyDescent="0.25">
      <c r="A38" t="s">
        <v>347</v>
      </c>
      <c r="C38">
        <v>50</v>
      </c>
    </row>
    <row r="39" spans="1:3" x14ac:dyDescent="0.25">
      <c r="A39" t="s">
        <v>358</v>
      </c>
    </row>
    <row r="41" spans="1:3" ht="13" x14ac:dyDescent="0.3">
      <c r="A41" s="1" t="s">
        <v>31</v>
      </c>
    </row>
    <row r="42" spans="1:3" x14ac:dyDescent="0.25">
      <c r="A42" t="s">
        <v>25</v>
      </c>
    </row>
    <row r="43" spans="1:3" x14ac:dyDescent="0.25">
      <c r="A43" t="s">
        <v>19</v>
      </c>
    </row>
    <row r="44" spans="1:3" x14ac:dyDescent="0.25">
      <c r="A44" t="s">
        <v>18</v>
      </c>
    </row>
    <row r="45" spans="1:3" x14ac:dyDescent="0.25">
      <c r="A45" t="s">
        <v>20</v>
      </c>
    </row>
    <row r="46" spans="1:3" x14ac:dyDescent="0.25">
      <c r="A46" t="s">
        <v>189</v>
      </c>
    </row>
    <row r="47" spans="1:3" x14ac:dyDescent="0.25">
      <c r="A47" t="s">
        <v>21</v>
      </c>
    </row>
    <row r="48" spans="1:3" x14ac:dyDescent="0.25">
      <c r="A48" t="s">
        <v>175</v>
      </c>
    </row>
    <row r="49" spans="1:1" x14ac:dyDescent="0.25">
      <c r="A49" t="s">
        <v>173</v>
      </c>
    </row>
    <row r="50" spans="1:1" x14ac:dyDescent="0.25">
      <c r="A50" t="s">
        <v>27</v>
      </c>
    </row>
    <row r="51" spans="1:1" x14ac:dyDescent="0.25">
      <c r="A51" t="s">
        <v>36</v>
      </c>
    </row>
    <row r="53" spans="1:1" ht="13" x14ac:dyDescent="0.3">
      <c r="A53" s="1" t="s">
        <v>82</v>
      </c>
    </row>
    <row r="54" spans="1:1" x14ac:dyDescent="0.25">
      <c r="A54" t="s">
        <v>40</v>
      </c>
    </row>
    <row r="55" spans="1:1" x14ac:dyDescent="0.25">
      <c r="A55" t="s">
        <v>160</v>
      </c>
    </row>
    <row r="56" spans="1:1" x14ac:dyDescent="0.25">
      <c r="A56" t="s">
        <v>41</v>
      </c>
    </row>
    <row r="57" spans="1:1" x14ac:dyDescent="0.25">
      <c r="A57" t="s">
        <v>43</v>
      </c>
    </row>
    <row r="58" spans="1:1" x14ac:dyDescent="0.25">
      <c r="A58" t="s">
        <v>44</v>
      </c>
    </row>
    <row r="59" spans="1:1" x14ac:dyDescent="0.25">
      <c r="A59" t="s">
        <v>45</v>
      </c>
    </row>
    <row r="60" spans="1:1" x14ac:dyDescent="0.25">
      <c r="A60" t="s">
        <v>46</v>
      </c>
    </row>
    <row r="61" spans="1:1" x14ac:dyDescent="0.25">
      <c r="A61" t="s">
        <v>47</v>
      </c>
    </row>
    <row r="62" spans="1:1" x14ac:dyDescent="0.25">
      <c r="A62" t="s">
        <v>48</v>
      </c>
    </row>
    <row r="63" spans="1:1" x14ac:dyDescent="0.25">
      <c r="A63" t="s">
        <v>50</v>
      </c>
    </row>
    <row r="64" spans="1:1" x14ac:dyDescent="0.25">
      <c r="A64" t="s">
        <v>51</v>
      </c>
    </row>
    <row r="65" spans="1:1" x14ac:dyDescent="0.25">
      <c r="A65" t="s">
        <v>52</v>
      </c>
    </row>
    <row r="66" spans="1:1" x14ac:dyDescent="0.25">
      <c r="A66" s="27" t="s">
        <v>231</v>
      </c>
    </row>
    <row r="67" spans="1:1" x14ac:dyDescent="0.25">
      <c r="A67" s="27" t="s">
        <v>230</v>
      </c>
    </row>
    <row r="68" spans="1:1" x14ac:dyDescent="0.25">
      <c r="A68" t="s">
        <v>53</v>
      </c>
    </row>
    <row r="69" spans="1:1" x14ac:dyDescent="0.25">
      <c r="A69" t="s">
        <v>54</v>
      </c>
    </row>
    <row r="70" spans="1:1" x14ac:dyDescent="0.25">
      <c r="A70" t="s">
        <v>55</v>
      </c>
    </row>
    <row r="71" spans="1:1" x14ac:dyDescent="0.25">
      <c r="A71" t="s">
        <v>56</v>
      </c>
    </row>
    <row r="72" spans="1:1" x14ac:dyDescent="0.25">
      <c r="A72" t="s">
        <v>57</v>
      </c>
    </row>
    <row r="73" spans="1:1" x14ac:dyDescent="0.25">
      <c r="A73" t="s">
        <v>58</v>
      </c>
    </row>
    <row r="74" spans="1:1" x14ac:dyDescent="0.25">
      <c r="A74" t="s">
        <v>59</v>
      </c>
    </row>
    <row r="75" spans="1:1" x14ac:dyDescent="0.25">
      <c r="A75" t="s">
        <v>60</v>
      </c>
    </row>
    <row r="76" spans="1:1" x14ac:dyDescent="0.25">
      <c r="A76" t="s">
        <v>61</v>
      </c>
    </row>
    <row r="77" spans="1:1" x14ac:dyDescent="0.25">
      <c r="A77" t="s">
        <v>62</v>
      </c>
    </row>
    <row r="78" spans="1:1" x14ac:dyDescent="0.25">
      <c r="A78" t="s">
        <v>81</v>
      </c>
    </row>
    <row r="79" spans="1:1" x14ac:dyDescent="0.25">
      <c r="A79" t="s">
        <v>63</v>
      </c>
    </row>
    <row r="80" spans="1:1" x14ac:dyDescent="0.25">
      <c r="A80" t="s">
        <v>64</v>
      </c>
    </row>
    <row r="81" spans="1:1" x14ac:dyDescent="0.25">
      <c r="A81" s="27" t="s">
        <v>240</v>
      </c>
    </row>
    <row r="82" spans="1:1" x14ac:dyDescent="0.25">
      <c r="A82" t="s">
        <v>161</v>
      </c>
    </row>
    <row r="83" spans="1:1" x14ac:dyDescent="0.25">
      <c r="A83" t="s">
        <v>177</v>
      </c>
    </row>
    <row r="84" spans="1:1" x14ac:dyDescent="0.25">
      <c r="A84" s="27" t="s">
        <v>202</v>
      </c>
    </row>
    <row r="85" spans="1:1" x14ac:dyDescent="0.25">
      <c r="A85" t="s">
        <v>150</v>
      </c>
    </row>
    <row r="87" spans="1:1" ht="13" x14ac:dyDescent="0.3">
      <c r="A87" s="1" t="s">
        <v>85</v>
      </c>
    </row>
    <row r="88" spans="1:1" x14ac:dyDescent="0.25">
      <c r="A88" t="s">
        <v>23</v>
      </c>
    </row>
    <row r="89" spans="1:1" x14ac:dyDescent="0.25">
      <c r="A89" t="s">
        <v>24</v>
      </c>
    </row>
    <row r="90" spans="1:1" x14ac:dyDescent="0.25">
      <c r="A90" t="s">
        <v>29</v>
      </c>
    </row>
    <row r="91" spans="1:1" x14ac:dyDescent="0.25">
      <c r="A91" t="s">
        <v>296</v>
      </c>
    </row>
    <row r="92" spans="1:1" x14ac:dyDescent="0.25">
      <c r="A92" t="s">
        <v>137</v>
      </c>
    </row>
    <row r="93" spans="1:1" x14ac:dyDescent="0.25">
      <c r="A93" t="s">
        <v>104</v>
      </c>
    </row>
    <row r="94" spans="1:1" x14ac:dyDescent="0.25">
      <c r="A94" t="s">
        <v>155</v>
      </c>
    </row>
    <row r="95" spans="1:1" x14ac:dyDescent="0.25">
      <c r="A95" t="s">
        <v>162</v>
      </c>
    </row>
    <row r="96" spans="1:1" x14ac:dyDescent="0.25">
      <c r="A96" t="s">
        <v>245</v>
      </c>
    </row>
    <row r="97" spans="1:1" x14ac:dyDescent="0.25">
      <c r="A97" t="s">
        <v>30</v>
      </c>
    </row>
    <row r="99" spans="1:1" ht="13" x14ac:dyDescent="0.3">
      <c r="A99" s="1" t="s">
        <v>86</v>
      </c>
    </row>
    <row r="100" spans="1:1" x14ac:dyDescent="0.25">
      <c r="A100" s="27" t="s">
        <v>209</v>
      </c>
    </row>
    <row r="101" spans="1:1" x14ac:dyDescent="0.25">
      <c r="A101" s="27" t="s">
        <v>248</v>
      </c>
    </row>
    <row r="102" spans="1:1" x14ac:dyDescent="0.25">
      <c r="A102" s="27" t="s">
        <v>282</v>
      </c>
    </row>
    <row r="103" spans="1:1" x14ac:dyDescent="0.25">
      <c r="A103" t="s">
        <v>157</v>
      </c>
    </row>
    <row r="104" spans="1:1" x14ac:dyDescent="0.25">
      <c r="A104" t="s">
        <v>72</v>
      </c>
    </row>
    <row r="106" spans="1:1" ht="13" x14ac:dyDescent="0.3">
      <c r="A106" s="1" t="s">
        <v>75</v>
      </c>
    </row>
    <row r="107" spans="1:1" x14ac:dyDescent="0.25">
      <c r="A107" t="s">
        <v>74</v>
      </c>
    </row>
    <row r="108" spans="1:1" x14ac:dyDescent="0.25">
      <c r="A108" t="s">
        <v>383</v>
      </c>
    </row>
    <row r="109" spans="1:1" x14ac:dyDescent="0.25">
      <c r="A109" t="s">
        <v>83</v>
      </c>
    </row>
    <row r="111" spans="1:1" ht="13" x14ac:dyDescent="0.3">
      <c r="A111" s="1" t="s">
        <v>76</v>
      </c>
    </row>
    <row r="112" spans="1:1" x14ac:dyDescent="0.25">
      <c r="A112" t="s">
        <v>77</v>
      </c>
    </row>
    <row r="113" spans="1:1" x14ac:dyDescent="0.25">
      <c r="A113" t="s">
        <v>78</v>
      </c>
    </row>
    <row r="114" spans="1:1" x14ac:dyDescent="0.25">
      <c r="A114" t="s">
        <v>242</v>
      </c>
    </row>
    <row r="115" spans="1:1" x14ac:dyDescent="0.25">
      <c r="A115" t="s">
        <v>79</v>
      </c>
    </row>
    <row r="116" spans="1:1" x14ac:dyDescent="0.25">
      <c r="A116" t="s">
        <v>80</v>
      </c>
    </row>
    <row r="118" spans="1:1" ht="13" x14ac:dyDescent="0.3">
      <c r="A118" s="1" t="s">
        <v>89</v>
      </c>
    </row>
    <row r="119" spans="1:1" x14ac:dyDescent="0.25">
      <c r="A119" t="s">
        <v>90</v>
      </c>
    </row>
    <row r="120" spans="1:1" x14ac:dyDescent="0.25">
      <c r="A120" t="s">
        <v>91</v>
      </c>
    </row>
    <row r="121" spans="1:1" x14ac:dyDescent="0.25">
      <c r="A121" t="s">
        <v>400</v>
      </c>
    </row>
    <row r="122" spans="1:1" x14ac:dyDescent="0.25">
      <c r="A122" t="s">
        <v>92</v>
      </c>
    </row>
    <row r="123" spans="1:1" x14ac:dyDescent="0.25">
      <c r="A123" t="s">
        <v>122</v>
      </c>
    </row>
    <row r="124" spans="1:1" x14ac:dyDescent="0.25">
      <c r="A124" s="27" t="s">
        <v>228</v>
      </c>
    </row>
    <row r="125" spans="1:1" x14ac:dyDescent="0.25">
      <c r="A125" s="27" t="s">
        <v>250</v>
      </c>
    </row>
    <row r="126" spans="1:1" x14ac:dyDescent="0.25">
      <c r="A126" t="s">
        <v>93</v>
      </c>
    </row>
    <row r="128" spans="1:1" ht="13" x14ac:dyDescent="0.3">
      <c r="A128" s="1" t="s">
        <v>252</v>
      </c>
    </row>
    <row r="129" spans="1:5" x14ac:dyDescent="0.25">
      <c r="A129" t="s">
        <v>244</v>
      </c>
    </row>
    <row r="130" spans="1:5" x14ac:dyDescent="0.25">
      <c r="A130" t="s">
        <v>243</v>
      </c>
    </row>
    <row r="131" spans="1:5" x14ac:dyDescent="0.25">
      <c r="A131" t="s">
        <v>316</v>
      </c>
    </row>
    <row r="132" spans="1:5" x14ac:dyDescent="0.25">
      <c r="A132" s="27" t="s">
        <v>253</v>
      </c>
    </row>
    <row r="133" spans="1:5" x14ac:dyDescent="0.25">
      <c r="A133" s="27"/>
    </row>
    <row r="134" spans="1:5" ht="13" x14ac:dyDescent="0.3">
      <c r="A134" s="1" t="s">
        <v>298</v>
      </c>
    </row>
    <row r="135" spans="1:5" x14ac:dyDescent="0.25">
      <c r="A135" t="s">
        <v>303</v>
      </c>
    </row>
    <row r="136" spans="1:5" x14ac:dyDescent="0.25">
      <c r="A136" t="s">
        <v>304</v>
      </c>
    </row>
    <row r="137" spans="1:5" x14ac:dyDescent="0.25">
      <c r="A137" t="s">
        <v>305</v>
      </c>
    </row>
    <row r="138" spans="1:5" x14ac:dyDescent="0.25">
      <c r="A138" t="s">
        <v>306</v>
      </c>
    </row>
    <row r="139" spans="1:5" x14ac:dyDescent="0.25">
      <c r="A139" s="36" t="s">
        <v>307</v>
      </c>
    </row>
    <row r="141" spans="1:5" x14ac:dyDescent="0.25">
      <c r="A141" s="66"/>
      <c r="B141" s="66"/>
      <c r="C141" s="66"/>
      <c r="D141" s="66"/>
      <c r="E141" s="66"/>
    </row>
    <row r="142" spans="1:5" x14ac:dyDescent="0.25">
      <c r="A142" s="66"/>
      <c r="B142" s="66"/>
      <c r="C142" s="66"/>
      <c r="D142" s="66"/>
      <c r="E142" s="66"/>
    </row>
    <row r="143" spans="1:5" x14ac:dyDescent="0.25">
      <c r="A143" s="67"/>
      <c r="B143" s="67"/>
      <c r="C143" s="67"/>
      <c r="D143" s="67"/>
      <c r="E143" s="67"/>
    </row>
    <row r="144" spans="1:5" ht="13" x14ac:dyDescent="0.3">
      <c r="A144" s="3" t="s">
        <v>324</v>
      </c>
      <c r="B144" s="68" t="s">
        <v>286</v>
      </c>
      <c r="C144" s="68"/>
      <c r="D144" s="68"/>
      <c r="E144" s="4"/>
    </row>
    <row r="145" spans="1:6" ht="13" x14ac:dyDescent="0.3">
      <c r="A145" s="5" t="s">
        <v>95</v>
      </c>
      <c r="B145" s="39">
        <v>42981</v>
      </c>
      <c r="C145" s="6"/>
      <c r="D145" s="6"/>
      <c r="E145" s="7"/>
    </row>
    <row r="146" spans="1:6" ht="13" x14ac:dyDescent="0.3">
      <c r="A146" s="5" t="s">
        <v>102</v>
      </c>
      <c r="B146" s="40">
        <v>0.21597222222222223</v>
      </c>
      <c r="C146" s="6"/>
      <c r="D146" s="6"/>
      <c r="E146" s="7"/>
    </row>
    <row r="147" spans="1:6" ht="13" x14ac:dyDescent="0.3">
      <c r="A147" s="5"/>
      <c r="B147" s="6"/>
      <c r="C147" s="6"/>
      <c r="D147" s="6"/>
      <c r="E147" s="7"/>
    </row>
    <row r="148" spans="1:6" ht="13" x14ac:dyDescent="0.3">
      <c r="A148" s="5" t="s">
        <v>84</v>
      </c>
      <c r="B148" s="6"/>
      <c r="C148" s="6"/>
      <c r="D148" s="6"/>
      <c r="E148" s="7"/>
    </row>
    <row r="149" spans="1:6" ht="13" x14ac:dyDescent="0.3">
      <c r="A149" s="8" t="s">
        <v>0</v>
      </c>
      <c r="B149" s="8" t="s">
        <v>66</v>
      </c>
      <c r="C149" s="5" t="s">
        <v>101</v>
      </c>
      <c r="D149" s="8" t="s">
        <v>67</v>
      </c>
      <c r="E149" s="7"/>
    </row>
    <row r="150" spans="1:6" x14ac:dyDescent="0.25">
      <c r="A150" s="9" t="s">
        <v>1</v>
      </c>
      <c r="B150" s="9">
        <v>2750</v>
      </c>
      <c r="C150" s="9"/>
      <c r="D150" s="20" t="s">
        <v>274</v>
      </c>
      <c r="E150" s="9"/>
      <c r="F150" s="2"/>
    </row>
    <row r="151" spans="1:6" x14ac:dyDescent="0.25">
      <c r="A151" s="9" t="s">
        <v>3</v>
      </c>
      <c r="B151" s="9">
        <v>0</v>
      </c>
      <c r="C151" s="23"/>
      <c r="D151" s="17"/>
      <c r="E151" s="9"/>
      <c r="F151" s="2"/>
    </row>
    <row r="152" spans="1:6" x14ac:dyDescent="0.25">
      <c r="A152" s="9" t="s">
        <v>322</v>
      </c>
      <c r="B152" s="9">
        <v>0</v>
      </c>
      <c r="C152" s="9"/>
      <c r="D152" s="17"/>
      <c r="E152" s="9"/>
      <c r="F152" s="2"/>
    </row>
    <row r="153" spans="1:6" x14ac:dyDescent="0.25">
      <c r="A153" s="9" t="s">
        <v>5</v>
      </c>
      <c r="B153" s="9">
        <v>0</v>
      </c>
      <c r="C153" s="9"/>
      <c r="D153" s="17"/>
      <c r="E153" s="9"/>
      <c r="F153" s="2"/>
    </row>
    <row r="154" spans="1:6" x14ac:dyDescent="0.25">
      <c r="A154" s="9" t="s">
        <v>275</v>
      </c>
      <c r="B154" s="9">
        <v>9</v>
      </c>
      <c r="C154" s="9"/>
      <c r="D154" s="9"/>
      <c r="E154" s="9"/>
      <c r="F154" s="2"/>
    </row>
    <row r="155" spans="1:6" x14ac:dyDescent="0.25">
      <c r="A155" s="9" t="s">
        <v>6</v>
      </c>
      <c r="B155" s="9">
        <v>0</v>
      </c>
      <c r="C155" s="9"/>
      <c r="D155" s="9"/>
      <c r="E155" s="9"/>
      <c r="F155" s="2"/>
    </row>
    <row r="156" spans="1:6" x14ac:dyDescent="0.25">
      <c r="A156" s="9" t="s">
        <v>276</v>
      </c>
      <c r="B156" s="9">
        <v>133</v>
      </c>
      <c r="C156" s="9"/>
      <c r="D156" s="9"/>
      <c r="E156" s="9"/>
      <c r="F156" s="2"/>
    </row>
    <row r="157" spans="1:6" x14ac:dyDescent="0.25">
      <c r="A157" s="9" t="s">
        <v>272</v>
      </c>
      <c r="B157" s="9">
        <v>2707.96</v>
      </c>
      <c r="C157" s="9"/>
      <c r="D157" s="9"/>
      <c r="E157" s="9"/>
      <c r="F157" s="2"/>
    </row>
    <row r="158" spans="1:6" x14ac:dyDescent="0.25">
      <c r="A158" s="9" t="s">
        <v>273</v>
      </c>
      <c r="B158" s="9">
        <v>263</v>
      </c>
      <c r="C158" s="9"/>
      <c r="D158" s="9"/>
      <c r="E158" s="9"/>
      <c r="F158" s="2"/>
    </row>
    <row r="159" spans="1:6" x14ac:dyDescent="0.25">
      <c r="A159" s="9" t="s">
        <v>8</v>
      </c>
      <c r="B159" s="9">
        <v>0</v>
      </c>
      <c r="C159" s="9"/>
      <c r="D159" s="9"/>
      <c r="E159" s="9"/>
      <c r="F159" s="2"/>
    </row>
    <row r="160" spans="1:6" x14ac:dyDescent="0.25">
      <c r="A160" s="9" t="s">
        <v>10</v>
      </c>
      <c r="B160" s="9">
        <v>185</v>
      </c>
      <c r="C160" s="9"/>
      <c r="D160" s="9"/>
      <c r="E160" s="9"/>
      <c r="F160" s="2"/>
    </row>
    <row r="161" spans="1:6" x14ac:dyDescent="0.25">
      <c r="A161" s="9" t="s">
        <v>277</v>
      </c>
      <c r="B161" s="9">
        <v>81</v>
      </c>
      <c r="C161" s="9"/>
      <c r="D161" s="9"/>
      <c r="E161" s="9"/>
      <c r="F161" s="2"/>
    </row>
    <row r="162" spans="1:6" x14ac:dyDescent="0.25">
      <c r="A162" s="9" t="s">
        <v>11</v>
      </c>
      <c r="B162" s="9">
        <v>0</v>
      </c>
      <c r="C162" s="9"/>
      <c r="D162" s="9"/>
      <c r="E162" s="9"/>
      <c r="F162" s="2"/>
    </row>
    <row r="163" spans="1:6" x14ac:dyDescent="0.25">
      <c r="A163" s="9" t="s">
        <v>12</v>
      </c>
      <c r="B163" s="9">
        <v>10</v>
      </c>
      <c r="C163" s="9"/>
      <c r="D163" s="9"/>
      <c r="E163" s="9"/>
      <c r="F163" s="2"/>
    </row>
    <row r="164" spans="1:6" x14ac:dyDescent="0.25">
      <c r="A164" s="9" t="s">
        <v>13</v>
      </c>
      <c r="B164" s="9">
        <v>90</v>
      </c>
      <c r="C164" s="9"/>
      <c r="D164" s="19" t="s">
        <v>278</v>
      </c>
      <c r="E164" s="9"/>
      <c r="F164" s="2"/>
    </row>
    <row r="165" spans="1:6" x14ac:dyDescent="0.25">
      <c r="A165" s="9" t="s">
        <v>17</v>
      </c>
      <c r="B165" s="9">
        <v>87</v>
      </c>
      <c r="C165" s="9"/>
      <c r="D165" s="19" t="s">
        <v>279</v>
      </c>
      <c r="E165" s="9"/>
      <c r="F165" s="2"/>
    </row>
    <row r="166" spans="1:6" x14ac:dyDescent="0.25">
      <c r="A166" s="9" t="s">
        <v>22</v>
      </c>
      <c r="B166" s="9">
        <v>0</v>
      </c>
      <c r="C166" s="9"/>
      <c r="D166" s="9"/>
      <c r="E166" s="9"/>
      <c r="F166" s="2"/>
    </row>
    <row r="167" spans="1:6" x14ac:dyDescent="0.25">
      <c r="A167" s="9" t="s">
        <v>14</v>
      </c>
      <c r="B167" s="9">
        <v>0</v>
      </c>
      <c r="C167" s="9"/>
      <c r="D167" s="9"/>
      <c r="E167" s="9"/>
      <c r="F167" s="2"/>
    </row>
    <row r="168" spans="1:6" x14ac:dyDescent="0.25">
      <c r="A168" s="9" t="s">
        <v>15</v>
      </c>
      <c r="B168" s="9">
        <v>150</v>
      </c>
      <c r="C168" s="9"/>
      <c r="D168" s="17"/>
      <c r="E168" s="9"/>
      <c r="F168" s="2"/>
    </row>
    <row r="169" spans="1:6" ht="25" x14ac:dyDescent="0.25">
      <c r="A169" s="9" t="s">
        <v>9</v>
      </c>
      <c r="B169" s="9">
        <v>0</v>
      </c>
      <c r="C169" s="9"/>
      <c r="D169" s="23" t="s">
        <v>283</v>
      </c>
      <c r="E169" s="9"/>
      <c r="F169" s="2"/>
    </row>
    <row r="170" spans="1:6" x14ac:dyDescent="0.25">
      <c r="A170" s="9" t="s">
        <v>28</v>
      </c>
      <c r="B170" s="9">
        <v>50</v>
      </c>
      <c r="C170" s="9"/>
      <c r="D170" s="17"/>
      <c r="E170" s="9"/>
      <c r="F170" s="2"/>
    </row>
    <row r="171" spans="1:6" x14ac:dyDescent="0.25">
      <c r="A171" s="9" t="s">
        <v>153</v>
      </c>
      <c r="B171" s="9">
        <v>40</v>
      </c>
      <c r="C171" s="9"/>
      <c r="D171" s="17"/>
      <c r="E171" s="9"/>
      <c r="F171" s="2"/>
    </row>
    <row r="172" spans="1:6" x14ac:dyDescent="0.25">
      <c r="A172" s="9" t="s">
        <v>32</v>
      </c>
      <c r="B172" s="9">
        <v>75</v>
      </c>
      <c r="C172" s="9"/>
      <c r="D172" s="9"/>
      <c r="E172" s="9"/>
      <c r="F172" s="2"/>
    </row>
    <row r="173" spans="1:6" x14ac:dyDescent="0.25">
      <c r="A173" s="9" t="s">
        <v>33</v>
      </c>
      <c r="B173" s="9">
        <v>75</v>
      </c>
      <c r="C173" s="9"/>
      <c r="D173" s="9"/>
      <c r="E173" s="9"/>
      <c r="F173" s="2"/>
    </row>
    <row r="174" spans="1:6" x14ac:dyDescent="0.25">
      <c r="A174" s="9" t="s">
        <v>34</v>
      </c>
      <c r="B174" s="9">
        <v>0</v>
      </c>
      <c r="C174" s="9"/>
      <c r="D174" s="9"/>
      <c r="E174" s="9"/>
      <c r="F174" s="2"/>
    </row>
    <row r="175" spans="1:6" x14ac:dyDescent="0.25">
      <c r="A175" s="9" t="s">
        <v>35</v>
      </c>
      <c r="B175" s="9">
        <v>150</v>
      </c>
      <c r="C175" s="9"/>
      <c r="D175" s="9"/>
      <c r="E175" s="9"/>
      <c r="F175" s="2"/>
    </row>
    <row r="176" spans="1:6" x14ac:dyDescent="0.25">
      <c r="A176" s="9" t="s">
        <v>39</v>
      </c>
      <c r="B176" s="9">
        <v>400</v>
      </c>
      <c r="C176" s="9"/>
      <c r="D176" s="19" t="s">
        <v>271</v>
      </c>
      <c r="E176" s="9"/>
      <c r="F176" s="2"/>
    </row>
    <row r="177" spans="1:6" x14ac:dyDescent="0.25">
      <c r="A177" s="9" t="s">
        <v>42</v>
      </c>
      <c r="B177" s="9">
        <v>250</v>
      </c>
      <c r="C177" s="9"/>
      <c r="D177" s="9"/>
      <c r="E177" s="9"/>
      <c r="F177" s="2"/>
    </row>
    <row r="178" spans="1:6" x14ac:dyDescent="0.25">
      <c r="A178" s="9" t="s">
        <v>49</v>
      </c>
      <c r="B178" s="9">
        <v>80</v>
      </c>
      <c r="C178" s="9"/>
      <c r="D178" s="9"/>
      <c r="E178" s="9"/>
      <c r="F178" s="2"/>
    </row>
    <row r="179" spans="1:6" x14ac:dyDescent="0.25">
      <c r="A179" s="9" t="s">
        <v>151</v>
      </c>
      <c r="B179" s="9">
        <v>100</v>
      </c>
      <c r="C179" s="9"/>
      <c r="D179" s="9"/>
      <c r="E179" s="9"/>
      <c r="F179" s="2"/>
    </row>
    <row r="180" spans="1:6" x14ac:dyDescent="0.25">
      <c r="A180" s="9" t="s">
        <v>280</v>
      </c>
      <c r="B180" s="9">
        <v>100</v>
      </c>
      <c r="C180" s="9"/>
      <c r="D180" s="28" t="s">
        <v>288</v>
      </c>
      <c r="E180" s="9"/>
      <c r="F180" s="2"/>
    </row>
    <row r="181" spans="1:6" x14ac:dyDescent="0.25">
      <c r="A181" s="9" t="s">
        <v>281</v>
      </c>
      <c r="B181" s="9">
        <v>150</v>
      </c>
      <c r="C181" s="9"/>
      <c r="D181" s="9"/>
      <c r="E181" s="9"/>
      <c r="F181" s="2"/>
    </row>
    <row r="182" spans="1:6" x14ac:dyDescent="0.25">
      <c r="A182" s="9" t="s">
        <v>149</v>
      </c>
      <c r="B182" s="9">
        <v>300</v>
      </c>
      <c r="C182" s="9"/>
      <c r="D182" s="9"/>
      <c r="E182" s="9"/>
      <c r="F182" s="2"/>
    </row>
    <row r="183" spans="1:6" ht="50.5" x14ac:dyDescent="0.3">
      <c r="A183" s="10" t="s">
        <v>70</v>
      </c>
      <c r="B183" s="7">
        <f>SUM(B150:B182)</f>
        <v>8235.9599999999991</v>
      </c>
      <c r="C183" s="7"/>
      <c r="D183" s="22" t="s">
        <v>285</v>
      </c>
      <c r="E183" s="7"/>
    </row>
    <row r="184" spans="1:6" ht="50.5" x14ac:dyDescent="0.3">
      <c r="A184" s="31" t="s">
        <v>284</v>
      </c>
      <c r="B184" s="30">
        <f>SUM(150:182)-B150-B169+B3+B22</f>
        <v>6635.9599999999991</v>
      </c>
      <c r="C184" s="30"/>
      <c r="D184" s="33" t="s">
        <v>287</v>
      </c>
      <c r="E184" s="30"/>
    </row>
    <row r="185" spans="1:6" x14ac:dyDescent="0.25">
      <c r="A185" s="7"/>
      <c r="B185" s="7"/>
      <c r="C185" s="7"/>
      <c r="D185" s="7"/>
      <c r="E185" s="7"/>
    </row>
    <row r="186" spans="1:6" ht="13" x14ac:dyDescent="0.3">
      <c r="A186" s="8" t="s">
        <v>31</v>
      </c>
      <c r="B186" s="8" t="s">
        <v>66</v>
      </c>
      <c r="C186" s="5" t="s">
        <v>101</v>
      </c>
      <c r="D186" s="8" t="s">
        <v>67</v>
      </c>
      <c r="E186" s="7"/>
    </row>
    <row r="187" spans="1:6" x14ac:dyDescent="0.25">
      <c r="A187" s="9" t="s">
        <v>18</v>
      </c>
      <c r="B187" s="9">
        <v>0</v>
      </c>
      <c r="C187" s="9"/>
      <c r="D187" s="9"/>
      <c r="E187" s="9"/>
    </row>
    <row r="188" spans="1:6" x14ac:dyDescent="0.25">
      <c r="A188" s="9" t="s">
        <v>173</v>
      </c>
      <c r="B188" s="9">
        <v>0</v>
      </c>
      <c r="C188" s="9"/>
      <c r="D188" s="9"/>
      <c r="E188" s="9"/>
    </row>
    <row r="189" spans="1:6" x14ac:dyDescent="0.25">
      <c r="A189" s="9" t="s">
        <v>175</v>
      </c>
      <c r="B189" s="9">
        <v>0</v>
      </c>
      <c r="C189" s="9"/>
      <c r="D189" s="9"/>
      <c r="E189" s="9"/>
    </row>
    <row r="190" spans="1:6" x14ac:dyDescent="0.25">
      <c r="A190" s="9" t="s">
        <v>27</v>
      </c>
      <c r="B190" s="9">
        <v>1978</v>
      </c>
      <c r="C190" s="9"/>
      <c r="D190" s="26"/>
      <c r="E190" s="9"/>
    </row>
    <row r="191" spans="1:6" ht="13" x14ac:dyDescent="0.3">
      <c r="A191" s="10" t="s">
        <v>70</v>
      </c>
      <c r="B191" s="7">
        <f>SUM(B187:B190)</f>
        <v>1978</v>
      </c>
      <c r="C191" s="7"/>
      <c r="D191" s="7"/>
      <c r="E191" s="7"/>
    </row>
    <row r="192" spans="1:6" x14ac:dyDescent="0.25">
      <c r="A192" s="7"/>
      <c r="B192" s="7"/>
      <c r="C192" s="7"/>
      <c r="D192" s="7"/>
      <c r="E192" s="7"/>
    </row>
    <row r="193" spans="1:5" ht="13" x14ac:dyDescent="0.3">
      <c r="A193" s="8" t="s">
        <v>82</v>
      </c>
      <c r="B193" s="8" t="s">
        <v>66</v>
      </c>
      <c r="C193" s="5" t="s">
        <v>101</v>
      </c>
      <c r="D193" s="8" t="s">
        <v>67</v>
      </c>
      <c r="E193" s="7"/>
    </row>
    <row r="194" spans="1:5" x14ac:dyDescent="0.25">
      <c r="A194" s="9" t="s">
        <v>150</v>
      </c>
      <c r="B194" s="9">
        <v>0</v>
      </c>
      <c r="C194" s="9"/>
      <c r="D194" s="23"/>
      <c r="E194" s="9"/>
    </row>
    <row r="195" spans="1:5" x14ac:dyDescent="0.25">
      <c r="A195" s="9" t="s">
        <v>44</v>
      </c>
      <c r="B195" s="9">
        <v>0</v>
      </c>
      <c r="C195" s="9"/>
      <c r="D195" s="23"/>
      <c r="E195" s="9"/>
    </row>
    <row r="196" spans="1:5" x14ac:dyDescent="0.25">
      <c r="A196" s="9" t="s">
        <v>230</v>
      </c>
      <c r="B196" s="9">
        <v>0</v>
      </c>
      <c r="C196" s="9"/>
      <c r="D196" s="17"/>
      <c r="E196" s="9"/>
    </row>
    <row r="197" spans="1:5" x14ac:dyDescent="0.25">
      <c r="A197" s="9" t="s">
        <v>161</v>
      </c>
      <c r="B197" s="9">
        <v>0</v>
      </c>
      <c r="C197" s="9"/>
      <c r="D197" s="17"/>
      <c r="E197" s="9"/>
    </row>
    <row r="198" spans="1:5" x14ac:dyDescent="0.25">
      <c r="A198" s="9" t="s">
        <v>212</v>
      </c>
      <c r="B198" s="9">
        <v>0</v>
      </c>
      <c r="C198" s="9"/>
      <c r="D198" s="23"/>
      <c r="E198" s="9"/>
    </row>
    <row r="199" spans="1:5" x14ac:dyDescent="0.25">
      <c r="A199" s="9" t="s">
        <v>231</v>
      </c>
      <c r="B199" s="9">
        <v>0</v>
      </c>
      <c r="C199" s="9"/>
      <c r="D199" s="23"/>
      <c r="E199" s="9"/>
    </row>
    <row r="200" spans="1:5" x14ac:dyDescent="0.25">
      <c r="A200" s="9" t="s">
        <v>47</v>
      </c>
      <c r="B200" s="9">
        <v>20</v>
      </c>
      <c r="C200" s="9"/>
      <c r="D200" s="17"/>
      <c r="E200" s="9"/>
    </row>
    <row r="201" spans="1:5" x14ac:dyDescent="0.25">
      <c r="A201" s="9" t="s">
        <v>240</v>
      </c>
      <c r="B201" s="9">
        <v>300</v>
      </c>
      <c r="C201" s="9"/>
      <c r="D201" s="17"/>
      <c r="E201" s="9"/>
    </row>
    <row r="202" spans="1:5" x14ac:dyDescent="0.25">
      <c r="A202" s="9" t="s">
        <v>177</v>
      </c>
      <c r="B202" s="9">
        <v>0</v>
      </c>
      <c r="C202" s="9"/>
      <c r="D202" s="23"/>
      <c r="E202" s="9"/>
    </row>
    <row r="203" spans="1:5" ht="13" x14ac:dyDescent="0.3">
      <c r="A203" s="10" t="s">
        <v>70</v>
      </c>
      <c r="B203" s="7">
        <f>SUM(B194:B202)</f>
        <v>320</v>
      </c>
      <c r="C203" s="7"/>
      <c r="D203" s="7"/>
      <c r="E203" s="7"/>
    </row>
    <row r="204" spans="1:5" x14ac:dyDescent="0.25">
      <c r="A204" s="7"/>
      <c r="B204" s="7"/>
      <c r="C204" s="7"/>
      <c r="D204" s="7"/>
      <c r="E204" s="7"/>
    </row>
    <row r="205" spans="1:5" ht="13" x14ac:dyDescent="0.3">
      <c r="A205" s="8" t="s">
        <v>85</v>
      </c>
      <c r="B205" s="8" t="s">
        <v>66</v>
      </c>
      <c r="C205" s="5" t="s">
        <v>101</v>
      </c>
      <c r="D205" s="8" t="s">
        <v>214</v>
      </c>
      <c r="E205" s="7"/>
    </row>
    <row r="206" spans="1:5" x14ac:dyDescent="0.25">
      <c r="A206" s="9" t="s">
        <v>104</v>
      </c>
      <c r="B206" s="9">
        <v>0</v>
      </c>
      <c r="C206" s="9"/>
      <c r="D206" s="23"/>
      <c r="E206" s="9"/>
    </row>
    <row r="207" spans="1:5" x14ac:dyDescent="0.25">
      <c r="A207" s="9" t="s">
        <v>162</v>
      </c>
      <c r="B207" s="9">
        <v>0</v>
      </c>
      <c r="C207" s="9"/>
      <c r="D207" s="17"/>
      <c r="E207" s="9"/>
    </row>
    <row r="208" spans="1:5" x14ac:dyDescent="0.25">
      <c r="A208" s="9" t="s">
        <v>245</v>
      </c>
      <c r="B208" s="9">
        <v>391.24</v>
      </c>
      <c r="C208" s="9"/>
      <c r="D208" s="17"/>
      <c r="E208" s="9"/>
    </row>
    <row r="209" spans="1:5" x14ac:dyDescent="0.25">
      <c r="A209" s="9" t="s">
        <v>29</v>
      </c>
      <c r="B209" s="9">
        <v>7194.46</v>
      </c>
      <c r="C209" s="9"/>
      <c r="D209" s="17"/>
      <c r="E209" s="9"/>
    </row>
    <row r="210" spans="1:5" x14ac:dyDescent="0.25">
      <c r="A210" s="9" t="s">
        <v>30</v>
      </c>
      <c r="B210" s="9">
        <v>1045.5999999999999</v>
      </c>
      <c r="C210" s="9"/>
      <c r="D210" s="9"/>
      <c r="E210" s="9"/>
    </row>
    <row r="211" spans="1:5" ht="13" x14ac:dyDescent="0.3">
      <c r="A211" s="10" t="s">
        <v>70</v>
      </c>
      <c r="B211" s="7">
        <f>SUM(B206:B210)</f>
        <v>8631.2999999999993</v>
      </c>
      <c r="C211" s="7"/>
      <c r="D211" s="7"/>
      <c r="E211" s="7"/>
    </row>
    <row r="212" spans="1:5" ht="13" x14ac:dyDescent="0.3">
      <c r="A212" s="10"/>
      <c r="B212" s="7"/>
      <c r="C212" s="7"/>
      <c r="D212" s="7"/>
      <c r="E212" s="7"/>
    </row>
    <row r="213" spans="1:5" ht="13" x14ac:dyDescent="0.3">
      <c r="A213" s="10" t="s">
        <v>87</v>
      </c>
      <c r="B213" s="7">
        <f>SUM(B183,B191,B203)-B211</f>
        <v>1902.6599999999999</v>
      </c>
      <c r="C213" s="7"/>
      <c r="D213" s="7"/>
      <c r="E213" s="7"/>
    </row>
    <row r="214" spans="1:5" ht="13" x14ac:dyDescent="0.3">
      <c r="A214" s="10"/>
      <c r="B214" s="7"/>
      <c r="C214" s="7"/>
      <c r="D214" s="7"/>
      <c r="E214" s="7"/>
    </row>
    <row r="215" spans="1:5" ht="13" x14ac:dyDescent="0.3">
      <c r="A215" s="11" t="s">
        <v>73</v>
      </c>
      <c r="B215" s="7"/>
      <c r="C215" s="7"/>
      <c r="D215" s="7"/>
      <c r="E215" s="7"/>
    </row>
    <row r="216" spans="1:5" ht="13" x14ac:dyDescent="0.3">
      <c r="A216" s="8" t="s">
        <v>75</v>
      </c>
      <c r="B216" s="8" t="s">
        <v>66</v>
      </c>
      <c r="C216" s="5" t="s">
        <v>101</v>
      </c>
      <c r="D216" s="8" t="s">
        <v>67</v>
      </c>
      <c r="E216" s="7"/>
    </row>
    <row r="217" spans="1:5" x14ac:dyDescent="0.25">
      <c r="A217" s="9" t="s">
        <v>74</v>
      </c>
      <c r="B217" s="9">
        <v>6134.23</v>
      </c>
      <c r="C217" s="9"/>
      <c r="D217" s="9"/>
      <c r="E217" s="9"/>
    </row>
    <row r="218" spans="1:5" x14ac:dyDescent="0.25">
      <c r="A218" s="9" t="s">
        <v>383</v>
      </c>
      <c r="B218" s="9"/>
      <c r="C218" s="9"/>
      <c r="D218" s="9"/>
      <c r="E218" s="9"/>
    </row>
    <row r="219" spans="1:5" x14ac:dyDescent="0.25">
      <c r="A219" s="9"/>
      <c r="B219" s="9"/>
      <c r="C219" s="9"/>
      <c r="D219" s="9"/>
      <c r="E219" s="9"/>
    </row>
    <row r="220" spans="1:5" ht="13" x14ac:dyDescent="0.3">
      <c r="A220" s="10" t="s">
        <v>70</v>
      </c>
      <c r="B220" s="7">
        <f>SUM(B217:B219)</f>
        <v>6134.23</v>
      </c>
      <c r="C220" s="7"/>
      <c r="D220" s="7"/>
      <c r="E220" s="7"/>
    </row>
    <row r="221" spans="1:5" ht="13" x14ac:dyDescent="0.3">
      <c r="A221" s="11"/>
      <c r="B221" s="7"/>
      <c r="C221" s="7"/>
      <c r="D221" s="7"/>
      <c r="E221" s="7"/>
    </row>
    <row r="222" spans="1:5" ht="13" x14ac:dyDescent="0.3">
      <c r="A222" s="8" t="s">
        <v>76</v>
      </c>
      <c r="B222" s="8" t="s">
        <v>66</v>
      </c>
      <c r="C222" s="5" t="s">
        <v>101</v>
      </c>
      <c r="D222" s="8" t="s">
        <v>67</v>
      </c>
      <c r="E222" s="7"/>
    </row>
    <row r="223" spans="1:5" x14ac:dyDescent="0.25">
      <c r="A223" s="9" t="s">
        <v>242</v>
      </c>
      <c r="B223" s="9">
        <v>600</v>
      </c>
      <c r="C223" s="9"/>
      <c r="D223" s="9"/>
      <c r="E223" s="9"/>
    </row>
    <row r="224" spans="1:5" x14ac:dyDescent="0.25">
      <c r="A224" s="9"/>
      <c r="B224" s="9"/>
      <c r="C224" s="9"/>
      <c r="D224" s="9"/>
      <c r="E224" s="9"/>
    </row>
    <row r="225" spans="1:5" ht="13" x14ac:dyDescent="0.3">
      <c r="A225" s="10" t="s">
        <v>70</v>
      </c>
      <c r="B225" s="7">
        <f>SUM(B223:B224)</f>
        <v>600</v>
      </c>
      <c r="C225" s="7"/>
      <c r="D225" s="7"/>
      <c r="E225" s="7"/>
    </row>
    <row r="226" spans="1:5" x14ac:dyDescent="0.25">
      <c r="A226" s="7"/>
      <c r="B226" s="7"/>
      <c r="C226" s="7"/>
      <c r="D226" s="7"/>
      <c r="E226" s="7"/>
    </row>
    <row r="227" spans="1:5" ht="13" x14ac:dyDescent="0.3">
      <c r="A227" s="8" t="s">
        <v>86</v>
      </c>
      <c r="B227" s="8" t="s">
        <v>66</v>
      </c>
      <c r="C227" s="5" t="s">
        <v>101</v>
      </c>
      <c r="D227" s="8" t="s">
        <v>67</v>
      </c>
      <c r="E227" s="7"/>
    </row>
    <row r="228" spans="1:5" ht="87.5" x14ac:dyDescent="0.25">
      <c r="A228" s="9" t="s">
        <v>26</v>
      </c>
      <c r="B228" s="9">
        <v>0</v>
      </c>
      <c r="C228" s="9"/>
      <c r="D228" s="23" t="s">
        <v>246</v>
      </c>
      <c r="E228" s="9"/>
    </row>
    <row r="229" spans="1:5" x14ac:dyDescent="0.25">
      <c r="A229" s="9" t="s">
        <v>282</v>
      </c>
      <c r="B229" s="9">
        <v>0</v>
      </c>
      <c r="C229" s="9"/>
      <c r="D229" s="23"/>
      <c r="E229" s="9"/>
    </row>
    <row r="230" spans="1:5" x14ac:dyDescent="0.25">
      <c r="A230" s="9" t="s">
        <v>248</v>
      </c>
      <c r="B230" s="9">
        <v>25123</v>
      </c>
      <c r="C230" s="9"/>
      <c r="D230" s="23"/>
      <c r="E230" s="9"/>
    </row>
    <row r="231" spans="1:5" x14ac:dyDescent="0.25">
      <c r="A231" s="9"/>
      <c r="B231" s="9"/>
      <c r="C231" s="9"/>
      <c r="D231" s="9"/>
      <c r="E231" s="9"/>
    </row>
    <row r="232" spans="1:5" ht="13" x14ac:dyDescent="0.3">
      <c r="A232" s="10" t="s">
        <v>70</v>
      </c>
      <c r="B232" s="7">
        <f>SUM(B228:B231)</f>
        <v>25123</v>
      </c>
      <c r="C232" s="7"/>
      <c r="D232" s="7"/>
      <c r="E232" s="7"/>
    </row>
    <row r="233" spans="1:5" x14ac:dyDescent="0.25">
      <c r="A233" s="7"/>
      <c r="B233" s="7"/>
      <c r="C233" s="7"/>
      <c r="D233" s="7"/>
      <c r="E233" s="7"/>
    </row>
    <row r="234" spans="1:5" ht="13" x14ac:dyDescent="0.3">
      <c r="A234" s="10" t="s">
        <v>88</v>
      </c>
      <c r="B234" s="7">
        <f>SUM(B220,B225)-B232</f>
        <v>-18388.77</v>
      </c>
      <c r="C234" s="7"/>
      <c r="D234" s="7"/>
      <c r="E234" s="7"/>
    </row>
    <row r="235" spans="1:5" ht="13" x14ac:dyDescent="0.3">
      <c r="A235" s="10"/>
      <c r="B235" s="7"/>
      <c r="C235" s="7"/>
      <c r="D235" s="7"/>
      <c r="E235" s="7"/>
    </row>
    <row r="236" spans="1:5" ht="13" x14ac:dyDescent="0.3">
      <c r="A236" s="8" t="s">
        <v>251</v>
      </c>
      <c r="B236" s="8" t="s">
        <v>66</v>
      </c>
      <c r="C236" s="8" t="s">
        <v>67</v>
      </c>
      <c r="D236" s="7"/>
      <c r="E236" s="7"/>
    </row>
    <row r="237" spans="1:5" x14ac:dyDescent="0.25">
      <c r="A237" s="9" t="s">
        <v>243</v>
      </c>
      <c r="B237" s="9">
        <v>4502.6499999999996</v>
      </c>
      <c r="C237" s="23"/>
      <c r="D237" s="23"/>
      <c r="E237" s="23"/>
    </row>
    <row r="238" spans="1:5" x14ac:dyDescent="0.25">
      <c r="A238" s="9" t="s">
        <v>244</v>
      </c>
      <c r="B238" s="9">
        <v>848.16</v>
      </c>
      <c r="C238" s="9"/>
      <c r="D238" s="23"/>
      <c r="E238" s="23"/>
    </row>
    <row r="239" spans="1:5" x14ac:dyDescent="0.25">
      <c r="A239" s="9" t="s">
        <v>253</v>
      </c>
      <c r="B239" s="15">
        <v>6047.79</v>
      </c>
      <c r="C239" s="9"/>
      <c r="D239" s="23"/>
      <c r="E239" s="23"/>
    </row>
    <row r="240" spans="1:5" x14ac:dyDescent="0.25">
      <c r="A240" s="9"/>
      <c r="B240" s="9"/>
      <c r="C240" s="9"/>
      <c r="D240" s="23"/>
      <c r="E240" s="23"/>
    </row>
    <row r="241" spans="1:5" ht="13" x14ac:dyDescent="0.3">
      <c r="A241" s="10" t="s">
        <v>256</v>
      </c>
      <c r="B241" s="7">
        <f>SUM(B237:B240)</f>
        <v>11398.599999999999</v>
      </c>
      <c r="C241" s="7"/>
      <c r="D241" s="7"/>
      <c r="E241" s="7"/>
    </row>
    <row r="242" spans="1:5" ht="13" x14ac:dyDescent="0.3">
      <c r="A242" s="31" t="s">
        <v>257</v>
      </c>
      <c r="B242" s="30">
        <v>10000</v>
      </c>
      <c r="C242" s="30"/>
      <c r="D242" s="30"/>
      <c r="E242" s="30"/>
    </row>
    <row r="243" spans="1:5" ht="13" x14ac:dyDescent="0.3">
      <c r="A243" s="31" t="s">
        <v>258</v>
      </c>
      <c r="B243" s="30">
        <f>B237+B242</f>
        <v>14502.65</v>
      </c>
      <c r="C243" s="30"/>
      <c r="D243" s="30"/>
      <c r="E243" s="30"/>
    </row>
    <row r="244" spans="1:5" x14ac:dyDescent="0.25">
      <c r="A244" s="7"/>
      <c r="B244" s="7"/>
      <c r="C244" s="7"/>
      <c r="D244" s="7"/>
      <c r="E244" s="7"/>
    </row>
    <row r="245" spans="1:5" ht="13" x14ac:dyDescent="0.3">
      <c r="A245" s="5" t="s">
        <v>255</v>
      </c>
      <c r="B245" s="7"/>
      <c r="C245" s="7"/>
      <c r="D245" s="7"/>
      <c r="E245" s="7"/>
    </row>
    <row r="246" spans="1:5" ht="13" x14ac:dyDescent="0.3">
      <c r="A246" s="8" t="s">
        <v>94</v>
      </c>
      <c r="B246" s="8" t="s">
        <v>66</v>
      </c>
      <c r="C246" s="8" t="s">
        <v>67</v>
      </c>
      <c r="D246" s="7"/>
      <c r="E246" s="7"/>
    </row>
    <row r="247" spans="1:5" x14ac:dyDescent="0.25">
      <c r="A247" s="9" t="s">
        <v>90</v>
      </c>
      <c r="B247" s="15">
        <v>39780.6</v>
      </c>
      <c r="C247" s="9"/>
      <c r="D247" s="9"/>
      <c r="E247" s="9"/>
    </row>
    <row r="248" spans="1:5" x14ac:dyDescent="0.25">
      <c r="A248" s="9" t="s">
        <v>91</v>
      </c>
      <c r="B248" s="9">
        <v>11485.12</v>
      </c>
      <c r="C248" s="9"/>
      <c r="D248" s="9"/>
      <c r="E248" s="9"/>
    </row>
    <row r="249" spans="1:5" x14ac:dyDescent="0.25">
      <c r="A249" s="9" t="s">
        <v>92</v>
      </c>
      <c r="B249" s="9">
        <v>0</v>
      </c>
      <c r="C249" s="28">
        <v>0</v>
      </c>
      <c r="D249" s="9"/>
      <c r="E249" s="9"/>
    </row>
    <row r="250" spans="1:5" x14ac:dyDescent="0.25">
      <c r="A250" s="9" t="s">
        <v>93</v>
      </c>
      <c r="B250" s="9">
        <v>31625.74</v>
      </c>
      <c r="C250" s="28" t="s">
        <v>247</v>
      </c>
      <c r="D250" s="9"/>
      <c r="E250" s="9"/>
    </row>
    <row r="251" spans="1:5" x14ac:dyDescent="0.25">
      <c r="A251" s="9" t="s">
        <v>250</v>
      </c>
      <c r="B251" s="9">
        <v>40000</v>
      </c>
      <c r="C251" s="28"/>
      <c r="D251" s="9"/>
      <c r="E251" s="9"/>
    </row>
    <row r="252" spans="1:5" x14ac:dyDescent="0.25">
      <c r="A252" s="9" t="s">
        <v>122</v>
      </c>
      <c r="B252" s="28">
        <v>58</v>
      </c>
      <c r="C252" s="25"/>
      <c r="D252" s="9"/>
      <c r="E252" s="9"/>
    </row>
    <row r="253" spans="1:5" x14ac:dyDescent="0.25">
      <c r="A253" s="9" t="s">
        <v>228</v>
      </c>
      <c r="B253" s="28">
        <v>0</v>
      </c>
      <c r="C253" s="28"/>
      <c r="D253" s="9"/>
      <c r="E253" s="9"/>
    </row>
    <row r="254" spans="1:5" ht="13" x14ac:dyDescent="0.3">
      <c r="A254" s="10" t="s">
        <v>254</v>
      </c>
      <c r="B254" s="35">
        <f>SUM(B247:B253)</f>
        <v>122949.46</v>
      </c>
      <c r="C254" s="7"/>
      <c r="D254" s="7"/>
      <c r="E254" s="7"/>
    </row>
    <row r="255" spans="1:5" x14ac:dyDescent="0.25">
      <c r="A255" s="7"/>
      <c r="B255" s="7"/>
      <c r="C255" s="7"/>
      <c r="D255" s="7"/>
      <c r="E255" s="7"/>
    </row>
    <row r="256" spans="1:5" ht="13" x14ac:dyDescent="0.3">
      <c r="A256" s="5" t="s">
        <v>97</v>
      </c>
      <c r="B256" s="7">
        <f xml:space="preserve"> B241+B234-B213</f>
        <v>-8892.8300000000017</v>
      </c>
      <c r="C256" s="7"/>
      <c r="D256" s="7"/>
      <c r="E256" s="7"/>
    </row>
    <row r="257" spans="1:5" ht="13" x14ac:dyDescent="0.3">
      <c r="A257" s="34" t="s">
        <v>267</v>
      </c>
      <c r="B257" s="30">
        <f xml:space="preserve"> B243+B234-B213</f>
        <v>-5788.7800000000007</v>
      </c>
      <c r="C257" s="30"/>
      <c r="D257" s="30"/>
      <c r="E257" s="30"/>
    </row>
    <row r="258" spans="1:5" ht="13" x14ac:dyDescent="0.3">
      <c r="A258" s="5" t="s">
        <v>96</v>
      </c>
      <c r="B258" s="7">
        <f>SUM(B254,B256)</f>
        <v>114056.63</v>
      </c>
      <c r="C258" s="21"/>
      <c r="D258" s="7"/>
      <c r="E258" s="7"/>
    </row>
    <row r="259" spans="1:5" ht="13" x14ac:dyDescent="0.3">
      <c r="A259" s="34" t="s">
        <v>268</v>
      </c>
      <c r="B259" s="30">
        <f>SUM(B254,B257)</f>
        <v>117160.68000000001</v>
      </c>
      <c r="C259" s="33"/>
      <c r="D259" s="30"/>
      <c r="E259" s="30"/>
    </row>
    <row r="260" spans="1:5" ht="13" x14ac:dyDescent="0.3">
      <c r="A260" s="32" t="s">
        <v>261</v>
      </c>
      <c r="B260" s="30">
        <v>17000</v>
      </c>
      <c r="C260" s="33"/>
      <c r="D260" s="30"/>
      <c r="E260" s="30"/>
    </row>
    <row r="261" spans="1:5" ht="13" x14ac:dyDescent="0.3">
      <c r="A261" s="32" t="s">
        <v>262</v>
      </c>
      <c r="B261" s="30">
        <v>2000</v>
      </c>
      <c r="C261" s="33"/>
      <c r="D261" s="30"/>
      <c r="E261" s="30"/>
    </row>
    <row r="262" spans="1:5" ht="13" x14ac:dyDescent="0.3">
      <c r="A262" s="32" t="s">
        <v>263</v>
      </c>
      <c r="B262" s="30">
        <v>0</v>
      </c>
      <c r="C262" s="33" t="s">
        <v>269</v>
      </c>
      <c r="D262" s="30"/>
      <c r="E262" s="30"/>
    </row>
    <row r="263" spans="1:5" ht="13" x14ac:dyDescent="0.3">
      <c r="A263" s="32" t="s">
        <v>265</v>
      </c>
      <c r="B263" s="30">
        <f>SUM(B258,B260:B262)</f>
        <v>133056.63</v>
      </c>
      <c r="C263" s="33"/>
      <c r="D263" s="30"/>
      <c r="E263" s="30"/>
    </row>
    <row r="264" spans="1:5" ht="26" x14ac:dyDescent="0.3">
      <c r="A264" s="34" t="s">
        <v>266</v>
      </c>
      <c r="B264" s="30">
        <f>SUM(B259,B260:B262)</f>
        <v>136160.68</v>
      </c>
      <c r="C264" s="33"/>
      <c r="D264" s="30"/>
      <c r="E264" s="30"/>
    </row>
    <row r="265" spans="1:5" ht="13" x14ac:dyDescent="0.3">
      <c r="A265" s="34" t="s">
        <v>289</v>
      </c>
      <c r="B265" s="30">
        <f>B258-B209-B210-B250-B251</f>
        <v>34190.829999999987</v>
      </c>
      <c r="C265" s="33"/>
      <c r="D265" s="30"/>
      <c r="E265" s="30"/>
    </row>
    <row r="266" spans="1:5" ht="26" x14ac:dyDescent="0.3">
      <c r="A266" s="34" t="s">
        <v>290</v>
      </c>
      <c r="B266" s="30">
        <f>B259-B209-B210-B250-B251</f>
        <v>37294.87999999999</v>
      </c>
      <c r="C266" s="33"/>
      <c r="D266" s="30"/>
      <c r="E266" s="30"/>
    </row>
    <row r="267" spans="1:5" ht="26" x14ac:dyDescent="0.3">
      <c r="A267" s="34" t="s">
        <v>291</v>
      </c>
      <c r="B267" s="30">
        <f>B263-B209-B210-B250-B251</f>
        <v>53190.829999999987</v>
      </c>
      <c r="C267" s="33"/>
      <c r="D267" s="30"/>
      <c r="E267" s="30"/>
    </row>
    <row r="268" spans="1:5" ht="26" x14ac:dyDescent="0.3">
      <c r="A268" s="34" t="s">
        <v>292</v>
      </c>
      <c r="B268" s="30">
        <f>B264-B209-B210-B250-B251</f>
        <v>56294.879999999976</v>
      </c>
      <c r="C268" s="33"/>
      <c r="D268" s="30"/>
      <c r="E268" s="30"/>
    </row>
    <row r="269" spans="1:5" ht="13" x14ac:dyDescent="0.3">
      <c r="A269" s="5" t="s">
        <v>134</v>
      </c>
      <c r="B269" s="7">
        <f>B258-B376</f>
        <v>-15460.549999999988</v>
      </c>
      <c r="C269" s="22"/>
      <c r="D269" s="7"/>
      <c r="E269" s="7"/>
    </row>
    <row r="270" spans="1:5" x14ac:dyDescent="0.25">
      <c r="A270" s="7"/>
      <c r="B270" s="7"/>
      <c r="C270" s="7"/>
      <c r="D270" s="7"/>
      <c r="E270" s="7"/>
    </row>
    <row r="271" spans="1:5" x14ac:dyDescent="0.25">
      <c r="A271" s="69"/>
      <c r="B271" s="69"/>
      <c r="C271" s="69"/>
      <c r="D271" s="69"/>
      <c r="E271" s="69"/>
    </row>
    <row r="272" spans="1:5" x14ac:dyDescent="0.25">
      <c r="A272" s="69"/>
      <c r="B272" s="69"/>
      <c r="C272" s="69"/>
      <c r="D272" s="69"/>
      <c r="E272" s="69"/>
    </row>
    <row r="273" spans="1:5" x14ac:dyDescent="0.25">
      <c r="A273" s="69"/>
      <c r="B273" s="69"/>
      <c r="C273" s="69"/>
      <c r="D273" s="69"/>
      <c r="E273" s="69"/>
    </row>
    <row r="274" spans="1:5" ht="13" x14ac:dyDescent="0.3">
      <c r="A274" s="3" t="s">
        <v>382</v>
      </c>
      <c r="B274" s="68" t="s">
        <v>286</v>
      </c>
      <c r="C274" s="68"/>
      <c r="D274" s="68"/>
      <c r="E274" s="4"/>
    </row>
    <row r="275" spans="1:5" ht="13" x14ac:dyDescent="0.3">
      <c r="A275" s="5" t="s">
        <v>95</v>
      </c>
      <c r="B275" s="12">
        <v>43137</v>
      </c>
      <c r="C275" s="6"/>
      <c r="D275" s="6"/>
      <c r="E275" s="7"/>
    </row>
    <row r="276" spans="1:5" ht="13" x14ac:dyDescent="0.3">
      <c r="A276" s="5" t="s">
        <v>102</v>
      </c>
      <c r="B276" s="13">
        <v>0.83194444444444438</v>
      </c>
      <c r="C276" s="6"/>
      <c r="D276" s="6"/>
      <c r="E276" s="7"/>
    </row>
    <row r="277" spans="1:5" ht="13" x14ac:dyDescent="0.3">
      <c r="A277" s="5"/>
      <c r="B277" s="6"/>
      <c r="C277" s="6"/>
      <c r="D277" s="6"/>
      <c r="E277" s="7"/>
    </row>
    <row r="278" spans="1:5" ht="13" x14ac:dyDescent="0.3">
      <c r="A278" s="5" t="s">
        <v>84</v>
      </c>
      <c r="B278" s="6"/>
      <c r="C278" s="6"/>
      <c r="D278" s="6"/>
      <c r="E278" s="7"/>
    </row>
    <row r="279" spans="1:5" ht="13" x14ac:dyDescent="0.3">
      <c r="A279" s="8" t="s">
        <v>0</v>
      </c>
      <c r="B279" s="8" t="s">
        <v>66</v>
      </c>
      <c r="C279" s="8" t="s">
        <v>67</v>
      </c>
      <c r="D279" s="7"/>
      <c r="E279" s="7"/>
    </row>
    <row r="280" spans="1:5" x14ac:dyDescent="0.25">
      <c r="A280" s="9" t="s">
        <v>1</v>
      </c>
      <c r="B280" s="9">
        <v>600</v>
      </c>
      <c r="C280" s="9"/>
      <c r="D280" s="9"/>
      <c r="E280" s="9"/>
    </row>
    <row r="281" spans="1:5" x14ac:dyDescent="0.25">
      <c r="A281" s="9" t="s">
        <v>9</v>
      </c>
      <c r="B281" s="9">
        <v>7200</v>
      </c>
      <c r="C281" s="23"/>
      <c r="D281" s="9"/>
      <c r="E281" s="9"/>
    </row>
    <row r="282" spans="1:5" x14ac:dyDescent="0.25">
      <c r="A282" s="9" t="s">
        <v>3</v>
      </c>
      <c r="B282" s="9">
        <v>4086.2</v>
      </c>
      <c r="C282" s="9"/>
      <c r="D282" s="9"/>
      <c r="E282" s="9"/>
    </row>
    <row r="283" spans="1:5" x14ac:dyDescent="0.25">
      <c r="A283" s="9" t="s">
        <v>2</v>
      </c>
      <c r="B283" s="9">
        <v>0</v>
      </c>
      <c r="C283" s="9"/>
      <c r="D283" s="9"/>
      <c r="E283" s="9"/>
    </row>
    <row r="284" spans="1:5" x14ac:dyDescent="0.25">
      <c r="A284" s="9" t="s">
        <v>5</v>
      </c>
      <c r="B284" s="9">
        <v>0</v>
      </c>
      <c r="C284" s="9"/>
      <c r="D284" s="9"/>
      <c r="E284" s="9"/>
    </row>
    <row r="285" spans="1:5" x14ac:dyDescent="0.25">
      <c r="A285" s="19" t="s">
        <v>322</v>
      </c>
      <c r="B285" s="9">
        <v>290.44</v>
      </c>
      <c r="C285" s="9"/>
      <c r="D285" s="9"/>
      <c r="E285" s="9"/>
    </row>
    <row r="286" spans="1:5" x14ac:dyDescent="0.25">
      <c r="A286" s="9" t="s">
        <v>273</v>
      </c>
      <c r="B286" s="9">
        <v>0</v>
      </c>
      <c r="C286" s="9"/>
      <c r="D286" s="9"/>
      <c r="E286" s="9"/>
    </row>
    <row r="287" spans="1:5" x14ac:dyDescent="0.25">
      <c r="A287" s="9" t="s">
        <v>277</v>
      </c>
      <c r="B287" s="9">
        <v>0</v>
      </c>
      <c r="C287" s="9"/>
      <c r="D287" s="9"/>
      <c r="E287" s="9"/>
    </row>
    <row r="288" spans="1:5" x14ac:dyDescent="0.25">
      <c r="A288" s="9" t="s">
        <v>280</v>
      </c>
      <c r="B288" s="9">
        <v>0</v>
      </c>
      <c r="C288" s="19"/>
      <c r="D288" s="9"/>
      <c r="E288" s="9"/>
    </row>
    <row r="289" spans="1:5" x14ac:dyDescent="0.25">
      <c r="A289" s="9" t="s">
        <v>42</v>
      </c>
      <c r="B289" s="9">
        <v>0</v>
      </c>
      <c r="C289" s="9"/>
      <c r="D289" s="9"/>
      <c r="E289" s="9"/>
    </row>
    <row r="290" spans="1:5" x14ac:dyDescent="0.25">
      <c r="A290" s="9" t="s">
        <v>49</v>
      </c>
      <c r="B290" s="9">
        <v>0</v>
      </c>
      <c r="C290" s="9"/>
      <c r="D290" s="9"/>
      <c r="E290" s="9"/>
    </row>
    <row r="291" spans="1:5" x14ac:dyDescent="0.25">
      <c r="A291" s="9" t="s">
        <v>379</v>
      </c>
      <c r="B291" s="9">
        <v>0</v>
      </c>
      <c r="C291" s="9"/>
      <c r="D291" s="9"/>
      <c r="E291" s="9"/>
    </row>
    <row r="292" spans="1:5" x14ac:dyDescent="0.25">
      <c r="A292" s="9" t="s">
        <v>347</v>
      </c>
      <c r="B292" s="9">
        <v>0</v>
      </c>
      <c r="C292" s="9"/>
      <c r="D292" s="9"/>
      <c r="E292" s="9"/>
    </row>
    <row r="293" spans="1:5" x14ac:dyDescent="0.25">
      <c r="A293" s="9" t="s">
        <v>39</v>
      </c>
      <c r="B293" s="9">
        <v>0</v>
      </c>
      <c r="C293" s="9"/>
      <c r="D293" s="9"/>
      <c r="E293" s="9"/>
    </row>
    <row r="294" spans="1:5" ht="13" x14ac:dyDescent="0.3">
      <c r="A294" s="10" t="s">
        <v>70</v>
      </c>
      <c r="B294" s="7">
        <f>SUM(B280:B293)</f>
        <v>12176.640000000001</v>
      </c>
      <c r="C294" s="7"/>
      <c r="D294" s="7"/>
      <c r="E294" s="7"/>
    </row>
    <row r="295" spans="1:5" x14ac:dyDescent="0.25">
      <c r="A295" s="7"/>
      <c r="B295" s="7"/>
      <c r="C295" s="7"/>
      <c r="D295" s="7"/>
      <c r="E295" s="7"/>
    </row>
    <row r="296" spans="1:5" ht="13" x14ac:dyDescent="0.3">
      <c r="A296" s="8" t="s">
        <v>31</v>
      </c>
      <c r="B296" s="8" t="s">
        <v>66</v>
      </c>
      <c r="C296" s="8" t="s">
        <v>67</v>
      </c>
      <c r="D296" s="7"/>
      <c r="E296" s="7"/>
    </row>
    <row r="297" spans="1:5" x14ac:dyDescent="0.25">
      <c r="A297" s="9" t="s">
        <v>27</v>
      </c>
      <c r="B297" s="9">
        <v>337.13</v>
      </c>
      <c r="C297" s="28" t="s">
        <v>397</v>
      </c>
      <c r="D297" s="9"/>
      <c r="E297" s="9"/>
    </row>
    <row r="298" spans="1:5" x14ac:dyDescent="0.25">
      <c r="A298" s="9"/>
      <c r="B298" s="9"/>
      <c r="C298" s="9"/>
      <c r="D298" s="9"/>
      <c r="E298" s="9"/>
    </row>
    <row r="299" spans="1:5" ht="13" x14ac:dyDescent="0.3">
      <c r="A299" s="10" t="s">
        <v>70</v>
      </c>
      <c r="B299" s="7">
        <f>SUM(B297:B298)</f>
        <v>337.13</v>
      </c>
      <c r="C299" s="7"/>
      <c r="D299" s="7"/>
      <c r="E299" s="7"/>
    </row>
    <row r="300" spans="1:5" x14ac:dyDescent="0.25">
      <c r="A300" s="7"/>
      <c r="B300" s="7"/>
      <c r="C300" s="7"/>
      <c r="D300" s="7"/>
      <c r="E300" s="7"/>
    </row>
    <row r="301" spans="1:5" ht="13" x14ac:dyDescent="0.3">
      <c r="A301" s="8" t="s">
        <v>82</v>
      </c>
      <c r="B301" s="8" t="s">
        <v>66</v>
      </c>
      <c r="C301" s="8" t="s">
        <v>67</v>
      </c>
      <c r="D301" s="7"/>
      <c r="E301" s="7"/>
    </row>
    <row r="302" spans="1:5" x14ac:dyDescent="0.25">
      <c r="A302" s="9" t="s">
        <v>150</v>
      </c>
      <c r="B302" s="9">
        <v>0</v>
      </c>
      <c r="C302" s="9"/>
      <c r="D302" s="23"/>
      <c r="E302" s="9"/>
    </row>
    <row r="303" spans="1:5" x14ac:dyDescent="0.25">
      <c r="A303" s="9" t="s">
        <v>240</v>
      </c>
      <c r="B303" s="9">
        <v>0</v>
      </c>
      <c r="C303" s="19"/>
      <c r="D303" s="23"/>
      <c r="E303" s="9"/>
    </row>
    <row r="304" spans="1:5" x14ac:dyDescent="0.25">
      <c r="A304" s="9"/>
      <c r="B304" s="9"/>
      <c r="C304" s="9"/>
      <c r="D304" s="9"/>
      <c r="E304" s="9"/>
    </row>
    <row r="305" spans="1:5" ht="13" x14ac:dyDescent="0.3">
      <c r="A305" s="10" t="s">
        <v>70</v>
      </c>
      <c r="B305" s="7">
        <f>SUM(B302:B304)</f>
        <v>0</v>
      </c>
      <c r="C305" s="7"/>
      <c r="D305" s="7"/>
      <c r="E305" s="7"/>
    </row>
    <row r="306" spans="1:5" x14ac:dyDescent="0.25">
      <c r="A306" s="7"/>
      <c r="B306" s="7"/>
      <c r="C306" s="7"/>
      <c r="D306" s="7"/>
      <c r="E306" s="7"/>
    </row>
    <row r="307" spans="1:5" ht="13" x14ac:dyDescent="0.3">
      <c r="A307" s="8" t="s">
        <v>85</v>
      </c>
      <c r="B307" s="8" t="s">
        <v>66</v>
      </c>
      <c r="C307" s="8" t="s">
        <v>67</v>
      </c>
      <c r="D307" s="7"/>
      <c r="E307" s="7"/>
    </row>
    <row r="308" spans="1:5" x14ac:dyDescent="0.25">
      <c r="A308" s="9" t="s">
        <v>245</v>
      </c>
      <c r="B308" s="9">
        <v>0</v>
      </c>
      <c r="C308" s="19" t="s">
        <v>295</v>
      </c>
      <c r="D308" s="23"/>
      <c r="E308" s="9"/>
    </row>
    <row r="309" spans="1:5" x14ac:dyDescent="0.25">
      <c r="A309" s="9" t="s">
        <v>29</v>
      </c>
      <c r="B309" s="9">
        <v>10815.52</v>
      </c>
      <c r="C309" s="47" t="s">
        <v>385</v>
      </c>
      <c r="D309" s="9"/>
      <c r="E309" s="9"/>
    </row>
    <row r="310" spans="1:5" x14ac:dyDescent="0.25">
      <c r="A310" s="9" t="s">
        <v>30</v>
      </c>
      <c r="B310" s="9">
        <v>2236.79</v>
      </c>
      <c r="C310" s="47" t="s">
        <v>385</v>
      </c>
      <c r="D310" s="9"/>
      <c r="E310" s="9"/>
    </row>
    <row r="311" spans="1:5" ht="25" x14ac:dyDescent="0.25">
      <c r="A311" s="9" t="s">
        <v>155</v>
      </c>
      <c r="B311" s="9">
        <v>609.76</v>
      </c>
      <c r="C311" s="23" t="s">
        <v>398</v>
      </c>
      <c r="D311" s="9"/>
      <c r="E311" s="9"/>
    </row>
    <row r="312" spans="1:5" x14ac:dyDescent="0.25">
      <c r="A312" s="9" t="s">
        <v>296</v>
      </c>
      <c r="B312" s="9">
        <v>0</v>
      </c>
      <c r="C312" s="19" t="s">
        <v>401</v>
      </c>
      <c r="D312" s="9"/>
      <c r="E312" s="9"/>
    </row>
    <row r="313" spans="1:5" ht="13" x14ac:dyDescent="0.3">
      <c r="A313" s="10" t="s">
        <v>70</v>
      </c>
      <c r="B313" s="7">
        <f>SUM(B308:B312)</f>
        <v>13662.070000000002</v>
      </c>
      <c r="C313" s="7"/>
      <c r="D313" s="7"/>
      <c r="E313" s="7"/>
    </row>
    <row r="314" spans="1:5" ht="13" x14ac:dyDescent="0.3">
      <c r="A314" s="10"/>
      <c r="B314" s="7"/>
      <c r="C314" s="7"/>
      <c r="D314" s="7"/>
      <c r="E314" s="7"/>
    </row>
    <row r="315" spans="1:5" ht="13" x14ac:dyDescent="0.3">
      <c r="A315" s="10" t="s">
        <v>87</v>
      </c>
      <c r="B315" s="7">
        <f>SUM(B294,B299,B305) - B313</f>
        <v>-1148.3000000000011</v>
      </c>
      <c r="C315" s="7"/>
      <c r="D315" s="7"/>
      <c r="E315" s="7"/>
    </row>
    <row r="316" spans="1:5" ht="13" x14ac:dyDescent="0.3">
      <c r="A316" s="10"/>
      <c r="B316" s="7"/>
      <c r="C316" s="7"/>
      <c r="D316" s="7"/>
      <c r="E316" s="7"/>
    </row>
    <row r="317" spans="1:5" ht="13" x14ac:dyDescent="0.3">
      <c r="A317" s="11" t="s">
        <v>73</v>
      </c>
      <c r="B317" s="7"/>
      <c r="C317" s="7"/>
      <c r="D317" s="7"/>
      <c r="E317" s="7"/>
    </row>
    <row r="318" spans="1:5" ht="13" x14ac:dyDescent="0.3">
      <c r="A318" s="8" t="s">
        <v>75</v>
      </c>
      <c r="B318" s="8" t="s">
        <v>66</v>
      </c>
      <c r="C318" s="8" t="s">
        <v>67</v>
      </c>
      <c r="D318" s="7"/>
      <c r="E318" s="7"/>
    </row>
    <row r="319" spans="1:5" x14ac:dyDescent="0.25">
      <c r="A319" s="9" t="s">
        <v>383</v>
      </c>
      <c r="B319" s="9"/>
      <c r="C319" s="19"/>
      <c r="D319" s="9"/>
      <c r="E319" s="9"/>
    </row>
    <row r="320" spans="1:5" x14ac:dyDescent="0.25">
      <c r="A320" s="9"/>
      <c r="B320" s="9"/>
      <c r="C320" s="9"/>
      <c r="D320" s="9"/>
      <c r="E320" s="9"/>
    </row>
    <row r="321" spans="1:5" ht="13" x14ac:dyDescent="0.3">
      <c r="A321" s="10" t="s">
        <v>70</v>
      </c>
      <c r="B321" s="7">
        <f>SUM(B319:B320)</f>
        <v>0</v>
      </c>
      <c r="C321" s="7"/>
      <c r="D321" s="7"/>
      <c r="E321" s="7"/>
    </row>
    <row r="322" spans="1:5" ht="13" x14ac:dyDescent="0.3">
      <c r="A322" s="11"/>
      <c r="B322" s="7"/>
      <c r="C322" s="7"/>
      <c r="D322" s="7"/>
      <c r="E322" s="7"/>
    </row>
    <row r="323" spans="1:5" ht="13" x14ac:dyDescent="0.3">
      <c r="A323" s="8" t="s">
        <v>76</v>
      </c>
      <c r="B323" s="8" t="s">
        <v>66</v>
      </c>
      <c r="C323" s="8" t="s">
        <v>67</v>
      </c>
      <c r="D323" s="7"/>
      <c r="E323" s="7"/>
    </row>
    <row r="324" spans="1:5" x14ac:dyDescent="0.25">
      <c r="A324" s="9" t="s">
        <v>242</v>
      </c>
      <c r="B324" s="9">
        <v>600</v>
      </c>
      <c r="C324" s="9"/>
      <c r="D324" s="9"/>
      <c r="E324" s="9"/>
    </row>
    <row r="325" spans="1:5" x14ac:dyDescent="0.25">
      <c r="A325" s="9"/>
      <c r="B325" s="9"/>
      <c r="C325" s="9"/>
      <c r="D325" s="9"/>
      <c r="E325" s="9"/>
    </row>
    <row r="326" spans="1:5" x14ac:dyDescent="0.25">
      <c r="A326" s="9"/>
      <c r="B326" s="9"/>
      <c r="C326" s="9"/>
      <c r="D326" s="9"/>
      <c r="E326" s="9"/>
    </row>
    <row r="327" spans="1:5" ht="13" x14ac:dyDescent="0.3">
      <c r="A327" s="10" t="s">
        <v>70</v>
      </c>
      <c r="B327" s="7">
        <f>SUM(B324:B326)</f>
        <v>600</v>
      </c>
      <c r="C327" s="7"/>
      <c r="D327" s="7"/>
      <c r="E327" s="7"/>
    </row>
    <row r="328" spans="1:5" x14ac:dyDescent="0.25">
      <c r="A328" s="7"/>
      <c r="B328" s="7"/>
      <c r="C328" s="7"/>
      <c r="D328" s="7"/>
      <c r="E328" s="7"/>
    </row>
    <row r="329" spans="1:5" ht="13" x14ac:dyDescent="0.3">
      <c r="A329" s="8" t="s">
        <v>86</v>
      </c>
      <c r="B329" s="8" t="s">
        <v>66</v>
      </c>
      <c r="C329" s="8" t="s">
        <v>67</v>
      </c>
      <c r="D329" s="7"/>
      <c r="E329" s="7"/>
    </row>
    <row r="330" spans="1:5" x14ac:dyDescent="0.25">
      <c r="A330" s="9" t="s">
        <v>209</v>
      </c>
      <c r="B330" s="9">
        <v>0</v>
      </c>
      <c r="C330" s="23"/>
      <c r="D330" s="9"/>
      <c r="E330" s="9"/>
    </row>
    <row r="331" spans="1:5" x14ac:dyDescent="0.25">
      <c r="A331" s="9" t="s">
        <v>282</v>
      </c>
      <c r="B331" s="9">
        <v>0</v>
      </c>
      <c r="C331" s="23"/>
      <c r="D331" s="9"/>
      <c r="E331" s="9"/>
    </row>
    <row r="332" spans="1:5" x14ac:dyDescent="0.25">
      <c r="A332" s="9" t="s">
        <v>248</v>
      </c>
      <c r="B332" s="9">
        <v>62689</v>
      </c>
      <c r="C332" s="48" t="s">
        <v>386</v>
      </c>
      <c r="D332" s="9"/>
      <c r="E332" s="9"/>
    </row>
    <row r="333" spans="1:5" x14ac:dyDescent="0.25">
      <c r="A333" s="9" t="s">
        <v>157</v>
      </c>
      <c r="B333" s="15">
        <v>0</v>
      </c>
      <c r="C333" s="47" t="s">
        <v>384</v>
      </c>
      <c r="D333" s="9"/>
      <c r="E333" s="9"/>
    </row>
    <row r="334" spans="1:5" x14ac:dyDescent="0.25">
      <c r="A334" s="9"/>
      <c r="B334" s="9"/>
      <c r="C334" s="9"/>
      <c r="D334" s="9"/>
      <c r="E334" s="9"/>
    </row>
    <row r="335" spans="1:5" ht="13" x14ac:dyDescent="0.3">
      <c r="A335" s="10" t="s">
        <v>70</v>
      </c>
      <c r="B335" s="7">
        <f>SUM(B330:B334)</f>
        <v>62689</v>
      </c>
      <c r="C335" s="7"/>
      <c r="D335" s="7"/>
      <c r="E335" s="7"/>
    </row>
    <row r="336" spans="1:5" x14ac:dyDescent="0.25">
      <c r="A336" s="7"/>
      <c r="B336" s="7"/>
      <c r="C336" s="7"/>
      <c r="D336" s="7"/>
      <c r="E336" s="7"/>
    </row>
    <row r="337" spans="1:5" ht="13" x14ac:dyDescent="0.3">
      <c r="A337" s="10" t="s">
        <v>88</v>
      </c>
      <c r="B337" s="7">
        <f>SUM(B321,B327) - B335</f>
        <v>-62089</v>
      </c>
      <c r="C337" s="7"/>
      <c r="D337" s="7"/>
      <c r="E337" s="7"/>
    </row>
    <row r="338" spans="1:5" ht="13" x14ac:dyDescent="0.3">
      <c r="A338" s="10"/>
      <c r="B338" s="7"/>
      <c r="C338" s="7"/>
      <c r="D338" s="7"/>
      <c r="E338" s="7"/>
    </row>
    <row r="339" spans="1:5" ht="13" x14ac:dyDescent="0.3">
      <c r="A339" s="8" t="s">
        <v>310</v>
      </c>
      <c r="B339" s="8" t="s">
        <v>66</v>
      </c>
      <c r="C339" s="8" t="s">
        <v>387</v>
      </c>
      <c r="D339" s="7"/>
      <c r="E339" s="7"/>
    </row>
    <row r="340" spans="1:5" ht="62.5" x14ac:dyDescent="0.25">
      <c r="A340" s="19" t="s">
        <v>303</v>
      </c>
      <c r="B340" s="9">
        <v>1292.8399999999999</v>
      </c>
      <c r="C340" s="20" t="s">
        <v>319</v>
      </c>
      <c r="D340" s="9"/>
      <c r="E340" s="9"/>
    </row>
    <row r="341" spans="1:5" ht="37.5" x14ac:dyDescent="0.25">
      <c r="A341" s="19" t="s">
        <v>304</v>
      </c>
      <c r="B341" s="9">
        <v>174.35300000000001</v>
      </c>
      <c r="C341" s="20" t="s">
        <v>308</v>
      </c>
      <c r="D341" s="9"/>
      <c r="E341" s="9"/>
    </row>
    <row r="342" spans="1:5" x14ac:dyDescent="0.25">
      <c r="A342" s="19" t="s">
        <v>306</v>
      </c>
      <c r="B342" s="15">
        <v>0</v>
      </c>
      <c r="C342" s="20"/>
      <c r="D342" s="9"/>
      <c r="E342" s="9"/>
    </row>
    <row r="343" spans="1:5" ht="37.5" x14ac:dyDescent="0.25">
      <c r="A343" s="19" t="s">
        <v>305</v>
      </c>
      <c r="B343" s="15">
        <v>2866.38</v>
      </c>
      <c r="C343" s="20" t="s">
        <v>309</v>
      </c>
      <c r="D343" s="9"/>
      <c r="E343" s="9"/>
    </row>
    <row r="344" spans="1:5" x14ac:dyDescent="0.25">
      <c r="A344" s="19" t="s">
        <v>307</v>
      </c>
      <c r="B344" s="15">
        <v>0</v>
      </c>
      <c r="C344" s="9"/>
      <c r="D344" s="9"/>
      <c r="E344" s="9"/>
    </row>
    <row r="345" spans="1:5" x14ac:dyDescent="0.25">
      <c r="A345" s="9"/>
      <c r="B345" s="9"/>
      <c r="C345" s="9"/>
      <c r="D345" s="9"/>
      <c r="E345" s="9"/>
    </row>
    <row r="346" spans="1:5" ht="13" x14ac:dyDescent="0.3">
      <c r="A346" s="10" t="s">
        <v>299</v>
      </c>
      <c r="B346" s="7">
        <f>SUM(B340:B345)</f>
        <v>4333.5730000000003</v>
      </c>
      <c r="C346" s="7"/>
      <c r="D346" s="7"/>
      <c r="E346" s="7"/>
    </row>
    <row r="347" spans="1:5" ht="13" x14ac:dyDescent="0.3">
      <c r="A347" s="10" t="s">
        <v>302</v>
      </c>
      <c r="B347" s="7">
        <f>B340</f>
        <v>1292.8399999999999</v>
      </c>
      <c r="C347" s="7"/>
      <c r="D347" s="7"/>
      <c r="E347" s="7"/>
    </row>
    <row r="348" spans="1:5" ht="13" x14ac:dyDescent="0.3">
      <c r="A348" s="10"/>
      <c r="B348" s="7"/>
      <c r="C348" s="7"/>
      <c r="D348" s="7"/>
      <c r="E348" s="7"/>
    </row>
    <row r="349" spans="1:5" ht="13" x14ac:dyDescent="0.3">
      <c r="A349" s="8" t="s">
        <v>251</v>
      </c>
      <c r="B349" s="8" t="s">
        <v>66</v>
      </c>
      <c r="C349" s="8" t="s">
        <v>67</v>
      </c>
      <c r="D349" s="7"/>
      <c r="E349" s="7"/>
    </row>
    <row r="350" spans="1:5" x14ac:dyDescent="0.25">
      <c r="A350" s="19" t="s">
        <v>243</v>
      </c>
      <c r="B350" s="9">
        <v>17711.650000000001</v>
      </c>
      <c r="C350" s="23"/>
      <c r="D350" s="9"/>
      <c r="E350" s="9"/>
    </row>
    <row r="351" spans="1:5" x14ac:dyDescent="0.25">
      <c r="A351" s="9" t="s">
        <v>244</v>
      </c>
      <c r="B351" s="9">
        <v>5869.3</v>
      </c>
      <c r="C351" s="9"/>
      <c r="D351" s="9"/>
      <c r="E351" s="9"/>
    </row>
    <row r="352" spans="1:5" x14ac:dyDescent="0.25">
      <c r="A352" s="9" t="s">
        <v>253</v>
      </c>
      <c r="B352" s="15">
        <v>9037.2199999999993</v>
      </c>
      <c r="C352" s="9"/>
      <c r="D352" s="9"/>
      <c r="E352" s="9"/>
    </row>
    <row r="353" spans="1:5" x14ac:dyDescent="0.25">
      <c r="A353" s="9" t="s">
        <v>316</v>
      </c>
      <c r="B353" s="15">
        <v>2316.34</v>
      </c>
      <c r="C353" s="47"/>
      <c r="D353" s="9"/>
      <c r="E353" s="9"/>
    </row>
    <row r="354" spans="1:5" x14ac:dyDescent="0.25">
      <c r="A354" s="9"/>
      <c r="B354" s="9"/>
      <c r="C354" s="9"/>
      <c r="D354" s="9"/>
      <c r="E354" s="9"/>
    </row>
    <row r="355" spans="1:5" ht="13" x14ac:dyDescent="0.3">
      <c r="A355" s="10" t="s">
        <v>256</v>
      </c>
      <c r="B355" s="7">
        <f>SUM(B350:B354)</f>
        <v>34934.509999999995</v>
      </c>
      <c r="C355" s="7"/>
      <c r="D355" s="7"/>
      <c r="E355" s="7"/>
    </row>
    <row r="356" spans="1:5" ht="13" x14ac:dyDescent="0.3">
      <c r="A356" s="31" t="s">
        <v>257</v>
      </c>
      <c r="B356" s="30">
        <v>20000</v>
      </c>
      <c r="C356" s="30"/>
      <c r="D356" s="30"/>
      <c r="E356" s="30"/>
    </row>
    <row r="357" spans="1:5" ht="13" x14ac:dyDescent="0.3">
      <c r="A357" s="31" t="s">
        <v>297</v>
      </c>
      <c r="B357" s="30">
        <f>B350+B356</f>
        <v>37711.65</v>
      </c>
      <c r="C357" s="30"/>
      <c r="D357" s="30"/>
      <c r="E357" s="30"/>
    </row>
    <row r="358" spans="1:5" ht="13" x14ac:dyDescent="0.3">
      <c r="A358" s="31" t="s">
        <v>300</v>
      </c>
      <c r="B358" s="30">
        <f>B355+B346</f>
        <v>39268.082999999999</v>
      </c>
      <c r="C358" s="30" t="s">
        <v>312</v>
      </c>
      <c r="D358" s="30"/>
      <c r="E358" s="30"/>
    </row>
    <row r="359" spans="1:5" ht="13" x14ac:dyDescent="0.3">
      <c r="A359" s="31" t="s">
        <v>301</v>
      </c>
      <c r="B359" s="30">
        <f>B355+B347</f>
        <v>36227.349999999991</v>
      </c>
      <c r="C359" s="30" t="s">
        <v>312</v>
      </c>
      <c r="D359" s="30"/>
      <c r="E359" s="30"/>
    </row>
    <row r="360" spans="1:5" ht="13" x14ac:dyDescent="0.3">
      <c r="A360" s="31" t="s">
        <v>399</v>
      </c>
      <c r="B360" s="30">
        <f>B355+B346-B347</f>
        <v>37975.243000000002</v>
      </c>
      <c r="C360" s="30" t="s">
        <v>312</v>
      </c>
      <c r="D360" s="30"/>
      <c r="E360" s="30"/>
    </row>
    <row r="361" spans="1:5" x14ac:dyDescent="0.25">
      <c r="A361" s="7"/>
      <c r="B361" s="7"/>
      <c r="C361" s="7"/>
      <c r="D361" s="7"/>
      <c r="E361" s="7"/>
    </row>
    <row r="362" spans="1:5" ht="13" x14ac:dyDescent="0.3">
      <c r="A362" s="5" t="s">
        <v>255</v>
      </c>
      <c r="B362" s="7"/>
      <c r="C362" s="7"/>
      <c r="D362" s="7"/>
      <c r="E362" s="7"/>
    </row>
    <row r="363" spans="1:5" ht="13" x14ac:dyDescent="0.3">
      <c r="A363" s="8" t="s">
        <v>94</v>
      </c>
      <c r="B363" s="8" t="s">
        <v>66</v>
      </c>
      <c r="C363" s="8" t="s">
        <v>67</v>
      </c>
      <c r="D363" s="7"/>
      <c r="E363" s="7"/>
    </row>
    <row r="364" spans="1:5" x14ac:dyDescent="0.25">
      <c r="A364" s="9" t="s">
        <v>90</v>
      </c>
      <c r="B364" s="15">
        <v>21824.87</v>
      </c>
      <c r="C364" s="9"/>
      <c r="D364" s="9"/>
      <c r="E364" s="9"/>
    </row>
    <row r="365" spans="1:5" x14ac:dyDescent="0.25">
      <c r="A365" s="9" t="s">
        <v>91</v>
      </c>
      <c r="B365" s="9">
        <v>10924.46</v>
      </c>
      <c r="C365" s="9"/>
      <c r="D365" s="9"/>
      <c r="E365" s="9"/>
    </row>
    <row r="366" spans="1:5" x14ac:dyDescent="0.25">
      <c r="A366" s="9" t="s">
        <v>92</v>
      </c>
      <c r="B366" s="9">
        <v>0</v>
      </c>
      <c r="C366" s="28">
        <v>0</v>
      </c>
      <c r="D366" s="9"/>
      <c r="E366" s="9"/>
    </row>
    <row r="367" spans="1:5" x14ac:dyDescent="0.25">
      <c r="A367" s="9" t="s">
        <v>93</v>
      </c>
      <c r="B367" s="9">
        <v>35589.11</v>
      </c>
      <c r="C367" s="28" t="s">
        <v>247</v>
      </c>
      <c r="D367" s="9"/>
      <c r="E367" s="9"/>
    </row>
    <row r="368" spans="1:5" x14ac:dyDescent="0.25">
      <c r="A368" s="9" t="s">
        <v>250</v>
      </c>
      <c r="B368" s="9">
        <v>40000</v>
      </c>
      <c r="C368" s="28"/>
      <c r="D368" s="9"/>
      <c r="E368" s="9"/>
    </row>
    <row r="369" spans="1:5" x14ac:dyDescent="0.25">
      <c r="A369" s="9" t="s">
        <v>400</v>
      </c>
      <c r="B369" s="9">
        <v>47105.03</v>
      </c>
      <c r="C369" s="28"/>
      <c r="D369" s="9"/>
      <c r="E369" s="9"/>
    </row>
    <row r="370" spans="1:5" x14ac:dyDescent="0.25">
      <c r="A370" s="9" t="s">
        <v>122</v>
      </c>
      <c r="B370" s="28">
        <v>79.900000000000006</v>
      </c>
      <c r="C370" s="47" t="s">
        <v>388</v>
      </c>
      <c r="D370" s="9"/>
      <c r="E370" s="9"/>
    </row>
    <row r="371" spans="1:5" x14ac:dyDescent="0.25">
      <c r="A371" s="9" t="s">
        <v>228</v>
      </c>
      <c r="B371" s="28">
        <v>0</v>
      </c>
      <c r="C371" s="28"/>
      <c r="D371" s="9"/>
      <c r="E371" s="9"/>
    </row>
    <row r="372" spans="1:5" ht="13" x14ac:dyDescent="0.3">
      <c r="A372" s="10" t="s">
        <v>254</v>
      </c>
      <c r="B372" s="35">
        <f>SUM(B364:B371)</f>
        <v>155523.37</v>
      </c>
      <c r="C372" s="7"/>
      <c r="D372" s="7"/>
      <c r="E372" s="7"/>
    </row>
    <row r="373" spans="1:5" x14ac:dyDescent="0.25">
      <c r="A373" s="7"/>
      <c r="B373" s="7"/>
      <c r="C373" s="7"/>
      <c r="D373" s="7"/>
      <c r="E373" s="7"/>
    </row>
    <row r="374" spans="1:5" ht="13" x14ac:dyDescent="0.3">
      <c r="A374" s="5" t="s">
        <v>99</v>
      </c>
      <c r="B374" s="7">
        <f xml:space="preserve"> B355+B337-B315</f>
        <v>-26006.190000000002</v>
      </c>
      <c r="C374" s="7"/>
      <c r="D374" s="7"/>
      <c r="E374" s="7"/>
    </row>
    <row r="375" spans="1:5" ht="13" x14ac:dyDescent="0.3">
      <c r="A375" s="32" t="s">
        <v>260</v>
      </c>
      <c r="B375" s="30">
        <f xml:space="preserve"> B357+B337-B315</f>
        <v>-23229.049999999996</v>
      </c>
      <c r="C375" s="30"/>
      <c r="D375" s="30"/>
      <c r="E375" s="30"/>
    </row>
    <row r="376" spans="1:5" ht="13" x14ac:dyDescent="0.3">
      <c r="A376" s="5" t="s">
        <v>100</v>
      </c>
      <c r="B376" s="38">
        <f>SUM(B372,B374)</f>
        <v>129517.18</v>
      </c>
      <c r="C376" s="21"/>
      <c r="D376" s="7"/>
      <c r="E376" s="7"/>
    </row>
    <row r="377" spans="1:5" ht="13" x14ac:dyDescent="0.3">
      <c r="A377" s="32" t="s">
        <v>259</v>
      </c>
      <c r="B377" s="38">
        <f>SUM(B372,B375)</f>
        <v>132294.32</v>
      </c>
      <c r="C377" s="33"/>
      <c r="D377" s="30"/>
      <c r="E377" s="30"/>
    </row>
    <row r="378" spans="1:5" ht="13" x14ac:dyDescent="0.3">
      <c r="A378" s="32" t="s">
        <v>261</v>
      </c>
      <c r="B378" s="30">
        <v>17000</v>
      </c>
      <c r="C378" s="33"/>
      <c r="D378" s="30"/>
      <c r="E378" s="30"/>
    </row>
    <row r="379" spans="1:5" ht="13" x14ac:dyDescent="0.3">
      <c r="A379" s="32" t="s">
        <v>262</v>
      </c>
      <c r="B379" s="30">
        <v>4000</v>
      </c>
      <c r="C379" s="33"/>
      <c r="D379" s="30"/>
      <c r="E379" s="30"/>
    </row>
    <row r="380" spans="1:5" ht="13" x14ac:dyDescent="0.3">
      <c r="A380" s="32" t="s">
        <v>263</v>
      </c>
      <c r="B380" s="30">
        <v>0</v>
      </c>
      <c r="C380" s="33"/>
      <c r="D380" s="30"/>
      <c r="E380" s="30"/>
    </row>
    <row r="381" spans="1:5" ht="13" x14ac:dyDescent="0.3">
      <c r="A381" s="32" t="s">
        <v>265</v>
      </c>
      <c r="B381" s="38">
        <f>SUM(B376,B378:B380)</f>
        <v>150517.18</v>
      </c>
      <c r="C381" s="37" t="s">
        <v>311</v>
      </c>
      <c r="D381" s="30"/>
      <c r="E381" s="30"/>
    </row>
    <row r="382" spans="1:5" ht="26" x14ac:dyDescent="0.3">
      <c r="A382" s="34" t="s">
        <v>266</v>
      </c>
      <c r="B382" s="38">
        <f>SUM(B377,B378:B380)</f>
        <v>153294.32</v>
      </c>
      <c r="C382" s="33"/>
      <c r="D382" s="30"/>
      <c r="E382" s="30"/>
    </row>
    <row r="383" spans="1:5" ht="13" x14ac:dyDescent="0.3">
      <c r="A383" s="34" t="s">
        <v>373</v>
      </c>
      <c r="B383" s="38">
        <f>B376-B313-B321-B327-B367-B368-B369</f>
        <v>-7439.0300000000134</v>
      </c>
      <c r="C383" s="33"/>
      <c r="D383" s="30"/>
      <c r="E383" s="30"/>
    </row>
    <row r="384" spans="1:5" ht="26" x14ac:dyDescent="0.3">
      <c r="A384" s="34" t="s">
        <v>389</v>
      </c>
      <c r="B384" s="38">
        <f>B383-B355+B332</f>
        <v>20315.459999999992</v>
      </c>
      <c r="C384" s="33"/>
      <c r="D384" s="30"/>
      <c r="E384" s="30"/>
    </row>
    <row r="385" spans="1:5" ht="26" x14ac:dyDescent="0.3">
      <c r="A385" s="34" t="s">
        <v>390</v>
      </c>
      <c r="B385" s="38">
        <f>B384+B294+B299+B305</f>
        <v>32829.229999999989</v>
      </c>
      <c r="C385" s="33" t="s">
        <v>403</v>
      </c>
      <c r="D385" s="30"/>
      <c r="E385" s="30"/>
    </row>
    <row r="386" spans="1:5" ht="26" x14ac:dyDescent="0.3">
      <c r="A386" s="34" t="s">
        <v>395</v>
      </c>
      <c r="B386" s="38">
        <f>B384+B280+B281</f>
        <v>28115.459999999992</v>
      </c>
      <c r="C386" s="33"/>
      <c r="D386" s="30"/>
      <c r="E386" s="30"/>
    </row>
    <row r="387" spans="1:5" ht="26" x14ac:dyDescent="0.3">
      <c r="A387" s="34" t="s">
        <v>391</v>
      </c>
      <c r="B387" s="38">
        <f>B377-B313-B321-B327-B367-B368-B369</f>
        <v>-4661.8899999999994</v>
      </c>
      <c r="C387" s="33"/>
      <c r="D387" s="30"/>
      <c r="E387" s="30"/>
    </row>
    <row r="388" spans="1:5" ht="26" x14ac:dyDescent="0.3">
      <c r="A388" s="34" t="s">
        <v>375</v>
      </c>
      <c r="B388" s="38">
        <f>B381-B313-B321-B327-B367-B368-B369</f>
        <v>13560.969999999987</v>
      </c>
      <c r="C388" s="33"/>
      <c r="D388" s="30"/>
      <c r="E388" s="30"/>
    </row>
    <row r="389" spans="1:5" ht="26" x14ac:dyDescent="0.3">
      <c r="A389" s="34" t="s">
        <v>393</v>
      </c>
      <c r="B389" s="38">
        <f>B388-B355+B332</f>
        <v>41315.459999999992</v>
      </c>
      <c r="C389" s="33"/>
      <c r="D389" s="30"/>
      <c r="E389" s="30"/>
    </row>
    <row r="390" spans="1:5" ht="26" x14ac:dyDescent="0.3">
      <c r="A390" s="34" t="s">
        <v>394</v>
      </c>
      <c r="B390" s="38">
        <f>B389+B294+B299+B305</f>
        <v>53829.229999999989</v>
      </c>
      <c r="C390" s="49"/>
      <c r="D390" s="30"/>
      <c r="E390" s="30"/>
    </row>
    <row r="391" spans="1:5" ht="26" x14ac:dyDescent="0.3">
      <c r="A391" s="34" t="s">
        <v>396</v>
      </c>
      <c r="B391" s="38">
        <f>B389+B280+B281</f>
        <v>49115.459999999992</v>
      </c>
      <c r="C391" s="33" t="s">
        <v>402</v>
      </c>
      <c r="D391" s="30"/>
      <c r="E391" s="30"/>
    </row>
    <row r="392" spans="1:5" ht="39" x14ac:dyDescent="0.3">
      <c r="A392" s="34" t="s">
        <v>392</v>
      </c>
      <c r="B392" s="38">
        <f>B382-B313-B321-B327-B367-B368-B369</f>
        <v>16338.11</v>
      </c>
      <c r="C392" s="33"/>
      <c r="D392" s="30"/>
      <c r="E392" s="30"/>
    </row>
    <row r="393" spans="1:5" ht="13" x14ac:dyDescent="0.3">
      <c r="A393" s="34" t="s">
        <v>313</v>
      </c>
      <c r="B393" s="38">
        <f>B381-B309-B310</f>
        <v>137464.87</v>
      </c>
      <c r="C393" s="37" t="s">
        <v>315</v>
      </c>
      <c r="D393" s="30"/>
      <c r="E393" s="30"/>
    </row>
    <row r="394" spans="1:5" ht="26" x14ac:dyDescent="0.3">
      <c r="A394" s="34" t="s">
        <v>314</v>
      </c>
      <c r="B394" s="38">
        <f>B382-B309-B310</f>
        <v>140242.01</v>
      </c>
      <c r="C394" s="33"/>
      <c r="D394" s="30"/>
      <c r="E394" s="30"/>
    </row>
    <row r="395" spans="1:5" ht="13" x14ac:dyDescent="0.3">
      <c r="A395" s="5" t="s">
        <v>108</v>
      </c>
      <c r="B395" s="7">
        <v>116783.65700000001</v>
      </c>
      <c r="C395" s="29" t="s">
        <v>249</v>
      </c>
      <c r="D395" s="7"/>
      <c r="E395" s="7"/>
    </row>
    <row r="396" spans="1:5" ht="100.5" x14ac:dyDescent="0.3">
      <c r="A396" s="5" t="s">
        <v>110</v>
      </c>
      <c r="B396" s="7">
        <f xml:space="preserve"> B376 - B395</f>
        <v>12733.522999999986</v>
      </c>
      <c r="C396" s="22" t="s">
        <v>197</v>
      </c>
      <c r="D396" s="7"/>
      <c r="E396" s="7"/>
    </row>
  </sheetData>
  <mergeCells count="4">
    <mergeCell ref="A141:E143"/>
    <mergeCell ref="B144:D144"/>
    <mergeCell ref="A271:E273"/>
    <mergeCell ref="B274:D274"/>
  </mergeCells>
  <dataValidations count="12">
    <dataValidation type="list" allowBlank="1" showInputMessage="1" showErrorMessage="1" sqref="A297:A298 A187:A190" xr:uid="{00000000-0002-0000-0F00-000000000000}">
      <formula1>$A$42:$A$51</formula1>
    </dataValidation>
    <dataValidation type="list" allowBlank="1" showInputMessage="1" showErrorMessage="1" sqref="A150:A182 A280:A293" xr:uid="{00000000-0002-0000-0F00-000001000000}">
      <formula1>$A$3:$A$39</formula1>
    </dataValidation>
    <dataValidation type="list" allowBlank="1" showInputMessage="1" showErrorMessage="1" sqref="A206:A210 A308:A312" xr:uid="{00000000-0002-0000-0F00-000002000000}">
      <formula1>$A$88:$A$97</formula1>
    </dataValidation>
    <dataValidation type="list" allowBlank="1" showInputMessage="1" showErrorMessage="1" sqref="A324:A326 A223:A224" xr:uid="{00000000-0002-0000-0F00-000003000000}">
      <formula1>$A$112:$A$116</formula1>
    </dataValidation>
    <dataValidation type="list" allowBlank="1" showInputMessage="1" showErrorMessage="1" sqref="A350:A354 A237:A240 A345" xr:uid="{00000000-0002-0000-0F00-000004000000}">
      <formula1>$A$129:$A$132</formula1>
    </dataValidation>
    <dataValidation type="date" operator="greaterThan" allowBlank="1" showInputMessage="1" showErrorMessage="1" sqref="B275" xr:uid="{00000000-0002-0000-0F00-000005000000}">
      <formula1>41275</formula1>
    </dataValidation>
    <dataValidation type="time" operator="greaterThan" allowBlank="1" showInputMessage="1" showErrorMessage="1" sqref="B276" xr:uid="{00000000-0002-0000-0F00-000006000000}">
      <formula1>0</formula1>
    </dataValidation>
    <dataValidation type="list" allowBlank="1" showInputMessage="1" showErrorMessage="1" sqref="A330:A334 A228:A231" xr:uid="{00000000-0002-0000-0F00-000007000000}">
      <formula1>$A$100:$A$104</formula1>
    </dataValidation>
    <dataValidation type="list" allowBlank="1" showInputMessage="1" showErrorMessage="1" sqref="A302:A304 A194:A202" xr:uid="{00000000-0002-0000-0F00-000008000000}">
      <formula1>$A$54:$A$85</formula1>
    </dataValidation>
    <dataValidation type="list" allowBlank="1" showInputMessage="1" showErrorMessage="1" sqref="A319:A320 A217:A219" xr:uid="{00000000-0002-0000-0F00-000009000000}">
      <formula1>$A$107:$A$109</formula1>
    </dataValidation>
    <dataValidation type="list" allowBlank="1" showInputMessage="1" showErrorMessage="1" sqref="A364:A371 A247:A253" xr:uid="{00000000-0002-0000-0F00-00000A000000}">
      <formula1>$A$119:$A$126</formula1>
    </dataValidation>
    <dataValidation type="list" allowBlank="1" showInputMessage="1" showErrorMessage="1" sqref="A340:A344" xr:uid="{00000000-0002-0000-0F00-00000B000000}">
      <formula1>$A$135:$A$139</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12"/>
  <sheetViews>
    <sheetView topLeftCell="A360" workbookViewId="0">
      <selection activeCell="A290" sqref="A290"/>
    </sheetView>
  </sheetViews>
  <sheetFormatPr defaultColWidth="8.81640625" defaultRowHeight="12.5" x14ac:dyDescent="0.25"/>
  <cols>
    <col min="1" max="1" width="77.6328125" bestFit="1" customWidth="1"/>
    <col min="2" max="2" width="17.453125" customWidth="1"/>
    <col min="3" max="3" width="74.36328125"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322</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355</v>
      </c>
      <c r="C20">
        <v>2707.96</v>
      </c>
    </row>
    <row r="21" spans="1:3" x14ac:dyDescent="0.25">
      <c r="A21" t="s">
        <v>15</v>
      </c>
      <c r="C21">
        <v>150</v>
      </c>
    </row>
    <row r="22" spans="1:3" x14ac:dyDescent="0.25">
      <c r="A22" t="s">
        <v>9</v>
      </c>
      <c r="B22">
        <v>600</v>
      </c>
    </row>
    <row r="23" spans="1:3" x14ac:dyDescent="0.25">
      <c r="A23" t="s">
        <v>28</v>
      </c>
      <c r="C23">
        <v>50</v>
      </c>
    </row>
    <row r="24" spans="1:3" x14ac:dyDescent="0.25">
      <c r="A24" t="s">
        <v>153</v>
      </c>
      <c r="C24">
        <v>40</v>
      </c>
    </row>
    <row r="25" spans="1:3" x14ac:dyDescent="0.25">
      <c r="A25" t="s">
        <v>32</v>
      </c>
      <c r="C25">
        <v>100</v>
      </c>
    </row>
    <row r="26" spans="1:3" x14ac:dyDescent="0.25">
      <c r="A26" t="s">
        <v>33</v>
      </c>
      <c r="C26">
        <v>100</v>
      </c>
    </row>
    <row r="27" spans="1:3" x14ac:dyDescent="0.25">
      <c r="A27" t="s">
        <v>34</v>
      </c>
      <c r="C27">
        <v>0</v>
      </c>
    </row>
    <row r="28" spans="1:3" x14ac:dyDescent="0.25">
      <c r="A28" t="s">
        <v>35</v>
      </c>
      <c r="C28">
        <v>150</v>
      </c>
    </row>
    <row r="29" spans="1:3" x14ac:dyDescent="0.25">
      <c r="A29" t="s">
        <v>39</v>
      </c>
      <c r="C29">
        <v>100</v>
      </c>
    </row>
    <row r="30" spans="1:3" x14ac:dyDescent="0.25">
      <c r="A30" t="s">
        <v>42</v>
      </c>
      <c r="C30">
        <v>250</v>
      </c>
    </row>
    <row r="31" spans="1:3" x14ac:dyDescent="0.25">
      <c r="A31" t="s">
        <v>272</v>
      </c>
      <c r="C31">
        <v>2481.16</v>
      </c>
    </row>
    <row r="32" spans="1:3" x14ac:dyDescent="0.25">
      <c r="A32" t="s">
        <v>273</v>
      </c>
      <c r="C32">
        <v>243</v>
      </c>
    </row>
    <row r="33" spans="1:3" x14ac:dyDescent="0.25">
      <c r="A33" t="s">
        <v>379</v>
      </c>
      <c r="C33">
        <v>75</v>
      </c>
    </row>
    <row r="34" spans="1:3" x14ac:dyDescent="0.25">
      <c r="A34" t="s">
        <v>49</v>
      </c>
      <c r="C34">
        <v>80</v>
      </c>
    </row>
    <row r="35" spans="1:3" x14ac:dyDescent="0.25">
      <c r="A35" t="s">
        <v>281</v>
      </c>
      <c r="C35">
        <v>150</v>
      </c>
    </row>
    <row r="36" spans="1:3" x14ac:dyDescent="0.25">
      <c r="A36" t="s">
        <v>280</v>
      </c>
      <c r="C36">
        <v>100</v>
      </c>
    </row>
    <row r="37" spans="1:3" x14ac:dyDescent="0.25">
      <c r="A37" t="s">
        <v>151</v>
      </c>
    </row>
    <row r="38" spans="1:3" x14ac:dyDescent="0.25">
      <c r="A38" t="s">
        <v>347</v>
      </c>
      <c r="C38">
        <v>50</v>
      </c>
    </row>
    <row r="39" spans="1:3" x14ac:dyDescent="0.25">
      <c r="A39" t="s">
        <v>358</v>
      </c>
    </row>
    <row r="41" spans="1:3" ht="13" x14ac:dyDescent="0.3">
      <c r="A41" s="1" t="s">
        <v>31</v>
      </c>
    </row>
    <row r="42" spans="1:3" x14ac:dyDescent="0.25">
      <c r="A42" t="s">
        <v>25</v>
      </c>
    </row>
    <row r="43" spans="1:3" x14ac:dyDescent="0.25">
      <c r="A43" t="s">
        <v>19</v>
      </c>
    </row>
    <row r="44" spans="1:3" x14ac:dyDescent="0.25">
      <c r="A44" t="s">
        <v>18</v>
      </c>
    </row>
    <row r="45" spans="1:3" x14ac:dyDescent="0.25">
      <c r="A45" t="s">
        <v>20</v>
      </c>
    </row>
    <row r="46" spans="1:3" x14ac:dyDescent="0.25">
      <c r="A46" t="s">
        <v>189</v>
      </c>
    </row>
    <row r="47" spans="1:3" x14ac:dyDescent="0.25">
      <c r="A47" t="s">
        <v>21</v>
      </c>
    </row>
    <row r="48" spans="1:3" x14ac:dyDescent="0.25">
      <c r="A48" t="s">
        <v>175</v>
      </c>
    </row>
    <row r="49" spans="1:1" x14ac:dyDescent="0.25">
      <c r="A49" t="s">
        <v>173</v>
      </c>
    </row>
    <row r="50" spans="1:1" x14ac:dyDescent="0.25">
      <c r="A50" t="s">
        <v>27</v>
      </c>
    </row>
    <row r="51" spans="1:1" x14ac:dyDescent="0.25">
      <c r="A51" t="s">
        <v>36</v>
      </c>
    </row>
    <row r="53" spans="1:1" ht="13" x14ac:dyDescent="0.3">
      <c r="A53" s="1" t="s">
        <v>82</v>
      </c>
    </row>
    <row r="54" spans="1:1" x14ac:dyDescent="0.25">
      <c r="A54" t="s">
        <v>40</v>
      </c>
    </row>
    <row r="55" spans="1:1" x14ac:dyDescent="0.25">
      <c r="A55" t="s">
        <v>160</v>
      </c>
    </row>
    <row r="56" spans="1:1" x14ac:dyDescent="0.25">
      <c r="A56" t="s">
        <v>41</v>
      </c>
    </row>
    <row r="57" spans="1:1" x14ac:dyDescent="0.25">
      <c r="A57" t="s">
        <v>43</v>
      </c>
    </row>
    <row r="58" spans="1:1" x14ac:dyDescent="0.25">
      <c r="A58" t="s">
        <v>44</v>
      </c>
    </row>
    <row r="59" spans="1:1" x14ac:dyDescent="0.25">
      <c r="A59" t="s">
        <v>45</v>
      </c>
    </row>
    <row r="60" spans="1:1" x14ac:dyDescent="0.25">
      <c r="A60" t="s">
        <v>46</v>
      </c>
    </row>
    <row r="61" spans="1:1" x14ac:dyDescent="0.25">
      <c r="A61" t="s">
        <v>47</v>
      </c>
    </row>
    <row r="62" spans="1:1" x14ac:dyDescent="0.25">
      <c r="A62" t="s">
        <v>48</v>
      </c>
    </row>
    <row r="63" spans="1:1" x14ac:dyDescent="0.25">
      <c r="A63" t="s">
        <v>50</v>
      </c>
    </row>
    <row r="64" spans="1:1" x14ac:dyDescent="0.25">
      <c r="A64" t="s">
        <v>51</v>
      </c>
    </row>
    <row r="65" spans="1:1" x14ac:dyDescent="0.25">
      <c r="A65" t="s">
        <v>52</v>
      </c>
    </row>
    <row r="66" spans="1:1" x14ac:dyDescent="0.25">
      <c r="A66" s="27" t="s">
        <v>231</v>
      </c>
    </row>
    <row r="67" spans="1:1" x14ac:dyDescent="0.25">
      <c r="A67" s="27" t="s">
        <v>230</v>
      </c>
    </row>
    <row r="68" spans="1:1" x14ac:dyDescent="0.25">
      <c r="A68" t="s">
        <v>53</v>
      </c>
    </row>
    <row r="69" spans="1:1" x14ac:dyDescent="0.25">
      <c r="A69" t="s">
        <v>54</v>
      </c>
    </row>
    <row r="70" spans="1:1" x14ac:dyDescent="0.25">
      <c r="A70" t="s">
        <v>55</v>
      </c>
    </row>
    <row r="71" spans="1:1" x14ac:dyDescent="0.25">
      <c r="A71" t="s">
        <v>56</v>
      </c>
    </row>
    <row r="72" spans="1:1" x14ac:dyDescent="0.25">
      <c r="A72" t="s">
        <v>57</v>
      </c>
    </row>
    <row r="73" spans="1:1" x14ac:dyDescent="0.25">
      <c r="A73" t="s">
        <v>58</v>
      </c>
    </row>
    <row r="74" spans="1:1" x14ac:dyDescent="0.25">
      <c r="A74" t="s">
        <v>59</v>
      </c>
    </row>
    <row r="75" spans="1:1" x14ac:dyDescent="0.25">
      <c r="A75" t="s">
        <v>60</v>
      </c>
    </row>
    <row r="76" spans="1:1" x14ac:dyDescent="0.25">
      <c r="A76" t="s">
        <v>61</v>
      </c>
    </row>
    <row r="77" spans="1:1" x14ac:dyDescent="0.25">
      <c r="A77" t="s">
        <v>62</v>
      </c>
    </row>
    <row r="78" spans="1:1" x14ac:dyDescent="0.25">
      <c r="A78" t="s">
        <v>81</v>
      </c>
    </row>
    <row r="79" spans="1:1" x14ac:dyDescent="0.25">
      <c r="A79" t="s">
        <v>63</v>
      </c>
    </row>
    <row r="80" spans="1:1" x14ac:dyDescent="0.25">
      <c r="A80" t="s">
        <v>64</v>
      </c>
    </row>
    <row r="81" spans="1:1" x14ac:dyDescent="0.25">
      <c r="A81" s="27" t="s">
        <v>240</v>
      </c>
    </row>
    <row r="82" spans="1:1" x14ac:dyDescent="0.25">
      <c r="A82" t="s">
        <v>161</v>
      </c>
    </row>
    <row r="83" spans="1:1" x14ac:dyDescent="0.25">
      <c r="A83" t="s">
        <v>177</v>
      </c>
    </row>
    <row r="84" spans="1:1" x14ac:dyDescent="0.25">
      <c r="A84" s="27" t="s">
        <v>202</v>
      </c>
    </row>
    <row r="85" spans="1:1" x14ac:dyDescent="0.25">
      <c r="A85" t="s">
        <v>150</v>
      </c>
    </row>
    <row r="87" spans="1:1" ht="13" x14ac:dyDescent="0.3">
      <c r="A87" s="1" t="s">
        <v>85</v>
      </c>
    </row>
    <row r="88" spans="1:1" x14ac:dyDescent="0.25">
      <c r="A88" t="s">
        <v>23</v>
      </c>
    </row>
    <row r="89" spans="1:1" x14ac:dyDescent="0.25">
      <c r="A89" t="s">
        <v>24</v>
      </c>
    </row>
    <row r="90" spans="1:1" x14ac:dyDescent="0.25">
      <c r="A90" t="s">
        <v>29</v>
      </c>
    </row>
    <row r="91" spans="1:1" x14ac:dyDescent="0.25">
      <c r="A91" t="s">
        <v>296</v>
      </c>
    </row>
    <row r="92" spans="1:1" x14ac:dyDescent="0.25">
      <c r="A92" t="s">
        <v>137</v>
      </c>
    </row>
    <row r="93" spans="1:1" x14ac:dyDescent="0.25">
      <c r="A93" t="s">
        <v>104</v>
      </c>
    </row>
    <row r="94" spans="1:1" x14ac:dyDescent="0.25">
      <c r="A94" t="s">
        <v>155</v>
      </c>
    </row>
    <row r="95" spans="1:1" x14ac:dyDescent="0.25">
      <c r="A95" t="s">
        <v>162</v>
      </c>
    </row>
    <row r="96" spans="1:1" x14ac:dyDescent="0.25">
      <c r="A96" t="s">
        <v>245</v>
      </c>
    </row>
    <row r="97" spans="1:1" x14ac:dyDescent="0.25">
      <c r="A97" t="s">
        <v>30</v>
      </c>
    </row>
    <row r="99" spans="1:1" ht="13" x14ac:dyDescent="0.3">
      <c r="A99" s="1" t="s">
        <v>86</v>
      </c>
    </row>
    <row r="100" spans="1:1" x14ac:dyDescent="0.25">
      <c r="A100" s="27" t="s">
        <v>209</v>
      </c>
    </row>
    <row r="101" spans="1:1" x14ac:dyDescent="0.25">
      <c r="A101" s="27" t="s">
        <v>248</v>
      </c>
    </row>
    <row r="102" spans="1:1" x14ac:dyDescent="0.25">
      <c r="A102" s="27" t="s">
        <v>282</v>
      </c>
    </row>
    <row r="103" spans="1:1" x14ac:dyDescent="0.25">
      <c r="A103" t="s">
        <v>157</v>
      </c>
    </row>
    <row r="104" spans="1:1" x14ac:dyDescent="0.25">
      <c r="A104" t="s">
        <v>72</v>
      </c>
    </row>
    <row r="106" spans="1:1" ht="13" x14ac:dyDescent="0.3">
      <c r="A106" s="1" t="s">
        <v>75</v>
      </c>
    </row>
    <row r="107" spans="1:1" x14ac:dyDescent="0.25">
      <c r="A107" t="s">
        <v>74</v>
      </c>
    </row>
    <row r="108" spans="1:1" x14ac:dyDescent="0.25">
      <c r="A108" t="s">
        <v>383</v>
      </c>
    </row>
    <row r="109" spans="1:1" x14ac:dyDescent="0.25">
      <c r="A109" t="s">
        <v>83</v>
      </c>
    </row>
    <row r="111" spans="1:1" ht="13" x14ac:dyDescent="0.3">
      <c r="A111" s="1" t="s">
        <v>76</v>
      </c>
    </row>
    <row r="112" spans="1:1" x14ac:dyDescent="0.25">
      <c r="A112" t="s">
        <v>77</v>
      </c>
    </row>
    <row r="113" spans="1:1" x14ac:dyDescent="0.25">
      <c r="A113" t="s">
        <v>78</v>
      </c>
    </row>
    <row r="114" spans="1:1" x14ac:dyDescent="0.25">
      <c r="A114" t="s">
        <v>242</v>
      </c>
    </row>
    <row r="115" spans="1:1" x14ac:dyDescent="0.25">
      <c r="A115" t="s">
        <v>79</v>
      </c>
    </row>
    <row r="116" spans="1:1" x14ac:dyDescent="0.25">
      <c r="A116" t="s">
        <v>80</v>
      </c>
    </row>
    <row r="118" spans="1:1" ht="13" x14ac:dyDescent="0.3">
      <c r="A118" s="1" t="s">
        <v>89</v>
      </c>
    </row>
    <row r="119" spans="1:1" x14ac:dyDescent="0.25">
      <c r="A119" t="s">
        <v>90</v>
      </c>
    </row>
    <row r="120" spans="1:1" x14ac:dyDescent="0.25">
      <c r="A120" t="s">
        <v>91</v>
      </c>
    </row>
    <row r="121" spans="1:1" x14ac:dyDescent="0.25">
      <c r="A121" s="27" t="s">
        <v>412</v>
      </c>
    </row>
    <row r="122" spans="1:1" x14ac:dyDescent="0.25">
      <c r="A122" t="s">
        <v>400</v>
      </c>
    </row>
    <row r="123" spans="1:1" x14ac:dyDescent="0.25">
      <c r="A123" t="s">
        <v>92</v>
      </c>
    </row>
    <row r="124" spans="1:1" x14ac:dyDescent="0.25">
      <c r="A124" t="s">
        <v>122</v>
      </c>
    </row>
    <row r="125" spans="1:1" x14ac:dyDescent="0.25">
      <c r="A125" s="27" t="s">
        <v>228</v>
      </c>
    </row>
    <row r="126" spans="1:1" x14ac:dyDescent="0.25">
      <c r="A126" s="27" t="s">
        <v>250</v>
      </c>
    </row>
    <row r="127" spans="1:1" x14ac:dyDescent="0.25">
      <c r="A127" t="s">
        <v>93</v>
      </c>
    </row>
    <row r="129" spans="1:5" ht="13" x14ac:dyDescent="0.3">
      <c r="A129" s="1" t="s">
        <v>252</v>
      </c>
    </row>
    <row r="130" spans="1:5" x14ac:dyDescent="0.25">
      <c r="A130" t="s">
        <v>244</v>
      </c>
    </row>
    <row r="131" spans="1:5" x14ac:dyDescent="0.25">
      <c r="A131" t="s">
        <v>243</v>
      </c>
    </row>
    <row r="132" spans="1:5" x14ac:dyDescent="0.25">
      <c r="A132" t="s">
        <v>316</v>
      </c>
    </row>
    <row r="133" spans="1:5" x14ac:dyDescent="0.25">
      <c r="A133" s="27" t="s">
        <v>253</v>
      </c>
    </row>
    <row r="134" spans="1:5" x14ac:dyDescent="0.25">
      <c r="A134" s="27"/>
    </row>
    <row r="135" spans="1:5" ht="13" x14ac:dyDescent="0.3">
      <c r="A135" s="1" t="s">
        <v>298</v>
      </c>
    </row>
    <row r="136" spans="1:5" x14ac:dyDescent="0.25">
      <c r="A136" t="s">
        <v>303</v>
      </c>
    </row>
    <row r="137" spans="1:5" x14ac:dyDescent="0.25">
      <c r="A137" t="s">
        <v>304</v>
      </c>
    </row>
    <row r="138" spans="1:5" x14ac:dyDescent="0.25">
      <c r="A138" t="s">
        <v>305</v>
      </c>
    </row>
    <row r="139" spans="1:5" x14ac:dyDescent="0.25">
      <c r="A139" t="s">
        <v>306</v>
      </c>
    </row>
    <row r="140" spans="1:5" x14ac:dyDescent="0.25">
      <c r="A140" s="36" t="s">
        <v>307</v>
      </c>
    </row>
    <row r="142" spans="1:5" x14ac:dyDescent="0.25">
      <c r="A142" s="66"/>
      <c r="B142" s="66"/>
      <c r="C142" s="66"/>
      <c r="D142" s="66"/>
      <c r="E142" s="66"/>
    </row>
    <row r="143" spans="1:5" x14ac:dyDescent="0.25">
      <c r="A143" s="66"/>
      <c r="B143" s="66"/>
      <c r="C143" s="66"/>
      <c r="D143" s="66"/>
      <c r="E143" s="66"/>
    </row>
    <row r="144" spans="1:5" x14ac:dyDescent="0.25">
      <c r="A144" s="67"/>
      <c r="B144" s="67"/>
      <c r="C144" s="67"/>
      <c r="D144" s="67"/>
      <c r="E144" s="67"/>
    </row>
    <row r="145" spans="1:6" ht="13" x14ac:dyDescent="0.3">
      <c r="A145" s="3" t="s">
        <v>324</v>
      </c>
      <c r="B145" s="68" t="s">
        <v>286</v>
      </c>
      <c r="C145" s="68"/>
      <c r="D145" s="68"/>
      <c r="E145" s="4"/>
    </row>
    <row r="146" spans="1:6" ht="13" x14ac:dyDescent="0.3">
      <c r="A146" s="5" t="s">
        <v>95</v>
      </c>
      <c r="B146" s="39">
        <v>42981</v>
      </c>
      <c r="C146" s="6"/>
      <c r="D146" s="6"/>
      <c r="E146" s="7"/>
    </row>
    <row r="147" spans="1:6" ht="13" x14ac:dyDescent="0.3">
      <c r="A147" s="5" t="s">
        <v>102</v>
      </c>
      <c r="B147" s="40">
        <v>0.21597222222222223</v>
      </c>
      <c r="C147" s="6"/>
      <c r="D147" s="6"/>
      <c r="E147" s="7"/>
    </row>
    <row r="148" spans="1:6" ht="13" x14ac:dyDescent="0.3">
      <c r="A148" s="5"/>
      <c r="B148" s="6"/>
      <c r="C148" s="6"/>
      <c r="D148" s="6"/>
      <c r="E148" s="7"/>
    </row>
    <row r="149" spans="1:6" ht="13" x14ac:dyDescent="0.3">
      <c r="A149" s="5" t="s">
        <v>84</v>
      </c>
      <c r="B149" s="6"/>
      <c r="C149" s="6"/>
      <c r="D149" s="6"/>
      <c r="E149" s="7"/>
    </row>
    <row r="150" spans="1:6" ht="13" x14ac:dyDescent="0.3">
      <c r="A150" s="8" t="s">
        <v>0</v>
      </c>
      <c r="B150" s="8" t="s">
        <v>66</v>
      </c>
      <c r="C150" s="5" t="s">
        <v>101</v>
      </c>
      <c r="D150" s="8" t="s">
        <v>67</v>
      </c>
      <c r="E150" s="7"/>
    </row>
    <row r="151" spans="1:6" x14ac:dyDescent="0.25">
      <c r="A151" s="9" t="s">
        <v>1</v>
      </c>
      <c r="B151" s="9">
        <v>2750</v>
      </c>
      <c r="C151" s="9"/>
      <c r="D151" s="20" t="s">
        <v>274</v>
      </c>
      <c r="E151" s="9"/>
      <c r="F151" s="2"/>
    </row>
    <row r="152" spans="1:6" x14ac:dyDescent="0.25">
      <c r="A152" s="9" t="s">
        <v>3</v>
      </c>
      <c r="B152" s="9">
        <v>0</v>
      </c>
      <c r="C152" s="23"/>
      <c r="D152" s="17"/>
      <c r="E152" s="9"/>
      <c r="F152" s="2"/>
    </row>
    <row r="153" spans="1:6" x14ac:dyDescent="0.25">
      <c r="A153" s="9" t="s">
        <v>322</v>
      </c>
      <c r="B153" s="9">
        <v>0</v>
      </c>
      <c r="C153" s="9"/>
      <c r="D153" s="17"/>
      <c r="E153" s="9"/>
      <c r="F153" s="2"/>
    </row>
    <row r="154" spans="1:6" x14ac:dyDescent="0.25">
      <c r="A154" s="9" t="s">
        <v>5</v>
      </c>
      <c r="B154" s="9">
        <v>0</v>
      </c>
      <c r="C154" s="9"/>
      <c r="D154" s="17"/>
      <c r="E154" s="9"/>
      <c r="F154" s="2"/>
    </row>
    <row r="155" spans="1:6" x14ac:dyDescent="0.25">
      <c r="A155" s="9" t="s">
        <v>275</v>
      </c>
      <c r="B155" s="9">
        <v>9</v>
      </c>
      <c r="C155" s="9"/>
      <c r="D155" s="9"/>
      <c r="E155" s="9"/>
      <c r="F155" s="2"/>
    </row>
    <row r="156" spans="1:6" x14ac:dyDescent="0.25">
      <c r="A156" s="9" t="s">
        <v>6</v>
      </c>
      <c r="B156" s="9">
        <v>0</v>
      </c>
      <c r="C156" s="9"/>
      <c r="D156" s="9"/>
      <c r="E156" s="9"/>
      <c r="F156" s="2"/>
    </row>
    <row r="157" spans="1:6" x14ac:dyDescent="0.25">
      <c r="A157" s="9" t="s">
        <v>276</v>
      </c>
      <c r="B157" s="9">
        <v>133</v>
      </c>
      <c r="C157" s="9"/>
      <c r="D157" s="9"/>
      <c r="E157" s="9"/>
      <c r="F157" s="2"/>
    </row>
    <row r="158" spans="1:6" x14ac:dyDescent="0.25">
      <c r="A158" s="9" t="s">
        <v>272</v>
      </c>
      <c r="B158" s="9">
        <v>2707.96</v>
      </c>
      <c r="C158" s="9"/>
      <c r="D158" s="9"/>
      <c r="E158" s="9"/>
      <c r="F158" s="2"/>
    </row>
    <row r="159" spans="1:6" x14ac:dyDescent="0.25">
      <c r="A159" s="9" t="s">
        <v>273</v>
      </c>
      <c r="B159" s="9">
        <v>263</v>
      </c>
      <c r="C159" s="9"/>
      <c r="D159" s="9"/>
      <c r="E159" s="9"/>
      <c r="F159" s="2"/>
    </row>
    <row r="160" spans="1:6" x14ac:dyDescent="0.25">
      <c r="A160" s="9" t="s">
        <v>8</v>
      </c>
      <c r="B160" s="9">
        <v>0</v>
      </c>
      <c r="C160" s="9"/>
      <c r="D160" s="9"/>
      <c r="E160" s="9"/>
      <c r="F160" s="2"/>
    </row>
    <row r="161" spans="1:6" x14ac:dyDescent="0.25">
      <c r="A161" s="9" t="s">
        <v>10</v>
      </c>
      <c r="B161" s="9">
        <v>185</v>
      </c>
      <c r="C161" s="9"/>
      <c r="D161" s="9"/>
      <c r="E161" s="9"/>
      <c r="F161" s="2"/>
    </row>
    <row r="162" spans="1:6" x14ac:dyDescent="0.25">
      <c r="A162" s="9" t="s">
        <v>277</v>
      </c>
      <c r="B162" s="9">
        <v>81</v>
      </c>
      <c r="C162" s="9"/>
      <c r="D162" s="9"/>
      <c r="E162" s="9"/>
      <c r="F162" s="2"/>
    </row>
    <row r="163" spans="1:6" x14ac:dyDescent="0.25">
      <c r="A163" s="9" t="s">
        <v>11</v>
      </c>
      <c r="B163" s="9">
        <v>0</v>
      </c>
      <c r="C163" s="9"/>
      <c r="D163" s="9"/>
      <c r="E163" s="9"/>
      <c r="F163" s="2"/>
    </row>
    <row r="164" spans="1:6" x14ac:dyDescent="0.25">
      <c r="A164" s="9" t="s">
        <v>12</v>
      </c>
      <c r="B164" s="9">
        <v>10</v>
      </c>
      <c r="C164" s="9"/>
      <c r="D164" s="9"/>
      <c r="E164" s="9"/>
      <c r="F164" s="2"/>
    </row>
    <row r="165" spans="1:6" x14ac:dyDescent="0.25">
      <c r="A165" s="9" t="s">
        <v>13</v>
      </c>
      <c r="B165" s="9">
        <v>90</v>
      </c>
      <c r="C165" s="9"/>
      <c r="D165" s="19" t="s">
        <v>278</v>
      </c>
      <c r="E165" s="9"/>
      <c r="F165" s="2"/>
    </row>
    <row r="166" spans="1:6" x14ac:dyDescent="0.25">
      <c r="A166" s="9" t="s">
        <v>17</v>
      </c>
      <c r="B166" s="9">
        <v>87</v>
      </c>
      <c r="C166" s="9"/>
      <c r="D166" s="19" t="s">
        <v>279</v>
      </c>
      <c r="E166" s="9"/>
      <c r="F166" s="2"/>
    </row>
    <row r="167" spans="1:6" x14ac:dyDescent="0.25">
      <c r="A167" s="9" t="s">
        <v>22</v>
      </c>
      <c r="B167" s="9">
        <v>0</v>
      </c>
      <c r="C167" s="9"/>
      <c r="D167" s="9"/>
      <c r="E167" s="9"/>
      <c r="F167" s="2"/>
    </row>
    <row r="168" spans="1:6" x14ac:dyDescent="0.25">
      <c r="A168" s="9" t="s">
        <v>14</v>
      </c>
      <c r="B168" s="9">
        <v>0</v>
      </c>
      <c r="C168" s="9"/>
      <c r="D168" s="9"/>
      <c r="E168" s="9"/>
      <c r="F168" s="2"/>
    </row>
    <row r="169" spans="1:6" x14ac:dyDescent="0.25">
      <c r="A169" s="9" t="s">
        <v>15</v>
      </c>
      <c r="B169" s="9">
        <v>150</v>
      </c>
      <c r="C169" s="9"/>
      <c r="D169" s="17"/>
      <c r="E169" s="9"/>
      <c r="F169" s="2"/>
    </row>
    <row r="170" spans="1:6" ht="25" x14ac:dyDescent="0.25">
      <c r="A170" s="9" t="s">
        <v>9</v>
      </c>
      <c r="B170" s="9">
        <v>0</v>
      </c>
      <c r="C170" s="9"/>
      <c r="D170" s="23" t="s">
        <v>283</v>
      </c>
      <c r="E170" s="9"/>
      <c r="F170" s="2"/>
    </row>
    <row r="171" spans="1:6" x14ac:dyDescent="0.25">
      <c r="A171" s="9" t="s">
        <v>28</v>
      </c>
      <c r="B171" s="9">
        <v>50</v>
      </c>
      <c r="C171" s="9"/>
      <c r="D171" s="17"/>
      <c r="E171" s="9"/>
      <c r="F171" s="2"/>
    </row>
    <row r="172" spans="1:6" x14ac:dyDescent="0.25">
      <c r="A172" s="9" t="s">
        <v>153</v>
      </c>
      <c r="B172" s="9">
        <v>40</v>
      </c>
      <c r="C172" s="9"/>
      <c r="D172" s="17"/>
      <c r="E172" s="9"/>
      <c r="F172" s="2"/>
    </row>
    <row r="173" spans="1:6" x14ac:dyDescent="0.25">
      <c r="A173" s="9" t="s">
        <v>32</v>
      </c>
      <c r="B173" s="9">
        <v>75</v>
      </c>
      <c r="C173" s="9"/>
      <c r="D173" s="9"/>
      <c r="E173" s="9"/>
      <c r="F173" s="2"/>
    </row>
    <row r="174" spans="1:6" x14ac:dyDescent="0.25">
      <c r="A174" s="9" t="s">
        <v>33</v>
      </c>
      <c r="B174" s="9">
        <v>75</v>
      </c>
      <c r="C174" s="9"/>
      <c r="D174" s="9"/>
      <c r="E174" s="9"/>
      <c r="F174" s="2"/>
    </row>
    <row r="175" spans="1:6" x14ac:dyDescent="0.25">
      <c r="A175" s="9" t="s">
        <v>34</v>
      </c>
      <c r="B175" s="9">
        <v>0</v>
      </c>
      <c r="C175" s="9"/>
      <c r="D175" s="9"/>
      <c r="E175" s="9"/>
      <c r="F175" s="2"/>
    </row>
    <row r="176" spans="1:6" x14ac:dyDescent="0.25">
      <c r="A176" s="9" t="s">
        <v>35</v>
      </c>
      <c r="B176" s="9">
        <v>150</v>
      </c>
      <c r="C176" s="9"/>
      <c r="D176" s="9"/>
      <c r="E176" s="9"/>
      <c r="F176" s="2"/>
    </row>
    <row r="177" spans="1:6" x14ac:dyDescent="0.25">
      <c r="A177" s="9" t="s">
        <v>39</v>
      </c>
      <c r="B177" s="9">
        <v>400</v>
      </c>
      <c r="C177" s="9"/>
      <c r="D177" s="19" t="s">
        <v>271</v>
      </c>
      <c r="E177" s="9"/>
      <c r="F177" s="2"/>
    </row>
    <row r="178" spans="1:6" x14ac:dyDescent="0.25">
      <c r="A178" s="9" t="s">
        <v>42</v>
      </c>
      <c r="B178" s="9">
        <v>250</v>
      </c>
      <c r="C178" s="9"/>
      <c r="D178" s="9"/>
      <c r="E178" s="9"/>
      <c r="F178" s="2"/>
    </row>
    <row r="179" spans="1:6" x14ac:dyDescent="0.25">
      <c r="A179" s="9" t="s">
        <v>49</v>
      </c>
      <c r="B179" s="9">
        <v>80</v>
      </c>
      <c r="C179" s="9"/>
      <c r="D179" s="9"/>
      <c r="E179" s="9"/>
      <c r="F179" s="2"/>
    </row>
    <row r="180" spans="1:6" x14ac:dyDescent="0.25">
      <c r="A180" s="9" t="s">
        <v>151</v>
      </c>
      <c r="B180" s="9">
        <v>100</v>
      </c>
      <c r="C180" s="9"/>
      <c r="D180" s="9"/>
      <c r="E180" s="9"/>
      <c r="F180" s="2"/>
    </row>
    <row r="181" spans="1:6" x14ac:dyDescent="0.25">
      <c r="A181" s="9" t="s">
        <v>280</v>
      </c>
      <c r="B181" s="9">
        <v>100</v>
      </c>
      <c r="C181" s="9"/>
      <c r="D181" s="28" t="s">
        <v>288</v>
      </c>
      <c r="E181" s="9"/>
      <c r="F181" s="2"/>
    </row>
    <row r="182" spans="1:6" x14ac:dyDescent="0.25">
      <c r="A182" s="9" t="s">
        <v>281</v>
      </c>
      <c r="B182" s="9">
        <v>150</v>
      </c>
      <c r="C182" s="9"/>
      <c r="D182" s="9"/>
      <c r="E182" s="9"/>
      <c r="F182" s="2"/>
    </row>
    <row r="183" spans="1:6" x14ac:dyDescent="0.25">
      <c r="A183" s="9" t="s">
        <v>149</v>
      </c>
      <c r="B183" s="9">
        <v>300</v>
      </c>
      <c r="C183" s="9"/>
      <c r="D183" s="9"/>
      <c r="E183" s="9"/>
      <c r="F183" s="2"/>
    </row>
    <row r="184" spans="1:6" ht="50.5" x14ac:dyDescent="0.3">
      <c r="A184" s="10" t="s">
        <v>70</v>
      </c>
      <c r="B184" s="7">
        <f>SUM(B151:B183)</f>
        <v>8235.9599999999991</v>
      </c>
      <c r="C184" s="7"/>
      <c r="D184" s="22" t="s">
        <v>285</v>
      </c>
      <c r="E184" s="7"/>
    </row>
    <row r="185" spans="1:6" ht="50.5" x14ac:dyDescent="0.3">
      <c r="A185" s="31" t="s">
        <v>284</v>
      </c>
      <c r="B185" s="30">
        <f>SUM(151:183)-B151-B170+B3+B22</f>
        <v>6635.9599999999991</v>
      </c>
      <c r="C185" s="30"/>
      <c r="D185" s="33" t="s">
        <v>287</v>
      </c>
      <c r="E185" s="30"/>
    </row>
    <row r="186" spans="1:6" x14ac:dyDescent="0.25">
      <c r="A186" s="7"/>
      <c r="B186" s="7"/>
      <c r="C186" s="7"/>
      <c r="D186" s="7"/>
      <c r="E186" s="7"/>
    </row>
    <row r="187" spans="1:6" ht="13" x14ac:dyDescent="0.3">
      <c r="A187" s="8" t="s">
        <v>31</v>
      </c>
      <c r="B187" s="8" t="s">
        <v>66</v>
      </c>
      <c r="C187" s="5" t="s">
        <v>101</v>
      </c>
      <c r="D187" s="8" t="s">
        <v>67</v>
      </c>
      <c r="E187" s="7"/>
    </row>
    <row r="188" spans="1:6" x14ac:dyDescent="0.25">
      <c r="A188" s="9" t="s">
        <v>18</v>
      </c>
      <c r="B188" s="9">
        <v>0</v>
      </c>
      <c r="C188" s="9"/>
      <c r="D188" s="9"/>
      <c r="E188" s="9"/>
    </row>
    <row r="189" spans="1:6" x14ac:dyDescent="0.25">
      <c r="A189" s="9" t="s">
        <v>173</v>
      </c>
      <c r="B189" s="9">
        <v>0</v>
      </c>
      <c r="C189" s="9"/>
      <c r="D189" s="9"/>
      <c r="E189" s="9"/>
    </row>
    <row r="190" spans="1:6" x14ac:dyDescent="0.25">
      <c r="A190" s="9" t="s">
        <v>175</v>
      </c>
      <c r="B190" s="9">
        <v>0</v>
      </c>
      <c r="C190" s="9"/>
      <c r="D190" s="9"/>
      <c r="E190" s="9"/>
    </row>
    <row r="191" spans="1:6" x14ac:dyDescent="0.25">
      <c r="A191" s="9" t="s">
        <v>27</v>
      </c>
      <c r="B191" s="9">
        <v>1978</v>
      </c>
      <c r="C191" s="9"/>
      <c r="D191" s="26"/>
      <c r="E191" s="9"/>
    </row>
    <row r="192" spans="1:6" ht="13" x14ac:dyDescent="0.3">
      <c r="A192" s="10" t="s">
        <v>70</v>
      </c>
      <c r="B192" s="7">
        <f>SUM(B188:B191)</f>
        <v>1978</v>
      </c>
      <c r="C192" s="7"/>
      <c r="D192" s="7"/>
      <c r="E192" s="7"/>
    </row>
    <row r="193" spans="1:5" x14ac:dyDescent="0.25">
      <c r="A193" s="7"/>
      <c r="B193" s="7"/>
      <c r="C193" s="7"/>
      <c r="D193" s="7"/>
      <c r="E193" s="7"/>
    </row>
    <row r="194" spans="1:5" ht="13" x14ac:dyDescent="0.3">
      <c r="A194" s="8" t="s">
        <v>82</v>
      </c>
      <c r="B194" s="8" t="s">
        <v>66</v>
      </c>
      <c r="C194" s="5" t="s">
        <v>101</v>
      </c>
      <c r="D194" s="8" t="s">
        <v>67</v>
      </c>
      <c r="E194" s="7"/>
    </row>
    <row r="195" spans="1:5" x14ac:dyDescent="0.25">
      <c r="A195" s="9" t="s">
        <v>150</v>
      </c>
      <c r="B195" s="9">
        <v>0</v>
      </c>
      <c r="C195" s="9"/>
      <c r="D195" s="23"/>
      <c r="E195" s="9"/>
    </row>
    <row r="196" spans="1:5" x14ac:dyDescent="0.25">
      <c r="A196" s="9" t="s">
        <v>44</v>
      </c>
      <c r="B196" s="9">
        <v>0</v>
      </c>
      <c r="C196" s="9"/>
      <c r="D196" s="23"/>
      <c r="E196" s="9"/>
    </row>
    <row r="197" spans="1:5" x14ac:dyDescent="0.25">
      <c r="A197" s="9" t="s">
        <v>230</v>
      </c>
      <c r="B197" s="9">
        <v>0</v>
      </c>
      <c r="C197" s="9"/>
      <c r="D197" s="17"/>
      <c r="E197" s="9"/>
    </row>
    <row r="198" spans="1:5" x14ac:dyDescent="0.25">
      <c r="A198" s="9" t="s">
        <v>161</v>
      </c>
      <c r="B198" s="9">
        <v>0</v>
      </c>
      <c r="C198" s="9"/>
      <c r="D198" s="17"/>
      <c r="E198" s="9"/>
    </row>
    <row r="199" spans="1:5" x14ac:dyDescent="0.25">
      <c r="A199" s="9" t="s">
        <v>212</v>
      </c>
      <c r="B199" s="9">
        <v>0</v>
      </c>
      <c r="C199" s="9"/>
      <c r="D199" s="23"/>
      <c r="E199" s="9"/>
    </row>
    <row r="200" spans="1:5" x14ac:dyDescent="0.25">
      <c r="A200" s="9" t="s">
        <v>231</v>
      </c>
      <c r="B200" s="9">
        <v>0</v>
      </c>
      <c r="C200" s="9"/>
      <c r="D200" s="23"/>
      <c r="E200" s="9"/>
    </row>
    <row r="201" spans="1:5" x14ac:dyDescent="0.25">
      <c r="A201" s="9" t="s">
        <v>47</v>
      </c>
      <c r="B201" s="9">
        <v>20</v>
      </c>
      <c r="C201" s="9"/>
      <c r="D201" s="17"/>
      <c r="E201" s="9"/>
    </row>
    <row r="202" spans="1:5" x14ac:dyDescent="0.25">
      <c r="A202" s="9" t="s">
        <v>240</v>
      </c>
      <c r="B202" s="9">
        <v>300</v>
      </c>
      <c r="C202" s="9"/>
      <c r="D202" s="17"/>
      <c r="E202" s="9"/>
    </row>
    <row r="203" spans="1:5" x14ac:dyDescent="0.25">
      <c r="A203" s="9" t="s">
        <v>177</v>
      </c>
      <c r="B203" s="9">
        <v>0</v>
      </c>
      <c r="C203" s="9"/>
      <c r="D203" s="23"/>
      <c r="E203" s="9"/>
    </row>
    <row r="204" spans="1:5" ht="13" x14ac:dyDescent="0.3">
      <c r="A204" s="10" t="s">
        <v>70</v>
      </c>
      <c r="B204" s="7">
        <f>SUM(B195:B203)</f>
        <v>320</v>
      </c>
      <c r="C204" s="7"/>
      <c r="D204" s="7"/>
      <c r="E204" s="7"/>
    </row>
    <row r="205" spans="1:5" x14ac:dyDescent="0.25">
      <c r="A205" s="7"/>
      <c r="B205" s="7"/>
      <c r="C205" s="7"/>
      <c r="D205" s="7"/>
      <c r="E205" s="7"/>
    </row>
    <row r="206" spans="1:5" ht="13" x14ac:dyDescent="0.3">
      <c r="A206" s="8" t="s">
        <v>85</v>
      </c>
      <c r="B206" s="8" t="s">
        <v>66</v>
      </c>
      <c r="C206" s="5" t="s">
        <v>101</v>
      </c>
      <c r="D206" s="8" t="s">
        <v>214</v>
      </c>
      <c r="E206" s="7"/>
    </row>
    <row r="207" spans="1:5" x14ac:dyDescent="0.25">
      <c r="A207" s="9" t="s">
        <v>104</v>
      </c>
      <c r="B207" s="9">
        <v>0</v>
      </c>
      <c r="C207" s="9"/>
      <c r="D207" s="23"/>
      <c r="E207" s="9"/>
    </row>
    <row r="208" spans="1:5" x14ac:dyDescent="0.25">
      <c r="A208" s="9" t="s">
        <v>162</v>
      </c>
      <c r="B208" s="9">
        <v>0</v>
      </c>
      <c r="C208" s="9"/>
      <c r="D208" s="17"/>
      <c r="E208" s="9"/>
    </row>
    <row r="209" spans="1:5" x14ac:dyDescent="0.25">
      <c r="A209" s="9" t="s">
        <v>245</v>
      </c>
      <c r="B209" s="9">
        <v>391.24</v>
      </c>
      <c r="C209" s="9"/>
      <c r="D209" s="17"/>
      <c r="E209" s="9"/>
    </row>
    <row r="210" spans="1:5" x14ac:dyDescent="0.25">
      <c r="A210" s="9" t="s">
        <v>29</v>
      </c>
      <c r="B210" s="9">
        <v>7194.46</v>
      </c>
      <c r="C210" s="9"/>
      <c r="D210" s="17"/>
      <c r="E210" s="9"/>
    </row>
    <row r="211" spans="1:5" x14ac:dyDescent="0.25">
      <c r="A211" s="9" t="s">
        <v>30</v>
      </c>
      <c r="B211" s="9">
        <v>1045.5999999999999</v>
      </c>
      <c r="C211" s="9"/>
      <c r="D211" s="9"/>
      <c r="E211" s="9"/>
    </row>
    <row r="212" spans="1:5" ht="13" x14ac:dyDescent="0.3">
      <c r="A212" s="10" t="s">
        <v>70</v>
      </c>
      <c r="B212" s="7">
        <f>SUM(B207:B211)</f>
        <v>8631.2999999999993</v>
      </c>
      <c r="C212" s="7"/>
      <c r="D212" s="7"/>
      <c r="E212" s="7"/>
    </row>
    <row r="213" spans="1:5" ht="13" x14ac:dyDescent="0.3">
      <c r="A213" s="10"/>
      <c r="B213" s="7"/>
      <c r="C213" s="7"/>
      <c r="D213" s="7"/>
      <c r="E213" s="7"/>
    </row>
    <row r="214" spans="1:5" ht="13" x14ac:dyDescent="0.3">
      <c r="A214" s="10" t="s">
        <v>87</v>
      </c>
      <c r="B214" s="7">
        <f>SUM(B184,B192,B204)-B212</f>
        <v>1902.6599999999999</v>
      </c>
      <c r="C214" s="7"/>
      <c r="D214" s="7"/>
      <c r="E214" s="7"/>
    </row>
    <row r="215" spans="1:5" ht="13" x14ac:dyDescent="0.3">
      <c r="A215" s="10"/>
      <c r="B215" s="7"/>
      <c r="C215" s="7"/>
      <c r="D215" s="7"/>
      <c r="E215" s="7"/>
    </row>
    <row r="216" spans="1:5" ht="13" x14ac:dyDescent="0.3">
      <c r="A216" s="11" t="s">
        <v>73</v>
      </c>
      <c r="B216" s="7"/>
      <c r="C216" s="7"/>
      <c r="D216" s="7"/>
      <c r="E216" s="7"/>
    </row>
    <row r="217" spans="1:5" ht="13" x14ac:dyDescent="0.3">
      <c r="A217" s="8" t="s">
        <v>75</v>
      </c>
      <c r="B217" s="8" t="s">
        <v>66</v>
      </c>
      <c r="C217" s="5" t="s">
        <v>101</v>
      </c>
      <c r="D217" s="8" t="s">
        <v>67</v>
      </c>
      <c r="E217" s="7"/>
    </row>
    <row r="218" spans="1:5" x14ac:dyDescent="0.25">
      <c r="A218" s="9" t="s">
        <v>74</v>
      </c>
      <c r="B218" s="9">
        <v>6134.23</v>
      </c>
      <c r="C218" s="9"/>
      <c r="D218" s="9"/>
      <c r="E218" s="9"/>
    </row>
    <row r="219" spans="1:5" x14ac:dyDescent="0.25">
      <c r="A219" s="9" t="s">
        <v>383</v>
      </c>
      <c r="B219" s="9"/>
      <c r="C219" s="9"/>
      <c r="D219" s="9"/>
      <c r="E219" s="9"/>
    </row>
    <row r="220" spans="1:5" x14ac:dyDescent="0.25">
      <c r="A220" s="9"/>
      <c r="B220" s="9"/>
      <c r="C220" s="9"/>
      <c r="D220" s="9"/>
      <c r="E220" s="9"/>
    </row>
    <row r="221" spans="1:5" ht="13" x14ac:dyDescent="0.3">
      <c r="A221" s="10" t="s">
        <v>70</v>
      </c>
      <c r="B221" s="7">
        <f>SUM(B218:B220)</f>
        <v>6134.23</v>
      </c>
      <c r="C221" s="7"/>
      <c r="D221" s="7"/>
      <c r="E221" s="7"/>
    </row>
    <row r="222" spans="1:5" ht="13" x14ac:dyDescent="0.3">
      <c r="A222" s="11"/>
      <c r="B222" s="7"/>
      <c r="C222" s="7"/>
      <c r="D222" s="7"/>
      <c r="E222" s="7"/>
    </row>
    <row r="223" spans="1:5" ht="13" x14ac:dyDescent="0.3">
      <c r="A223" s="8" t="s">
        <v>76</v>
      </c>
      <c r="B223" s="8" t="s">
        <v>66</v>
      </c>
      <c r="C223" s="5" t="s">
        <v>101</v>
      </c>
      <c r="D223" s="8" t="s">
        <v>67</v>
      </c>
      <c r="E223" s="7"/>
    </row>
    <row r="224" spans="1:5" x14ac:dyDescent="0.25">
      <c r="A224" s="9" t="s">
        <v>242</v>
      </c>
      <c r="B224" s="9">
        <v>600</v>
      </c>
      <c r="C224" s="9"/>
      <c r="D224" s="9"/>
      <c r="E224" s="9"/>
    </row>
    <row r="225" spans="1:5" x14ac:dyDescent="0.25">
      <c r="A225" s="9"/>
      <c r="B225" s="9"/>
      <c r="C225" s="9"/>
      <c r="D225" s="9"/>
      <c r="E225" s="9"/>
    </row>
    <row r="226" spans="1:5" ht="13" x14ac:dyDescent="0.3">
      <c r="A226" s="10" t="s">
        <v>70</v>
      </c>
      <c r="B226" s="7">
        <f>SUM(B224:B225)</f>
        <v>600</v>
      </c>
      <c r="C226" s="7"/>
      <c r="D226" s="7"/>
      <c r="E226" s="7"/>
    </row>
    <row r="227" spans="1:5" x14ac:dyDescent="0.25">
      <c r="A227" s="7"/>
      <c r="B227" s="7"/>
      <c r="C227" s="7"/>
      <c r="D227" s="7"/>
      <c r="E227" s="7"/>
    </row>
    <row r="228" spans="1:5" ht="13" x14ac:dyDescent="0.3">
      <c r="A228" s="8" t="s">
        <v>86</v>
      </c>
      <c r="B228" s="8" t="s">
        <v>66</v>
      </c>
      <c r="C228" s="5" t="s">
        <v>101</v>
      </c>
      <c r="D228" s="8" t="s">
        <v>67</v>
      </c>
      <c r="E228" s="7"/>
    </row>
    <row r="229" spans="1:5" ht="87.5" x14ac:dyDescent="0.25">
      <c r="A229" s="9" t="s">
        <v>26</v>
      </c>
      <c r="B229" s="9">
        <v>0</v>
      </c>
      <c r="C229" s="9"/>
      <c r="D229" s="23" t="s">
        <v>246</v>
      </c>
      <c r="E229" s="9"/>
    </row>
    <row r="230" spans="1:5" x14ac:dyDescent="0.25">
      <c r="A230" s="9" t="s">
        <v>282</v>
      </c>
      <c r="B230" s="9">
        <v>0</v>
      </c>
      <c r="C230" s="9"/>
      <c r="D230" s="23"/>
      <c r="E230" s="9"/>
    </row>
    <row r="231" spans="1:5" x14ac:dyDescent="0.25">
      <c r="A231" s="9" t="s">
        <v>248</v>
      </c>
      <c r="B231" s="9">
        <v>25123</v>
      </c>
      <c r="C231" s="9"/>
      <c r="D231" s="23"/>
      <c r="E231" s="9"/>
    </row>
    <row r="232" spans="1:5" x14ac:dyDescent="0.25">
      <c r="A232" s="9"/>
      <c r="B232" s="9"/>
      <c r="C232" s="9"/>
      <c r="D232" s="9"/>
      <c r="E232" s="9"/>
    </row>
    <row r="233" spans="1:5" ht="13" x14ac:dyDescent="0.3">
      <c r="A233" s="10" t="s">
        <v>70</v>
      </c>
      <c r="B233" s="7">
        <f>SUM(B229:B232)</f>
        <v>25123</v>
      </c>
      <c r="C233" s="7"/>
      <c r="D233" s="7"/>
      <c r="E233" s="7"/>
    </row>
    <row r="234" spans="1:5" x14ac:dyDescent="0.25">
      <c r="A234" s="7"/>
      <c r="B234" s="7"/>
      <c r="C234" s="7"/>
      <c r="D234" s="7"/>
      <c r="E234" s="7"/>
    </row>
    <row r="235" spans="1:5" ht="13" x14ac:dyDescent="0.3">
      <c r="A235" s="10" t="s">
        <v>88</v>
      </c>
      <c r="B235" s="7">
        <f>SUM(B221,B226)-B233</f>
        <v>-18388.77</v>
      </c>
      <c r="C235" s="7"/>
      <c r="D235" s="7"/>
      <c r="E235" s="7"/>
    </row>
    <row r="236" spans="1:5" ht="13" x14ac:dyDescent="0.3">
      <c r="A236" s="10"/>
      <c r="B236" s="7"/>
      <c r="C236" s="7"/>
      <c r="D236" s="7"/>
      <c r="E236" s="7"/>
    </row>
    <row r="237" spans="1:5" ht="13" x14ac:dyDescent="0.3">
      <c r="A237" s="8" t="s">
        <v>251</v>
      </c>
      <c r="B237" s="8" t="s">
        <v>66</v>
      </c>
      <c r="C237" s="8" t="s">
        <v>67</v>
      </c>
      <c r="D237" s="7"/>
      <c r="E237" s="7"/>
    </row>
    <row r="238" spans="1:5" x14ac:dyDescent="0.25">
      <c r="A238" s="9" t="s">
        <v>243</v>
      </c>
      <c r="B238" s="9">
        <v>4502.6499999999996</v>
      </c>
      <c r="C238" s="23"/>
      <c r="D238" s="23"/>
      <c r="E238" s="23"/>
    </row>
    <row r="239" spans="1:5" x14ac:dyDescent="0.25">
      <c r="A239" s="9" t="s">
        <v>244</v>
      </c>
      <c r="B239" s="9">
        <v>848.16</v>
      </c>
      <c r="C239" s="9"/>
      <c r="D239" s="23"/>
      <c r="E239" s="23"/>
    </row>
    <row r="240" spans="1:5" x14ac:dyDescent="0.25">
      <c r="A240" s="9" t="s">
        <v>253</v>
      </c>
      <c r="B240" s="15">
        <v>6047.79</v>
      </c>
      <c r="C240" s="9"/>
      <c r="D240" s="23"/>
      <c r="E240" s="23"/>
    </row>
    <row r="241" spans="1:5" x14ac:dyDescent="0.25">
      <c r="A241" s="9"/>
      <c r="B241" s="9"/>
      <c r="C241" s="9"/>
      <c r="D241" s="23"/>
      <c r="E241" s="23"/>
    </row>
    <row r="242" spans="1:5" ht="13" x14ac:dyDescent="0.3">
      <c r="A242" s="10" t="s">
        <v>256</v>
      </c>
      <c r="B242" s="7">
        <f>SUM(B238:B241)</f>
        <v>11398.599999999999</v>
      </c>
      <c r="C242" s="7"/>
      <c r="D242" s="7"/>
      <c r="E242" s="7"/>
    </row>
    <row r="243" spans="1:5" ht="13" x14ac:dyDescent="0.3">
      <c r="A243" s="31" t="s">
        <v>257</v>
      </c>
      <c r="B243" s="30">
        <v>10000</v>
      </c>
      <c r="C243" s="30"/>
      <c r="D243" s="30"/>
      <c r="E243" s="30"/>
    </row>
    <row r="244" spans="1:5" ht="13" x14ac:dyDescent="0.3">
      <c r="A244" s="31" t="s">
        <v>258</v>
      </c>
      <c r="B244" s="30">
        <f>B238+B243</f>
        <v>14502.65</v>
      </c>
      <c r="C244" s="30"/>
      <c r="D244" s="30"/>
      <c r="E244" s="30"/>
    </row>
    <row r="245" spans="1:5" x14ac:dyDescent="0.25">
      <c r="A245" s="7"/>
      <c r="B245" s="7"/>
      <c r="C245" s="7"/>
      <c r="D245" s="7"/>
      <c r="E245" s="7"/>
    </row>
    <row r="246" spans="1:5" ht="13" x14ac:dyDescent="0.3">
      <c r="A246" s="5" t="s">
        <v>255</v>
      </c>
      <c r="B246" s="7"/>
      <c r="C246" s="7"/>
      <c r="D246" s="7"/>
      <c r="E246" s="7"/>
    </row>
    <row r="247" spans="1:5" ht="13" x14ac:dyDescent="0.3">
      <c r="A247" s="8" t="s">
        <v>94</v>
      </c>
      <c r="B247" s="8" t="s">
        <v>66</v>
      </c>
      <c r="C247" s="8" t="s">
        <v>67</v>
      </c>
      <c r="D247" s="7"/>
      <c r="E247" s="7"/>
    </row>
    <row r="248" spans="1:5" x14ac:dyDescent="0.25">
      <c r="A248" s="9" t="s">
        <v>90</v>
      </c>
      <c r="B248" s="15">
        <v>39780.6</v>
      </c>
      <c r="C248" s="9"/>
      <c r="D248" s="9"/>
      <c r="E248" s="9"/>
    </row>
    <row r="249" spans="1:5" x14ac:dyDescent="0.25">
      <c r="A249" s="9" t="s">
        <v>91</v>
      </c>
      <c r="B249" s="9">
        <v>11485.12</v>
      </c>
      <c r="C249" s="9"/>
      <c r="D249" s="9"/>
      <c r="E249" s="9"/>
    </row>
    <row r="250" spans="1:5" x14ac:dyDescent="0.25">
      <c r="A250" s="9" t="s">
        <v>92</v>
      </c>
      <c r="B250" s="9">
        <v>0</v>
      </c>
      <c r="C250" s="28">
        <v>0</v>
      </c>
      <c r="D250" s="9"/>
      <c r="E250" s="9"/>
    </row>
    <row r="251" spans="1:5" x14ac:dyDescent="0.25">
      <c r="A251" s="9" t="s">
        <v>93</v>
      </c>
      <c r="B251" s="9">
        <v>31625.74</v>
      </c>
      <c r="C251" s="28" t="s">
        <v>247</v>
      </c>
      <c r="D251" s="9"/>
      <c r="E251" s="9"/>
    </row>
    <row r="252" spans="1:5" x14ac:dyDescent="0.25">
      <c r="A252" s="9" t="s">
        <v>250</v>
      </c>
      <c r="B252" s="9">
        <v>40000</v>
      </c>
      <c r="C252" s="28"/>
      <c r="D252" s="9"/>
      <c r="E252" s="9"/>
    </row>
    <row r="253" spans="1:5" x14ac:dyDescent="0.25">
      <c r="A253" s="9" t="s">
        <v>122</v>
      </c>
      <c r="B253" s="28">
        <v>58</v>
      </c>
      <c r="C253" s="25"/>
      <c r="D253" s="9"/>
      <c r="E253" s="9"/>
    </row>
    <row r="254" spans="1:5" x14ac:dyDescent="0.25">
      <c r="A254" s="9" t="s">
        <v>228</v>
      </c>
      <c r="B254" s="28">
        <v>0</v>
      </c>
      <c r="C254" s="28"/>
      <c r="D254" s="9"/>
      <c r="E254" s="9"/>
    </row>
    <row r="255" spans="1:5" ht="13" x14ac:dyDescent="0.3">
      <c r="A255" s="10" t="s">
        <v>254</v>
      </c>
      <c r="B255" s="35">
        <f>SUM(B248:B254)</f>
        <v>122949.46</v>
      </c>
      <c r="C255" s="7"/>
      <c r="D255" s="7"/>
      <c r="E255" s="7"/>
    </row>
    <row r="256" spans="1:5" x14ac:dyDescent="0.25">
      <c r="A256" s="7"/>
      <c r="B256" s="7"/>
      <c r="C256" s="7"/>
      <c r="D256" s="7"/>
      <c r="E256" s="7"/>
    </row>
    <row r="257" spans="1:5" ht="13" x14ac:dyDescent="0.3">
      <c r="A257" s="5" t="s">
        <v>97</v>
      </c>
      <c r="B257" s="7">
        <f xml:space="preserve"> B242+B235-B214</f>
        <v>-8892.8300000000017</v>
      </c>
      <c r="C257" s="7"/>
      <c r="D257" s="7"/>
      <c r="E257" s="7"/>
    </row>
    <row r="258" spans="1:5" ht="13" x14ac:dyDescent="0.3">
      <c r="A258" s="34" t="s">
        <v>267</v>
      </c>
      <c r="B258" s="30">
        <f xml:space="preserve"> B244+B235-B214</f>
        <v>-5788.7800000000007</v>
      </c>
      <c r="C258" s="30"/>
      <c r="D258" s="30"/>
      <c r="E258" s="30"/>
    </row>
    <row r="259" spans="1:5" ht="13" x14ac:dyDescent="0.3">
      <c r="A259" s="5" t="s">
        <v>96</v>
      </c>
      <c r="B259" s="7">
        <f>SUM(B255,B257)</f>
        <v>114056.63</v>
      </c>
      <c r="C259" s="21"/>
      <c r="D259" s="7"/>
      <c r="E259" s="7"/>
    </row>
    <row r="260" spans="1:5" ht="13" x14ac:dyDescent="0.3">
      <c r="A260" s="34" t="s">
        <v>268</v>
      </c>
      <c r="B260" s="30">
        <f>SUM(B255,B258)</f>
        <v>117160.68000000001</v>
      </c>
      <c r="C260" s="33"/>
      <c r="D260" s="30"/>
      <c r="E260" s="30"/>
    </row>
    <row r="261" spans="1:5" ht="13" x14ac:dyDescent="0.3">
      <c r="A261" s="32" t="s">
        <v>261</v>
      </c>
      <c r="B261" s="30">
        <v>17000</v>
      </c>
      <c r="C261" s="33"/>
      <c r="D261" s="30"/>
      <c r="E261" s="30"/>
    </row>
    <row r="262" spans="1:5" ht="13" x14ac:dyDescent="0.3">
      <c r="A262" s="32" t="s">
        <v>262</v>
      </c>
      <c r="B262" s="30">
        <v>2000</v>
      </c>
      <c r="C262" s="33"/>
      <c r="D262" s="30"/>
      <c r="E262" s="30"/>
    </row>
    <row r="263" spans="1:5" ht="13" x14ac:dyDescent="0.3">
      <c r="A263" s="32" t="s">
        <v>263</v>
      </c>
      <c r="B263" s="30">
        <v>0</v>
      </c>
      <c r="C263" s="33" t="s">
        <v>269</v>
      </c>
      <c r="D263" s="30"/>
      <c r="E263" s="30"/>
    </row>
    <row r="264" spans="1:5" ht="13" x14ac:dyDescent="0.3">
      <c r="A264" s="32" t="s">
        <v>265</v>
      </c>
      <c r="B264" s="30">
        <f>SUM(B259,B261:B263)</f>
        <v>133056.63</v>
      </c>
      <c r="C264" s="33"/>
      <c r="D264" s="30"/>
      <c r="E264" s="30"/>
    </row>
    <row r="265" spans="1:5" ht="26" x14ac:dyDescent="0.3">
      <c r="A265" s="34" t="s">
        <v>266</v>
      </c>
      <c r="B265" s="30">
        <f>SUM(B260,B261:B263)</f>
        <v>136160.68</v>
      </c>
      <c r="C265" s="33"/>
      <c r="D265" s="30"/>
      <c r="E265" s="30"/>
    </row>
    <row r="266" spans="1:5" ht="13" x14ac:dyDescent="0.3">
      <c r="A266" s="34" t="s">
        <v>289</v>
      </c>
      <c r="B266" s="30">
        <f>B259-B210-B211-B251-B252</f>
        <v>34190.829999999987</v>
      </c>
      <c r="C266" s="33"/>
      <c r="D266" s="30"/>
      <c r="E266" s="30"/>
    </row>
    <row r="267" spans="1:5" ht="26" x14ac:dyDescent="0.3">
      <c r="A267" s="34" t="s">
        <v>290</v>
      </c>
      <c r="B267" s="30">
        <f>B260-B210-B211-B251-B252</f>
        <v>37294.87999999999</v>
      </c>
      <c r="C267" s="33"/>
      <c r="D267" s="30"/>
      <c r="E267" s="30"/>
    </row>
    <row r="268" spans="1:5" ht="26" x14ac:dyDescent="0.3">
      <c r="A268" s="34" t="s">
        <v>291</v>
      </c>
      <c r="B268" s="30">
        <f>B264-B210-B211-B251-B252</f>
        <v>53190.829999999987</v>
      </c>
      <c r="C268" s="33"/>
      <c r="D268" s="30"/>
      <c r="E268" s="30"/>
    </row>
    <row r="269" spans="1:5" ht="26" x14ac:dyDescent="0.3">
      <c r="A269" s="34" t="s">
        <v>292</v>
      </c>
      <c r="B269" s="30">
        <f>B265-B210-B211-B251-B252</f>
        <v>56294.879999999976</v>
      </c>
      <c r="C269" s="33"/>
      <c r="D269" s="30"/>
      <c r="E269" s="30"/>
    </row>
    <row r="270" spans="1:5" ht="13" x14ac:dyDescent="0.3">
      <c r="A270" s="5" t="s">
        <v>134</v>
      </c>
      <c r="B270" s="7">
        <f>B259-B379</f>
        <v>15332.199999999997</v>
      </c>
      <c r="C270" s="22"/>
      <c r="D270" s="7"/>
      <c r="E270" s="7"/>
    </row>
    <row r="271" spans="1:5" x14ac:dyDescent="0.25">
      <c r="A271" s="7"/>
      <c r="B271" s="7"/>
      <c r="C271" s="7"/>
      <c r="D271" s="7"/>
      <c r="E271" s="7"/>
    </row>
    <row r="272" spans="1:5" x14ac:dyDescent="0.25">
      <c r="A272" s="69"/>
      <c r="B272" s="69"/>
      <c r="C272" s="69"/>
      <c r="D272" s="69"/>
      <c r="E272" s="69"/>
    </row>
    <row r="273" spans="1:5" x14ac:dyDescent="0.25">
      <c r="A273" s="69"/>
      <c r="B273" s="69"/>
      <c r="C273" s="69"/>
      <c r="D273" s="69"/>
      <c r="E273" s="69"/>
    </row>
    <row r="274" spans="1:5" x14ac:dyDescent="0.25">
      <c r="A274" s="69"/>
      <c r="B274" s="69"/>
      <c r="C274" s="69"/>
      <c r="D274" s="69"/>
      <c r="E274" s="69"/>
    </row>
    <row r="275" spans="1:5" ht="13" x14ac:dyDescent="0.3">
      <c r="A275" s="3" t="s">
        <v>404</v>
      </c>
      <c r="B275" s="68" t="s">
        <v>286</v>
      </c>
      <c r="C275" s="68"/>
      <c r="D275" s="68"/>
      <c r="E275" s="4"/>
    </row>
    <row r="276" spans="1:5" ht="13" x14ac:dyDescent="0.3">
      <c r="A276" s="5" t="s">
        <v>95</v>
      </c>
      <c r="B276" s="12">
        <v>43485</v>
      </c>
      <c r="C276" s="6"/>
      <c r="D276" s="6"/>
      <c r="E276" s="7"/>
    </row>
    <row r="277" spans="1:5" ht="13" x14ac:dyDescent="0.3">
      <c r="A277" s="5" t="s">
        <v>102</v>
      </c>
      <c r="B277" s="13">
        <v>0.67499999999999993</v>
      </c>
      <c r="C277" s="6"/>
      <c r="D277" s="6"/>
      <c r="E277" s="7"/>
    </row>
    <row r="278" spans="1:5" ht="13" x14ac:dyDescent="0.3">
      <c r="A278" s="5"/>
      <c r="B278" s="6"/>
      <c r="C278" s="6"/>
      <c r="D278" s="6"/>
      <c r="E278" s="7"/>
    </row>
    <row r="279" spans="1:5" ht="13" x14ac:dyDescent="0.3">
      <c r="A279" s="5" t="s">
        <v>84</v>
      </c>
      <c r="B279" s="6"/>
      <c r="C279" s="6"/>
      <c r="D279" s="6"/>
      <c r="E279" s="7"/>
    </row>
    <row r="280" spans="1:5" ht="13" x14ac:dyDescent="0.3">
      <c r="A280" s="8" t="s">
        <v>0</v>
      </c>
      <c r="B280" s="8" t="s">
        <v>66</v>
      </c>
      <c r="C280" s="8" t="s">
        <v>67</v>
      </c>
      <c r="D280" s="7"/>
      <c r="E280" s="7"/>
    </row>
    <row r="281" spans="1:5" x14ac:dyDescent="0.25">
      <c r="A281" s="9" t="s">
        <v>1</v>
      </c>
      <c r="B281" s="9"/>
      <c r="C281" s="9"/>
      <c r="D281" s="9"/>
      <c r="E281" s="9"/>
    </row>
    <row r="282" spans="1:5" x14ac:dyDescent="0.25">
      <c r="A282" s="9" t="s">
        <v>9</v>
      </c>
      <c r="B282" s="9"/>
      <c r="C282" s="23"/>
      <c r="D282" s="9"/>
      <c r="E282" s="9"/>
    </row>
    <row r="283" spans="1:5" x14ac:dyDescent="0.25">
      <c r="A283" s="9" t="s">
        <v>3</v>
      </c>
      <c r="B283" s="9">
        <v>489.45</v>
      </c>
      <c r="C283" s="9"/>
      <c r="D283" s="9"/>
      <c r="E283" s="9"/>
    </row>
    <row r="284" spans="1:5" x14ac:dyDescent="0.25">
      <c r="A284" s="9" t="s">
        <v>2</v>
      </c>
      <c r="B284" s="9"/>
      <c r="C284" s="9"/>
      <c r="D284" s="9"/>
      <c r="E284" s="9"/>
    </row>
    <row r="285" spans="1:5" x14ac:dyDescent="0.25">
      <c r="A285" s="9" t="s">
        <v>5</v>
      </c>
      <c r="B285" s="9"/>
      <c r="C285" s="9"/>
      <c r="D285" s="9"/>
      <c r="E285" s="9"/>
    </row>
    <row r="286" spans="1:5" x14ac:dyDescent="0.25">
      <c r="A286" s="19" t="s">
        <v>322</v>
      </c>
      <c r="B286" s="9"/>
      <c r="C286" s="9"/>
      <c r="D286" s="9"/>
      <c r="E286" s="9"/>
    </row>
    <row r="287" spans="1:5" x14ac:dyDescent="0.25">
      <c r="A287" s="9" t="s">
        <v>273</v>
      </c>
      <c r="B287" s="9"/>
      <c r="C287" s="9"/>
      <c r="D287" s="9"/>
      <c r="E287" s="9"/>
    </row>
    <row r="288" spans="1:5" x14ac:dyDescent="0.25">
      <c r="A288" s="9" t="s">
        <v>277</v>
      </c>
      <c r="B288" s="9"/>
      <c r="C288" s="9"/>
      <c r="D288" s="9"/>
      <c r="E288" s="9"/>
    </row>
    <row r="289" spans="1:5" x14ac:dyDescent="0.25">
      <c r="A289" s="9" t="s">
        <v>280</v>
      </c>
      <c r="B289" s="9"/>
      <c r="C289" s="19"/>
      <c r="D289" s="9"/>
      <c r="E289" s="9"/>
    </row>
    <row r="290" spans="1:5" x14ac:dyDescent="0.25">
      <c r="A290" s="9" t="s">
        <v>42</v>
      </c>
      <c r="B290" s="9"/>
      <c r="C290" s="9"/>
      <c r="D290" s="9"/>
      <c r="E290" s="9"/>
    </row>
    <row r="291" spans="1:5" x14ac:dyDescent="0.25">
      <c r="A291" s="9" t="s">
        <v>49</v>
      </c>
      <c r="B291" s="9"/>
      <c r="C291" s="9"/>
      <c r="D291" s="9"/>
      <c r="E291" s="9"/>
    </row>
    <row r="292" spans="1:5" x14ac:dyDescent="0.25">
      <c r="A292" s="9" t="s">
        <v>379</v>
      </c>
      <c r="B292" s="9"/>
      <c r="C292" s="9"/>
      <c r="D292" s="9"/>
      <c r="E292" s="9"/>
    </row>
    <row r="293" spans="1:5" x14ac:dyDescent="0.25">
      <c r="A293" s="9" t="s">
        <v>347</v>
      </c>
      <c r="B293" s="9"/>
      <c r="C293" s="9"/>
      <c r="D293" s="9"/>
      <c r="E293" s="9"/>
    </row>
    <row r="294" spans="1:5" x14ac:dyDescent="0.25">
      <c r="A294" s="9" t="s">
        <v>39</v>
      </c>
      <c r="B294" s="9"/>
      <c r="C294" s="9"/>
      <c r="D294" s="9"/>
      <c r="E294" s="9"/>
    </row>
    <row r="295" spans="1:5" ht="13" x14ac:dyDescent="0.3">
      <c r="A295" s="10" t="s">
        <v>70</v>
      </c>
      <c r="B295" s="7">
        <f>SUM(B281:B294)</f>
        <v>489.45</v>
      </c>
      <c r="C295" s="7"/>
      <c r="D295" s="7"/>
      <c r="E295" s="7"/>
    </row>
    <row r="296" spans="1:5" x14ac:dyDescent="0.25">
      <c r="A296" s="7"/>
      <c r="B296" s="7"/>
      <c r="C296" s="7"/>
      <c r="D296" s="7"/>
      <c r="E296" s="7"/>
    </row>
    <row r="297" spans="1:5" ht="13" x14ac:dyDescent="0.3">
      <c r="A297" s="8" t="s">
        <v>31</v>
      </c>
      <c r="B297" s="8" t="s">
        <v>66</v>
      </c>
      <c r="C297" s="8" t="s">
        <v>67</v>
      </c>
      <c r="D297" s="7"/>
      <c r="E297" s="7"/>
    </row>
    <row r="298" spans="1:5" x14ac:dyDescent="0.25">
      <c r="A298" s="9" t="s">
        <v>27</v>
      </c>
      <c r="B298" s="9"/>
      <c r="C298" s="28" t="s">
        <v>397</v>
      </c>
      <c r="D298" s="9"/>
      <c r="E298" s="9"/>
    </row>
    <row r="299" spans="1:5" x14ac:dyDescent="0.25">
      <c r="A299" s="9"/>
      <c r="B299" s="9"/>
      <c r="C299" s="9"/>
      <c r="D299" s="9"/>
      <c r="E299" s="9"/>
    </row>
    <row r="300" spans="1:5" ht="13" x14ac:dyDescent="0.3">
      <c r="A300" s="10" t="s">
        <v>70</v>
      </c>
      <c r="B300" s="7">
        <f>SUM(B298:B299)</f>
        <v>0</v>
      </c>
      <c r="C300" s="7"/>
      <c r="D300" s="7"/>
      <c r="E300" s="7"/>
    </row>
    <row r="301" spans="1:5" x14ac:dyDescent="0.25">
      <c r="A301" s="7"/>
      <c r="B301" s="7"/>
      <c r="C301" s="7"/>
      <c r="D301" s="7"/>
      <c r="E301" s="7"/>
    </row>
    <row r="302" spans="1:5" ht="13" x14ac:dyDescent="0.3">
      <c r="A302" s="8" t="s">
        <v>82</v>
      </c>
      <c r="B302" s="8" t="s">
        <v>66</v>
      </c>
      <c r="C302" s="8" t="s">
        <v>67</v>
      </c>
      <c r="D302" s="7"/>
      <c r="E302" s="7"/>
    </row>
    <row r="303" spans="1:5" x14ac:dyDescent="0.25">
      <c r="A303" s="9" t="s">
        <v>150</v>
      </c>
      <c r="B303" s="9">
        <v>0</v>
      </c>
      <c r="C303" s="9"/>
      <c r="D303" s="23"/>
      <c r="E303" s="9"/>
    </row>
    <row r="304" spans="1:5" x14ac:dyDescent="0.25">
      <c r="A304" s="9" t="s">
        <v>240</v>
      </c>
      <c r="B304" s="9">
        <v>0</v>
      </c>
      <c r="C304" s="19"/>
      <c r="D304" s="23"/>
      <c r="E304" s="9"/>
    </row>
    <row r="305" spans="1:5" x14ac:dyDescent="0.25">
      <c r="A305" s="9"/>
      <c r="B305" s="9"/>
      <c r="C305" s="9"/>
      <c r="D305" s="9"/>
      <c r="E305" s="9"/>
    </row>
    <row r="306" spans="1:5" ht="13" x14ac:dyDescent="0.3">
      <c r="A306" s="10" t="s">
        <v>70</v>
      </c>
      <c r="B306" s="7">
        <f>SUM(B303:B305)</f>
        <v>0</v>
      </c>
      <c r="C306" s="7"/>
      <c r="D306" s="7"/>
      <c r="E306" s="7"/>
    </row>
    <row r="307" spans="1:5" x14ac:dyDescent="0.25">
      <c r="A307" s="7"/>
      <c r="B307" s="7"/>
      <c r="C307" s="7"/>
      <c r="D307" s="7"/>
      <c r="E307" s="7"/>
    </row>
    <row r="308" spans="1:5" ht="13" x14ac:dyDescent="0.3">
      <c r="A308" s="8" t="s">
        <v>85</v>
      </c>
      <c r="B308" s="8" t="s">
        <v>66</v>
      </c>
      <c r="C308" s="8" t="s">
        <v>67</v>
      </c>
      <c r="D308" s="7"/>
      <c r="E308" s="7"/>
    </row>
    <row r="309" spans="1:5" x14ac:dyDescent="0.25">
      <c r="A309" s="9" t="s">
        <v>245</v>
      </c>
      <c r="B309" s="9">
        <v>0</v>
      </c>
      <c r="C309" s="19" t="s">
        <v>295</v>
      </c>
      <c r="D309" s="23"/>
      <c r="E309" s="9"/>
    </row>
    <row r="310" spans="1:5" x14ac:dyDescent="0.25">
      <c r="A310" s="9" t="s">
        <v>29</v>
      </c>
      <c r="B310" s="9"/>
      <c r="C310" s="47" t="s">
        <v>385</v>
      </c>
      <c r="D310" s="9"/>
      <c r="E310" s="9"/>
    </row>
    <row r="311" spans="1:5" x14ac:dyDescent="0.25">
      <c r="A311" s="9" t="s">
        <v>30</v>
      </c>
      <c r="B311" s="9"/>
      <c r="C311" s="47" t="s">
        <v>385</v>
      </c>
      <c r="D311" s="9"/>
      <c r="E311" s="9"/>
    </row>
    <row r="312" spans="1:5" ht="25" x14ac:dyDescent="0.25">
      <c r="A312" s="9" t="s">
        <v>155</v>
      </c>
      <c r="B312" s="9">
        <v>72.47</v>
      </c>
      <c r="C312" s="23" t="s">
        <v>405</v>
      </c>
      <c r="D312" s="9"/>
      <c r="E312" s="9"/>
    </row>
    <row r="313" spans="1:5" x14ac:dyDescent="0.25">
      <c r="A313" s="9" t="s">
        <v>296</v>
      </c>
      <c r="B313" s="9">
        <v>0</v>
      </c>
      <c r="C313" s="19" t="s">
        <v>401</v>
      </c>
      <c r="D313" s="9"/>
      <c r="E313" s="9"/>
    </row>
    <row r="314" spans="1:5" ht="13" x14ac:dyDescent="0.3">
      <c r="A314" s="10" t="s">
        <v>70</v>
      </c>
      <c r="B314" s="7">
        <f>SUM(B309:B313)</f>
        <v>72.47</v>
      </c>
      <c r="C314" s="7"/>
      <c r="D314" s="7"/>
      <c r="E314" s="7"/>
    </row>
    <row r="315" spans="1:5" ht="13" x14ac:dyDescent="0.3">
      <c r="A315" s="10"/>
      <c r="B315" s="7"/>
      <c r="C315" s="7"/>
      <c r="D315" s="7"/>
      <c r="E315" s="7"/>
    </row>
    <row r="316" spans="1:5" ht="13" x14ac:dyDescent="0.3">
      <c r="A316" s="10" t="s">
        <v>87</v>
      </c>
      <c r="B316" s="7">
        <f>SUM(B295,B300,B306) - B314</f>
        <v>416.98</v>
      </c>
      <c r="C316" s="7"/>
      <c r="D316" s="7"/>
      <c r="E316" s="7"/>
    </row>
    <row r="317" spans="1:5" ht="13" x14ac:dyDescent="0.3">
      <c r="A317" s="10"/>
      <c r="B317" s="7"/>
      <c r="C317" s="7"/>
      <c r="D317" s="7"/>
      <c r="E317" s="7"/>
    </row>
    <row r="318" spans="1:5" ht="13" x14ac:dyDescent="0.3">
      <c r="A318" s="11" t="s">
        <v>73</v>
      </c>
      <c r="B318" s="7"/>
      <c r="C318" s="7"/>
      <c r="D318" s="7"/>
      <c r="E318" s="7"/>
    </row>
    <row r="319" spans="1:5" ht="13" x14ac:dyDescent="0.3">
      <c r="A319" s="8" t="s">
        <v>75</v>
      </c>
      <c r="B319" s="8" t="s">
        <v>66</v>
      </c>
      <c r="C319" s="8" t="s">
        <v>67</v>
      </c>
      <c r="D319" s="7"/>
      <c r="E319" s="7"/>
    </row>
    <row r="320" spans="1:5" x14ac:dyDescent="0.25">
      <c r="A320" s="9" t="s">
        <v>383</v>
      </c>
      <c r="B320" s="9"/>
      <c r="C320" s="19"/>
      <c r="D320" s="9"/>
      <c r="E320" s="9"/>
    </row>
    <row r="321" spans="1:5" x14ac:dyDescent="0.25">
      <c r="A321" s="9"/>
      <c r="B321" s="9"/>
      <c r="C321" s="9"/>
      <c r="D321" s="9"/>
      <c r="E321" s="9"/>
    </row>
    <row r="322" spans="1:5" ht="13" x14ac:dyDescent="0.3">
      <c r="A322" s="10" t="s">
        <v>70</v>
      </c>
      <c r="B322" s="7">
        <f>SUM(B320:B321)</f>
        <v>0</v>
      </c>
      <c r="C322" s="7"/>
      <c r="D322" s="7"/>
      <c r="E322" s="7"/>
    </row>
    <row r="323" spans="1:5" ht="13" x14ac:dyDescent="0.3">
      <c r="A323" s="11"/>
      <c r="B323" s="7"/>
      <c r="C323" s="7"/>
      <c r="D323" s="7"/>
      <c r="E323" s="7"/>
    </row>
    <row r="324" spans="1:5" ht="13" x14ac:dyDescent="0.3">
      <c r="A324" s="8" t="s">
        <v>76</v>
      </c>
      <c r="B324" s="8" t="s">
        <v>66</v>
      </c>
      <c r="C324" s="8" t="s">
        <v>67</v>
      </c>
      <c r="D324" s="7"/>
      <c r="E324" s="7"/>
    </row>
    <row r="325" spans="1:5" x14ac:dyDescent="0.25">
      <c r="A325" s="9" t="s">
        <v>242</v>
      </c>
      <c r="B325" s="9">
        <v>600</v>
      </c>
      <c r="C325" s="9"/>
      <c r="D325" s="9"/>
      <c r="E325" s="9"/>
    </row>
    <row r="326" spans="1:5" x14ac:dyDescent="0.25">
      <c r="A326" s="9"/>
      <c r="B326" s="9"/>
      <c r="C326" s="9"/>
      <c r="D326" s="9"/>
      <c r="E326" s="9"/>
    </row>
    <row r="327" spans="1:5" x14ac:dyDescent="0.25">
      <c r="A327" s="9"/>
      <c r="B327" s="9"/>
      <c r="C327" s="9"/>
      <c r="D327" s="9"/>
      <c r="E327" s="9"/>
    </row>
    <row r="328" spans="1:5" ht="13" x14ac:dyDescent="0.3">
      <c r="A328" s="10" t="s">
        <v>70</v>
      </c>
      <c r="B328" s="7">
        <f>SUM(B325:B327)</f>
        <v>600</v>
      </c>
      <c r="C328" s="7"/>
      <c r="D328" s="7"/>
      <c r="E328" s="7"/>
    </row>
    <row r="329" spans="1:5" x14ac:dyDescent="0.25">
      <c r="A329" s="7"/>
      <c r="B329" s="7"/>
      <c r="C329" s="7"/>
      <c r="D329" s="7"/>
      <c r="E329" s="7"/>
    </row>
    <row r="330" spans="1:5" ht="13" x14ac:dyDescent="0.3">
      <c r="A330" s="8" t="s">
        <v>86</v>
      </c>
      <c r="B330" s="8" t="s">
        <v>66</v>
      </c>
      <c r="C330" s="8" t="s">
        <v>67</v>
      </c>
      <c r="D330" s="7"/>
      <c r="E330" s="7"/>
    </row>
    <row r="331" spans="1:5" x14ac:dyDescent="0.25">
      <c r="A331" s="9" t="s">
        <v>209</v>
      </c>
      <c r="B331" s="9">
        <v>0</v>
      </c>
      <c r="C331" s="23"/>
      <c r="D331" s="9"/>
      <c r="E331" s="9"/>
    </row>
    <row r="332" spans="1:5" x14ac:dyDescent="0.25">
      <c r="A332" s="9" t="s">
        <v>282</v>
      </c>
      <c r="B332" s="9">
        <v>0</v>
      </c>
      <c r="C332" s="23"/>
      <c r="D332" s="9"/>
      <c r="E332" s="9"/>
    </row>
    <row r="333" spans="1:5" x14ac:dyDescent="0.25">
      <c r="A333" s="9" t="s">
        <v>248</v>
      </c>
      <c r="B333" s="9">
        <v>62689</v>
      </c>
      <c r="C333" s="48" t="s">
        <v>386</v>
      </c>
      <c r="D333" s="9"/>
      <c r="E333" s="9"/>
    </row>
    <row r="334" spans="1:5" x14ac:dyDescent="0.25">
      <c r="A334" s="9" t="s">
        <v>157</v>
      </c>
      <c r="B334" s="15">
        <v>0</v>
      </c>
      <c r="C334" s="47" t="s">
        <v>384</v>
      </c>
      <c r="D334" s="9"/>
      <c r="E334" s="9"/>
    </row>
    <row r="335" spans="1:5" x14ac:dyDescent="0.25">
      <c r="A335" s="9"/>
      <c r="B335" s="9"/>
      <c r="C335" s="9"/>
      <c r="D335" s="9"/>
      <c r="E335" s="9"/>
    </row>
    <row r="336" spans="1:5" ht="13" x14ac:dyDescent="0.3">
      <c r="A336" s="10" t="s">
        <v>70</v>
      </c>
      <c r="B336" s="7">
        <f>SUM(B331:B335)</f>
        <v>62689</v>
      </c>
      <c r="C336" s="7"/>
      <c r="D336" s="7"/>
      <c r="E336" s="7"/>
    </row>
    <row r="337" spans="1:5" x14ac:dyDescent="0.25">
      <c r="A337" s="7"/>
      <c r="B337" s="7"/>
      <c r="C337" s="7"/>
      <c r="D337" s="7"/>
      <c r="E337" s="7"/>
    </row>
    <row r="338" spans="1:5" ht="13" x14ac:dyDescent="0.3">
      <c r="A338" s="10" t="s">
        <v>88</v>
      </c>
      <c r="B338" s="7">
        <f>SUM(B322,B328) - B336</f>
        <v>-62089</v>
      </c>
      <c r="C338" s="7"/>
      <c r="D338" s="7"/>
      <c r="E338" s="7"/>
    </row>
    <row r="339" spans="1:5" ht="13" x14ac:dyDescent="0.3">
      <c r="A339" s="10"/>
      <c r="B339" s="7"/>
      <c r="C339" s="7"/>
      <c r="D339" s="7"/>
      <c r="E339" s="7"/>
    </row>
    <row r="340" spans="1:5" ht="13" x14ac:dyDescent="0.3">
      <c r="A340" s="8" t="s">
        <v>310</v>
      </c>
      <c r="B340" s="8" t="s">
        <v>66</v>
      </c>
      <c r="C340" s="8" t="s">
        <v>387</v>
      </c>
      <c r="D340" s="7"/>
      <c r="E340" s="7"/>
    </row>
    <row r="341" spans="1:5" ht="62.5" x14ac:dyDescent="0.25">
      <c r="A341" s="19" t="s">
        <v>303</v>
      </c>
      <c r="B341" s="9"/>
      <c r="C341" s="20" t="s">
        <v>319</v>
      </c>
      <c r="D341" s="9"/>
      <c r="E341" s="9"/>
    </row>
    <row r="342" spans="1:5" ht="37.5" x14ac:dyDescent="0.25">
      <c r="A342" s="19" t="s">
        <v>304</v>
      </c>
      <c r="B342" s="9"/>
      <c r="C342" s="20" t="s">
        <v>308</v>
      </c>
      <c r="D342" s="9"/>
      <c r="E342" s="9"/>
    </row>
    <row r="343" spans="1:5" x14ac:dyDescent="0.25">
      <c r="A343" s="19" t="s">
        <v>306</v>
      </c>
      <c r="B343" s="15">
        <v>0</v>
      </c>
      <c r="C343" s="20"/>
      <c r="D343" s="9"/>
      <c r="E343" s="9"/>
    </row>
    <row r="344" spans="1:5" ht="37.5" x14ac:dyDescent="0.25">
      <c r="A344" s="19" t="s">
        <v>305</v>
      </c>
      <c r="B344" s="15"/>
      <c r="C344" s="20" t="s">
        <v>309</v>
      </c>
      <c r="D344" s="9"/>
      <c r="E344" s="9"/>
    </row>
    <row r="345" spans="1:5" x14ac:dyDescent="0.25">
      <c r="A345" s="19" t="s">
        <v>307</v>
      </c>
      <c r="B345" s="15">
        <v>0</v>
      </c>
      <c r="C345" s="9"/>
      <c r="D345" s="9"/>
      <c r="E345" s="9"/>
    </row>
    <row r="346" spans="1:5" x14ac:dyDescent="0.25">
      <c r="A346" s="9"/>
      <c r="B346" s="9"/>
      <c r="C346" s="9"/>
      <c r="D346" s="9"/>
      <c r="E346" s="9"/>
    </row>
    <row r="347" spans="1:5" ht="13" x14ac:dyDescent="0.3">
      <c r="A347" s="10" t="s">
        <v>299</v>
      </c>
      <c r="B347" s="7">
        <f>SUM(B341:B346)</f>
        <v>0</v>
      </c>
      <c r="C347" s="7"/>
      <c r="D347" s="7"/>
      <c r="E347" s="7"/>
    </row>
    <row r="348" spans="1:5" ht="13" x14ac:dyDescent="0.3">
      <c r="A348" s="10" t="s">
        <v>302</v>
      </c>
      <c r="B348" s="7">
        <f>B341</f>
        <v>0</v>
      </c>
      <c r="C348" s="7"/>
      <c r="D348" s="7"/>
      <c r="E348" s="7"/>
    </row>
    <row r="349" spans="1:5" ht="13" x14ac:dyDescent="0.3">
      <c r="A349" s="10"/>
      <c r="B349" s="7"/>
      <c r="C349" s="7"/>
      <c r="D349" s="7"/>
      <c r="E349" s="7"/>
    </row>
    <row r="350" spans="1:5" ht="13" x14ac:dyDescent="0.3">
      <c r="A350" s="8" t="s">
        <v>251</v>
      </c>
      <c r="B350" s="8" t="s">
        <v>66</v>
      </c>
      <c r="C350" s="8" t="s">
        <v>67</v>
      </c>
      <c r="D350" s="7"/>
      <c r="E350" s="7"/>
    </row>
    <row r="351" spans="1:5" x14ac:dyDescent="0.25">
      <c r="A351" s="19" t="s">
        <v>243</v>
      </c>
      <c r="B351" s="9">
        <v>17711.650000000001</v>
      </c>
      <c r="C351" s="25" t="s">
        <v>413</v>
      </c>
      <c r="D351" s="9"/>
      <c r="E351" s="9"/>
    </row>
    <row r="352" spans="1:5" x14ac:dyDescent="0.25">
      <c r="A352" s="9" t="s">
        <v>244</v>
      </c>
      <c r="B352" s="9"/>
      <c r="C352" s="9"/>
      <c r="D352" s="9"/>
      <c r="E352" s="9"/>
    </row>
    <row r="353" spans="1:5" x14ac:dyDescent="0.25">
      <c r="A353" s="9" t="s">
        <v>253</v>
      </c>
      <c r="B353" s="15"/>
      <c r="C353" s="9"/>
      <c r="D353" s="9"/>
      <c r="E353" s="9"/>
    </row>
    <row r="354" spans="1:5" x14ac:dyDescent="0.25">
      <c r="A354" s="9" t="s">
        <v>316</v>
      </c>
      <c r="B354" s="15"/>
      <c r="C354" s="47"/>
      <c r="D354" s="9"/>
      <c r="E354" s="9"/>
    </row>
    <row r="355" spans="1:5" x14ac:dyDescent="0.25">
      <c r="A355" s="9"/>
      <c r="B355" s="9"/>
      <c r="C355" s="9"/>
      <c r="D355" s="9"/>
      <c r="E355" s="9"/>
    </row>
    <row r="356" spans="1:5" ht="13" x14ac:dyDescent="0.3">
      <c r="A356" s="10" t="s">
        <v>256</v>
      </c>
      <c r="B356" s="7">
        <f>SUM(B351:B355)</f>
        <v>17711.650000000001</v>
      </c>
      <c r="C356" s="50" t="s">
        <v>413</v>
      </c>
      <c r="D356" s="7"/>
      <c r="E356" s="7"/>
    </row>
    <row r="357" spans="1:5" ht="13" x14ac:dyDescent="0.3">
      <c r="A357" s="31" t="s">
        <v>257</v>
      </c>
      <c r="B357" s="30">
        <v>30000</v>
      </c>
      <c r="C357" s="30"/>
      <c r="D357" s="30"/>
      <c r="E357" s="30"/>
    </row>
    <row r="358" spans="1:5" ht="13" x14ac:dyDescent="0.3">
      <c r="A358" s="31" t="s">
        <v>297</v>
      </c>
      <c r="B358" s="30">
        <f>B351+B357</f>
        <v>47711.65</v>
      </c>
      <c r="C358" s="30"/>
      <c r="D358" s="30"/>
      <c r="E358" s="30"/>
    </row>
    <row r="359" spans="1:5" ht="13" x14ac:dyDescent="0.3">
      <c r="A359" s="31" t="s">
        <v>300</v>
      </c>
      <c r="B359" s="30">
        <f>B356+B347</f>
        <v>17711.650000000001</v>
      </c>
      <c r="C359" s="30" t="s">
        <v>312</v>
      </c>
      <c r="D359" s="30"/>
      <c r="E359" s="30"/>
    </row>
    <row r="360" spans="1:5" ht="13" x14ac:dyDescent="0.3">
      <c r="A360" s="31" t="s">
        <v>301</v>
      </c>
      <c r="B360" s="30">
        <f>B356+B348</f>
        <v>17711.650000000001</v>
      </c>
      <c r="C360" s="30" t="s">
        <v>312</v>
      </c>
      <c r="D360" s="30"/>
      <c r="E360" s="30"/>
    </row>
    <row r="361" spans="1:5" ht="13" x14ac:dyDescent="0.3">
      <c r="A361" s="31" t="s">
        <v>399</v>
      </c>
      <c r="B361" s="30">
        <f>B356+B347-B348</f>
        <v>17711.650000000001</v>
      </c>
      <c r="C361" s="30" t="s">
        <v>312</v>
      </c>
      <c r="D361" s="30"/>
      <c r="E361" s="30"/>
    </row>
    <row r="362" spans="1:5" x14ac:dyDescent="0.25">
      <c r="A362" s="7"/>
      <c r="B362" s="7"/>
      <c r="C362" s="7"/>
      <c r="D362" s="7"/>
      <c r="E362" s="7"/>
    </row>
    <row r="363" spans="1:5" ht="13" x14ac:dyDescent="0.3">
      <c r="A363" s="5" t="s">
        <v>255</v>
      </c>
      <c r="B363" s="7"/>
      <c r="C363" s="7"/>
      <c r="D363" s="7"/>
      <c r="E363" s="7"/>
    </row>
    <row r="364" spans="1:5" ht="13" x14ac:dyDescent="0.3">
      <c r="A364" s="8" t="s">
        <v>94</v>
      </c>
      <c r="B364" s="8" t="s">
        <v>66</v>
      </c>
      <c r="C364" s="8" t="s">
        <v>67</v>
      </c>
      <c r="D364" s="7"/>
      <c r="E364" s="7"/>
    </row>
    <row r="365" spans="1:5" x14ac:dyDescent="0.25">
      <c r="A365" s="9" t="s">
        <v>90</v>
      </c>
      <c r="B365" s="15">
        <v>8305.41</v>
      </c>
      <c r="C365" s="9"/>
      <c r="D365" s="9"/>
      <c r="E365" s="9"/>
    </row>
    <row r="366" spans="1:5" x14ac:dyDescent="0.25">
      <c r="A366" s="9" t="s">
        <v>91</v>
      </c>
      <c r="B366" s="9">
        <v>10570.43</v>
      </c>
      <c r="C366" s="9"/>
      <c r="D366" s="9"/>
      <c r="E366" s="9"/>
    </row>
    <row r="367" spans="1:5" x14ac:dyDescent="0.25">
      <c r="A367" s="9" t="s">
        <v>92</v>
      </c>
      <c r="B367" s="9">
        <v>0</v>
      </c>
      <c r="C367" s="28">
        <v>0</v>
      </c>
      <c r="D367" s="9"/>
      <c r="E367" s="9"/>
    </row>
    <row r="368" spans="1:5" x14ac:dyDescent="0.25">
      <c r="A368" s="9" t="s">
        <v>93</v>
      </c>
      <c r="B368" s="15">
        <v>36343.94</v>
      </c>
      <c r="C368" s="28" t="s">
        <v>247</v>
      </c>
      <c r="D368" s="9"/>
      <c r="E368" s="9"/>
    </row>
    <row r="369" spans="1:5" x14ac:dyDescent="0.25">
      <c r="A369" s="9" t="s">
        <v>412</v>
      </c>
      <c r="B369" s="15">
        <v>968.95</v>
      </c>
      <c r="C369" s="28"/>
      <c r="D369" s="9"/>
      <c r="E369" s="9"/>
    </row>
    <row r="370" spans="1:5" x14ac:dyDescent="0.25">
      <c r="A370" s="9" t="s">
        <v>250</v>
      </c>
      <c r="B370" s="9">
        <v>40000</v>
      </c>
      <c r="C370" s="28"/>
      <c r="D370" s="9"/>
      <c r="E370" s="9"/>
    </row>
    <row r="371" spans="1:5" x14ac:dyDescent="0.25">
      <c r="A371" s="9" t="s">
        <v>400</v>
      </c>
      <c r="B371" s="9">
        <v>47105.03</v>
      </c>
      <c r="C371" s="28"/>
      <c r="D371" s="9"/>
      <c r="E371" s="9"/>
    </row>
    <row r="372" spans="1:5" x14ac:dyDescent="0.25">
      <c r="A372" s="9" t="s">
        <v>122</v>
      </c>
      <c r="B372" s="28">
        <v>195</v>
      </c>
      <c r="C372" s="47" t="s">
        <v>388</v>
      </c>
      <c r="D372" s="9"/>
      <c r="E372" s="9"/>
    </row>
    <row r="373" spans="1:5" x14ac:dyDescent="0.25">
      <c r="A373" s="9" t="s">
        <v>228</v>
      </c>
      <c r="B373" s="28">
        <v>30</v>
      </c>
      <c r="C373" s="28" t="s">
        <v>406</v>
      </c>
      <c r="D373" s="9"/>
      <c r="E373" s="9"/>
    </row>
    <row r="374" spans="1:5" ht="13" x14ac:dyDescent="0.3">
      <c r="A374" s="10" t="s">
        <v>254</v>
      </c>
      <c r="B374" s="35">
        <f>SUM(B365:B373)</f>
        <v>143518.76</v>
      </c>
      <c r="C374" s="7"/>
      <c r="D374" s="7"/>
      <c r="E374" s="7"/>
    </row>
    <row r="375" spans="1:5" x14ac:dyDescent="0.25">
      <c r="A375" s="7"/>
      <c r="B375" s="7"/>
      <c r="C375" s="7"/>
      <c r="D375" s="7"/>
      <c r="E375" s="7"/>
    </row>
    <row r="376" spans="1:5" ht="13" x14ac:dyDescent="0.3">
      <c r="A376" s="5" t="s">
        <v>99</v>
      </c>
      <c r="B376" s="7">
        <f xml:space="preserve"> B356+B338-B316</f>
        <v>-44794.33</v>
      </c>
      <c r="C376" s="7"/>
      <c r="D376" s="7"/>
      <c r="E376" s="7"/>
    </row>
    <row r="377" spans="1:5" ht="13" x14ac:dyDescent="0.3">
      <c r="A377" s="32" t="s">
        <v>260</v>
      </c>
      <c r="B377" s="30">
        <f xml:space="preserve"> B358+B338-B316</f>
        <v>-14794.329999999998</v>
      </c>
      <c r="C377" s="30"/>
      <c r="D377" s="30"/>
      <c r="E377" s="30"/>
    </row>
    <row r="378" spans="1:5" ht="13" x14ac:dyDescent="0.3">
      <c r="A378" s="32" t="s">
        <v>416</v>
      </c>
      <c r="B378" s="30">
        <v>0</v>
      </c>
      <c r="C378" s="30"/>
      <c r="D378" s="30"/>
      <c r="E378" s="30"/>
    </row>
    <row r="379" spans="1:5" ht="13" x14ac:dyDescent="0.3">
      <c r="A379" s="5" t="s">
        <v>100</v>
      </c>
      <c r="B379" s="38">
        <f>SUM(B374,B376)</f>
        <v>98724.430000000008</v>
      </c>
      <c r="C379" s="21"/>
      <c r="D379" s="7"/>
      <c r="E379" s="7"/>
    </row>
    <row r="380" spans="1:5" ht="13" x14ac:dyDescent="0.3">
      <c r="A380" s="32" t="s">
        <v>259</v>
      </c>
      <c r="B380" s="38">
        <f>SUM(B374,B377)</f>
        <v>128724.43000000001</v>
      </c>
      <c r="C380" s="33"/>
      <c r="D380" s="30"/>
      <c r="E380" s="30"/>
    </row>
    <row r="381" spans="1:5" ht="13" x14ac:dyDescent="0.3">
      <c r="A381" s="32" t="s">
        <v>417</v>
      </c>
      <c r="B381" s="52">
        <f>SUM(B374,B378)</f>
        <v>143518.76</v>
      </c>
      <c r="C381" s="33"/>
      <c r="D381" s="30"/>
      <c r="E381" s="30"/>
    </row>
    <row r="382" spans="1:5" ht="13" x14ac:dyDescent="0.3">
      <c r="A382" s="32" t="s">
        <v>261</v>
      </c>
      <c r="B382" s="30">
        <v>15000</v>
      </c>
      <c r="C382" s="33" t="s">
        <v>435</v>
      </c>
      <c r="D382" s="30"/>
      <c r="E382" s="30"/>
    </row>
    <row r="383" spans="1:5" ht="13" x14ac:dyDescent="0.3">
      <c r="A383" s="32" t="s">
        <v>262</v>
      </c>
      <c r="B383" s="30">
        <v>12000</v>
      </c>
      <c r="C383" s="33" t="s">
        <v>435</v>
      </c>
      <c r="D383" s="30"/>
      <c r="E383" s="30"/>
    </row>
    <row r="384" spans="1:5" ht="13" x14ac:dyDescent="0.3">
      <c r="A384" s="32" t="s">
        <v>263</v>
      </c>
      <c r="B384" s="30">
        <v>0</v>
      </c>
      <c r="C384" s="33"/>
      <c r="D384" s="30"/>
      <c r="E384" s="30"/>
    </row>
    <row r="385" spans="1:5" ht="13" x14ac:dyDescent="0.3">
      <c r="A385" s="32" t="s">
        <v>265</v>
      </c>
      <c r="B385" s="38">
        <f>SUM(B379,B382:B384)</f>
        <v>125724.43000000001</v>
      </c>
      <c r="C385" s="37" t="s">
        <v>311</v>
      </c>
      <c r="D385" s="30"/>
      <c r="E385" s="30"/>
    </row>
    <row r="386" spans="1:5" ht="26" x14ac:dyDescent="0.3">
      <c r="A386" s="34" t="s">
        <v>266</v>
      </c>
      <c r="B386" s="38">
        <f>SUM(B380,B382:B384)</f>
        <v>155724.43</v>
      </c>
      <c r="C386" s="33"/>
      <c r="D386" s="30"/>
      <c r="E386" s="30"/>
    </row>
    <row r="387" spans="1:5" ht="13" x14ac:dyDescent="0.3">
      <c r="A387" s="34" t="s">
        <v>415</v>
      </c>
      <c r="B387" s="52">
        <f>SUM(B381,B382:B384)</f>
        <v>170518.76</v>
      </c>
      <c r="C387" s="33"/>
      <c r="D387" s="30"/>
      <c r="E387" s="30"/>
    </row>
    <row r="388" spans="1:5" ht="13" x14ac:dyDescent="0.3">
      <c r="A388" s="34" t="s">
        <v>373</v>
      </c>
      <c r="B388" s="52">
        <f>B379-B314-B322-B328-B368-B369-B370-B371</f>
        <v>-26365.959999999992</v>
      </c>
      <c r="C388" s="33"/>
      <c r="D388" s="30"/>
      <c r="E388" s="30"/>
    </row>
    <row r="389" spans="1:5" ht="26" x14ac:dyDescent="0.3">
      <c r="A389" s="34" t="s">
        <v>389</v>
      </c>
      <c r="B389" s="38">
        <f>B388-B356+B333</f>
        <v>18611.390000000007</v>
      </c>
      <c r="C389" s="33"/>
      <c r="D389" s="30"/>
      <c r="E389" s="30"/>
    </row>
    <row r="390" spans="1:5" ht="26" x14ac:dyDescent="0.3">
      <c r="A390" s="34" t="s">
        <v>390</v>
      </c>
      <c r="B390" s="38">
        <f>B389+B295+B300+B306</f>
        <v>19100.840000000007</v>
      </c>
      <c r="C390" s="33" t="s">
        <v>403</v>
      </c>
      <c r="D390" s="30"/>
      <c r="E390" s="30"/>
    </row>
    <row r="391" spans="1:5" ht="26" x14ac:dyDescent="0.3">
      <c r="A391" s="34" t="s">
        <v>395</v>
      </c>
      <c r="B391" s="38">
        <f>B389+B281+B282</f>
        <v>18611.390000000007</v>
      </c>
      <c r="C391" s="33"/>
      <c r="D391" s="30"/>
      <c r="E391" s="30"/>
    </row>
    <row r="392" spans="1:5" ht="26" x14ac:dyDescent="0.3">
      <c r="A392" s="34" t="s">
        <v>391</v>
      </c>
      <c r="B392" s="52">
        <f>B380-B314-B322-B328-B368-B369-B370-B371</f>
        <v>3634.0400000000081</v>
      </c>
      <c r="C392" s="33"/>
      <c r="D392" s="30"/>
      <c r="E392" s="30"/>
    </row>
    <row r="393" spans="1:5" ht="26" x14ac:dyDescent="0.3">
      <c r="A393" s="34" t="s">
        <v>375</v>
      </c>
      <c r="B393" s="52">
        <f>B385-B314-B322-B328-B368-B369-B370-B371</f>
        <v>634.04000000000815</v>
      </c>
      <c r="C393" s="33"/>
      <c r="D393" s="30"/>
      <c r="E393" s="30"/>
    </row>
    <row r="394" spans="1:5" ht="26" x14ac:dyDescent="0.3">
      <c r="A394" s="34" t="s">
        <v>393</v>
      </c>
      <c r="B394" s="38">
        <f>B393-B356+B333</f>
        <v>45611.390000000007</v>
      </c>
      <c r="C394" s="33"/>
      <c r="D394" s="30"/>
      <c r="E394" s="30"/>
    </row>
    <row r="395" spans="1:5" ht="26" x14ac:dyDescent="0.3">
      <c r="A395" s="34" t="s">
        <v>394</v>
      </c>
      <c r="B395" s="38">
        <f>B394+B295+B300+B306</f>
        <v>46100.840000000004</v>
      </c>
      <c r="C395" s="49"/>
      <c r="D395" s="30"/>
      <c r="E395" s="30"/>
    </row>
    <row r="396" spans="1:5" ht="26" x14ac:dyDescent="0.3">
      <c r="A396" s="34" t="s">
        <v>396</v>
      </c>
      <c r="B396" s="38">
        <f>B394+B281+B282</f>
        <v>45611.390000000007</v>
      </c>
      <c r="C396" s="33" t="s">
        <v>402</v>
      </c>
      <c r="D396" s="30"/>
      <c r="E396" s="30"/>
    </row>
    <row r="397" spans="1:5" ht="39" x14ac:dyDescent="0.3">
      <c r="A397" s="34" t="s">
        <v>418</v>
      </c>
      <c r="B397" s="52">
        <f>B386-B314-B322-B328-B368-B369-B370-B371</f>
        <v>30634.039999999994</v>
      </c>
      <c r="C397" s="33"/>
      <c r="D397" s="30"/>
      <c r="E397" s="30"/>
    </row>
    <row r="398" spans="1:5" ht="13" x14ac:dyDescent="0.3">
      <c r="A398" s="34" t="s">
        <v>313</v>
      </c>
      <c r="B398" s="38">
        <f>B385-B310-B311</f>
        <v>125724.43000000001</v>
      </c>
      <c r="C398" s="37" t="s">
        <v>315</v>
      </c>
      <c r="D398" s="30"/>
      <c r="E398" s="30"/>
    </row>
    <row r="399" spans="1:5" ht="26" x14ac:dyDescent="0.3">
      <c r="A399" s="34" t="s">
        <v>314</v>
      </c>
      <c r="B399" s="38">
        <f>B386-B310-B311</f>
        <v>155724.43</v>
      </c>
      <c r="C399" s="33"/>
      <c r="D399" s="30"/>
      <c r="E399" s="30"/>
    </row>
    <row r="400" spans="1:5" ht="26" x14ac:dyDescent="0.3">
      <c r="A400" s="34" t="s">
        <v>419</v>
      </c>
      <c r="B400" s="52">
        <f>B387-B310-B311</f>
        <v>170518.76</v>
      </c>
      <c r="C400" s="33"/>
      <c r="D400" s="30"/>
      <c r="E400" s="30"/>
    </row>
    <row r="401" spans="1:5" ht="13" x14ac:dyDescent="0.3">
      <c r="A401" s="5" t="s">
        <v>108</v>
      </c>
      <c r="B401" s="7">
        <v>116783.65700000001</v>
      </c>
      <c r="C401" s="29" t="s">
        <v>249</v>
      </c>
      <c r="D401" s="7"/>
      <c r="E401" s="7"/>
    </row>
    <row r="402" spans="1:5" ht="100.5" x14ac:dyDescent="0.3">
      <c r="A402" s="5" t="s">
        <v>110</v>
      </c>
      <c r="B402" s="7">
        <f xml:space="preserve"> B379 - B401</f>
        <v>-18059.226999999999</v>
      </c>
      <c r="C402" s="22" t="s">
        <v>197</v>
      </c>
      <c r="D402" s="7"/>
      <c r="E402" s="7"/>
    </row>
    <row r="405" spans="1:5" x14ac:dyDescent="0.25">
      <c r="B405" t="s">
        <v>407</v>
      </c>
    </row>
    <row r="406" spans="1:5" x14ac:dyDescent="0.25">
      <c r="B406" t="s">
        <v>410</v>
      </c>
      <c r="C406">
        <v>0</v>
      </c>
    </row>
    <row r="407" spans="1:5" x14ac:dyDescent="0.25">
      <c r="B407" t="s">
        <v>409</v>
      </c>
      <c r="C407">
        <v>1036.79</v>
      </c>
    </row>
    <row r="408" spans="1:5" x14ac:dyDescent="0.25">
      <c r="B408" t="s">
        <v>408</v>
      </c>
      <c r="C408">
        <v>12464.47</v>
      </c>
    </row>
    <row r="409" spans="1:5" ht="25" x14ac:dyDescent="0.25">
      <c r="B409" t="s">
        <v>411</v>
      </c>
      <c r="C409">
        <v>7800</v>
      </c>
      <c r="D409" s="51" t="s">
        <v>414</v>
      </c>
    </row>
    <row r="410" spans="1:5" x14ac:dyDescent="0.25">
      <c r="B410" t="s">
        <v>70</v>
      </c>
      <c r="C410">
        <f xml:space="preserve"> SUM(C408+C407+C405-C409)</f>
        <v>5701.2599999999984</v>
      </c>
    </row>
    <row r="412" spans="1:5" ht="25" x14ac:dyDescent="0.25">
      <c r="A412" s="51" t="s">
        <v>420</v>
      </c>
      <c r="B412" s="53">
        <f>SUM(B400,C410,4400,2200)</f>
        <v>182820.02000000002</v>
      </c>
      <c r="C412" s="51" t="s">
        <v>428</v>
      </c>
    </row>
  </sheetData>
  <mergeCells count="4">
    <mergeCell ref="A142:E144"/>
    <mergeCell ref="B145:D145"/>
    <mergeCell ref="A272:E274"/>
    <mergeCell ref="B275:D275"/>
  </mergeCells>
  <dataValidations count="12">
    <dataValidation type="list" allowBlank="1" showInputMessage="1" showErrorMessage="1" sqref="A341:A345" xr:uid="{00000000-0002-0000-1000-000000000000}">
      <formula1>$A$136:$A$140</formula1>
    </dataValidation>
    <dataValidation type="list" allowBlank="1" showInputMessage="1" showErrorMessage="1" sqref="A365:A373 A248:A254" xr:uid="{00000000-0002-0000-1000-000001000000}">
      <formula1>$A$119:$A$127</formula1>
    </dataValidation>
    <dataValidation type="list" allowBlank="1" showInputMessage="1" showErrorMessage="1" sqref="A320:A321 A218:A220" xr:uid="{00000000-0002-0000-1000-000002000000}">
      <formula1>$A$107:$A$109</formula1>
    </dataValidation>
    <dataValidation type="list" allowBlank="1" showInputMessage="1" showErrorMessage="1" sqref="A303:A305 A195:A203" xr:uid="{00000000-0002-0000-1000-000003000000}">
      <formula1>$A$54:$A$85</formula1>
    </dataValidation>
    <dataValidation type="list" allowBlank="1" showInputMessage="1" showErrorMessage="1" sqref="A331:A335 A229:A232" xr:uid="{00000000-0002-0000-1000-000004000000}">
      <formula1>$A$100:$A$104</formula1>
    </dataValidation>
    <dataValidation type="time" operator="greaterThan" allowBlank="1" showInputMessage="1" showErrorMessage="1" sqref="B277" xr:uid="{00000000-0002-0000-1000-000005000000}">
      <formula1>0</formula1>
    </dataValidation>
    <dataValidation type="date" operator="greaterThan" allowBlank="1" showInputMessage="1" showErrorMessage="1" sqref="B276" xr:uid="{00000000-0002-0000-1000-000006000000}">
      <formula1>41275</formula1>
    </dataValidation>
    <dataValidation type="list" allowBlank="1" showInputMessage="1" showErrorMessage="1" sqref="A351:A355 A346 A238:A241" xr:uid="{00000000-0002-0000-1000-000007000000}">
      <formula1>$A$130:$A$133</formula1>
    </dataValidation>
    <dataValidation type="list" allowBlank="1" showInputMessage="1" showErrorMessage="1" sqref="A325:A327 A224:A225" xr:uid="{00000000-0002-0000-1000-000008000000}">
      <formula1>$A$112:$A$116</formula1>
    </dataValidation>
    <dataValidation type="list" allowBlank="1" showInputMessage="1" showErrorMessage="1" sqref="A207:A211 A309:A313" xr:uid="{00000000-0002-0000-1000-000009000000}">
      <formula1>$A$88:$A$97</formula1>
    </dataValidation>
    <dataValidation type="list" allowBlank="1" showInputMessage="1" showErrorMessage="1" sqref="A151:A183 A281:A294" xr:uid="{00000000-0002-0000-1000-00000A000000}">
      <formula1>$A$3:$A$39</formula1>
    </dataValidation>
    <dataValidation type="list" allowBlank="1" showInputMessage="1" showErrorMessage="1" sqref="A298:A299 A188:A191" xr:uid="{00000000-0002-0000-1000-00000B000000}">
      <formula1>$A$42:$A$51</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42"/>
  <sheetViews>
    <sheetView topLeftCell="A40" workbookViewId="0">
      <selection activeCell="A27" sqref="A27"/>
    </sheetView>
  </sheetViews>
  <sheetFormatPr defaultRowHeight="12.5" x14ac:dyDescent="0.25"/>
  <cols>
    <col min="1" max="1" width="58.08984375" bestFit="1" customWidth="1"/>
    <col min="2" max="2" width="10.08984375" bestFit="1" customWidth="1"/>
    <col min="3" max="3" width="26.6328125" bestFit="1" customWidth="1"/>
  </cols>
  <sheetData>
    <row r="1" spans="1:3" x14ac:dyDescent="0.25">
      <c r="A1" s="27" t="s">
        <v>424</v>
      </c>
    </row>
    <row r="2" spans="1:3" ht="13" x14ac:dyDescent="0.3">
      <c r="A2" s="5" t="s">
        <v>255</v>
      </c>
      <c r="B2" s="7"/>
      <c r="C2" s="7"/>
    </row>
    <row r="3" spans="1:3" ht="13" x14ac:dyDescent="0.3">
      <c r="A3" s="8" t="s">
        <v>94</v>
      </c>
      <c r="B3" s="8" t="s">
        <v>66</v>
      </c>
      <c r="C3" s="8" t="s">
        <v>67</v>
      </c>
    </row>
    <row r="4" spans="1:3" x14ac:dyDescent="0.25">
      <c r="A4" s="9" t="s">
        <v>90</v>
      </c>
      <c r="B4" s="15">
        <v>21851.78</v>
      </c>
      <c r="C4" s="9"/>
    </row>
    <row r="5" spans="1:3" x14ac:dyDescent="0.25">
      <c r="A5" s="54" t="s">
        <v>421</v>
      </c>
      <c r="B5" s="9">
        <v>5866.11</v>
      </c>
      <c r="C5" s="9"/>
    </row>
    <row r="6" spans="1:3" x14ac:dyDescent="0.25">
      <c r="A6" s="54" t="s">
        <v>422</v>
      </c>
      <c r="B6" s="9">
        <v>16853</v>
      </c>
      <c r="C6" s="9"/>
    </row>
    <row r="7" spans="1:3" x14ac:dyDescent="0.25">
      <c r="A7" s="9" t="s">
        <v>91</v>
      </c>
      <c r="B7" s="9">
        <v>10540.73</v>
      </c>
      <c r="C7" s="9"/>
    </row>
    <row r="8" spans="1:3" x14ac:dyDescent="0.25">
      <c r="A8" s="9" t="s">
        <v>92</v>
      </c>
      <c r="B8" s="9">
        <v>0</v>
      </c>
      <c r="C8" s="28">
        <v>0</v>
      </c>
    </row>
    <row r="9" spans="1:3" x14ac:dyDescent="0.25">
      <c r="A9" s="9" t="s">
        <v>93</v>
      </c>
      <c r="B9" s="15">
        <v>36343.94</v>
      </c>
      <c r="C9" s="55" t="s">
        <v>425</v>
      </c>
    </row>
    <row r="10" spans="1:3" x14ac:dyDescent="0.25">
      <c r="A10" s="9" t="s">
        <v>412</v>
      </c>
      <c r="B10" s="15">
        <v>3200.95</v>
      </c>
      <c r="C10" s="55" t="s">
        <v>423</v>
      </c>
    </row>
    <row r="11" spans="1:3" x14ac:dyDescent="0.25">
      <c r="A11" s="9" t="s">
        <v>250</v>
      </c>
      <c r="B11" s="9">
        <v>40000</v>
      </c>
      <c r="C11" s="28"/>
    </row>
    <row r="12" spans="1:3" x14ac:dyDescent="0.25">
      <c r="A12" s="9" t="s">
        <v>400</v>
      </c>
      <c r="B12" s="9">
        <v>47105.03</v>
      </c>
      <c r="C12" s="28"/>
    </row>
    <row r="13" spans="1:3" x14ac:dyDescent="0.25">
      <c r="A13" s="9" t="s">
        <v>122</v>
      </c>
      <c r="B13" s="28">
        <v>1600</v>
      </c>
      <c r="C13" s="47"/>
    </row>
    <row r="14" spans="1:3" x14ac:dyDescent="0.25">
      <c r="A14" s="9" t="s">
        <v>228</v>
      </c>
      <c r="B14" s="28">
        <v>0</v>
      </c>
      <c r="C14" s="28"/>
    </row>
    <row r="15" spans="1:3" ht="13" x14ac:dyDescent="0.3">
      <c r="A15" s="10" t="s">
        <v>254</v>
      </c>
      <c r="B15" s="35">
        <f>SUM(B4:B14)</f>
        <v>183361.54</v>
      </c>
      <c r="C15" s="7"/>
    </row>
    <row r="17" spans="1:3" x14ac:dyDescent="0.25">
      <c r="A17" s="56" t="s">
        <v>426</v>
      </c>
      <c r="B17" s="56">
        <v>3300</v>
      </c>
    </row>
    <row r="18" spans="1:3" x14ac:dyDescent="0.25">
      <c r="A18" s="56" t="s">
        <v>427</v>
      </c>
      <c r="B18" s="56">
        <v>800</v>
      </c>
    </row>
    <row r="20" spans="1:3" x14ac:dyDescent="0.25">
      <c r="A20" s="62" t="s">
        <v>467</v>
      </c>
      <c r="B20" s="45"/>
      <c r="C20" s="45"/>
    </row>
    <row r="22" spans="1:3" x14ac:dyDescent="0.25">
      <c r="A22" s="27" t="s">
        <v>457</v>
      </c>
      <c r="B22" s="53">
        <v>182820.02</v>
      </c>
    </row>
    <row r="23" spans="1:3" x14ac:dyDescent="0.25">
      <c r="A23" s="27" t="s">
        <v>429</v>
      </c>
      <c r="B23" s="57">
        <f>0-10400</f>
        <v>-10400</v>
      </c>
    </row>
    <row r="24" spans="1:3" x14ac:dyDescent="0.25">
      <c r="A24" s="27" t="s">
        <v>458</v>
      </c>
      <c r="B24">
        <f>26000-37520+9900-500</f>
        <v>-2120</v>
      </c>
      <c r="C24" s="27" t="s">
        <v>461</v>
      </c>
    </row>
    <row r="25" spans="1:3" x14ac:dyDescent="0.25">
      <c r="A25" s="27" t="s">
        <v>459</v>
      </c>
      <c r="B25">
        <f>4*238.44-800</f>
        <v>153.76</v>
      </c>
      <c r="C25" s="27" t="s">
        <v>462</v>
      </c>
    </row>
    <row r="26" spans="1:3" x14ac:dyDescent="0.25">
      <c r="A26" s="27" t="s">
        <v>460</v>
      </c>
      <c r="B26" s="57">
        <v>10000</v>
      </c>
      <c r="C26" s="27"/>
    </row>
    <row r="27" spans="1:3" x14ac:dyDescent="0.25">
      <c r="A27" s="27" t="s">
        <v>463</v>
      </c>
      <c r="B27" s="61">
        <f>SUM(B22:B26)</f>
        <v>180453.78</v>
      </c>
      <c r="C27" s="27"/>
    </row>
    <row r="29" spans="1:3" x14ac:dyDescent="0.25">
      <c r="A29" s="27" t="s">
        <v>453</v>
      </c>
      <c r="B29">
        <f>8*5220</f>
        <v>41760</v>
      </c>
      <c r="C29" s="59" t="s">
        <v>454</v>
      </c>
    </row>
    <row r="30" spans="1:3" x14ac:dyDescent="0.25">
      <c r="A30" s="27" t="s">
        <v>464</v>
      </c>
      <c r="B30">
        <v>4296</v>
      </c>
      <c r="C30" s="59" t="s">
        <v>465</v>
      </c>
    </row>
    <row r="31" spans="1:3" x14ac:dyDescent="0.25">
      <c r="A31" s="27" t="s">
        <v>455</v>
      </c>
      <c r="B31">
        <f>8*238.44</f>
        <v>1907.52</v>
      </c>
    </row>
    <row r="33" spans="1:3" x14ac:dyDescent="0.25">
      <c r="A33" s="27" t="s">
        <v>456</v>
      </c>
      <c r="B33">
        <v>7800</v>
      </c>
    </row>
    <row r="35" spans="1:3" x14ac:dyDescent="0.25">
      <c r="A35" s="27" t="s">
        <v>466</v>
      </c>
      <c r="B35" s="60">
        <f>SUM(B15,B29:B31)-B33</f>
        <v>223525.06</v>
      </c>
    </row>
    <row r="37" spans="1:3" x14ac:dyDescent="0.25">
      <c r="A37" s="27" t="s">
        <v>468</v>
      </c>
      <c r="B37">
        <v>15000</v>
      </c>
      <c r="C37" s="27" t="s">
        <v>469</v>
      </c>
    </row>
    <row r="38" spans="1:3" x14ac:dyDescent="0.25">
      <c r="A38" s="27" t="s">
        <v>470</v>
      </c>
      <c r="B38">
        <v>12000</v>
      </c>
      <c r="C38" s="27" t="s">
        <v>469</v>
      </c>
    </row>
    <row r="39" spans="1:3" x14ac:dyDescent="0.25">
      <c r="A39" s="27" t="s">
        <v>471</v>
      </c>
      <c r="B39">
        <v>3000</v>
      </c>
    </row>
    <row r="41" spans="1:3" x14ac:dyDescent="0.25">
      <c r="A41" s="27" t="s">
        <v>474</v>
      </c>
      <c r="B41" s="60">
        <f>SUM(B35:B39)</f>
        <v>253525.06</v>
      </c>
      <c r="C41" s="59" t="s">
        <v>473</v>
      </c>
    </row>
    <row r="42" spans="1:3" x14ac:dyDescent="0.25">
      <c r="A42" s="27" t="s">
        <v>472</v>
      </c>
      <c r="B42" s="60">
        <f>B41-10000</f>
        <v>243525.06</v>
      </c>
    </row>
  </sheetData>
  <dataValidations count="1">
    <dataValidation type="list" allowBlank="1" showInputMessage="1" showErrorMessage="1" sqref="A4 A7:A14" xr:uid="{00000000-0002-0000-1100-000000000000}">
      <formula1>$A$128:$A$136</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D76"/>
  <sheetViews>
    <sheetView workbookViewId="0">
      <selection activeCell="D62" sqref="D62"/>
    </sheetView>
  </sheetViews>
  <sheetFormatPr defaultColWidth="11.54296875" defaultRowHeight="12.5" x14ac:dyDescent="0.25"/>
  <cols>
    <col min="1" max="1" width="51.81640625" customWidth="1"/>
    <col min="2" max="3" width="11.54296875" customWidth="1"/>
    <col min="4" max="4" width="115.08984375" bestFit="1" customWidth="1"/>
  </cols>
  <sheetData>
    <row r="2" spans="1:4" ht="13" x14ac:dyDescent="0.3">
      <c r="A2" s="43" t="s">
        <v>340</v>
      </c>
    </row>
    <row r="4" spans="1:4" x14ac:dyDescent="0.25">
      <c r="A4" t="s">
        <v>325</v>
      </c>
    </row>
    <row r="5" spans="1:4" x14ac:dyDescent="0.25">
      <c r="A5" t="s">
        <v>326</v>
      </c>
      <c r="B5">
        <v>150</v>
      </c>
    </row>
    <row r="6" spans="1:4" x14ac:dyDescent="0.25">
      <c r="A6" t="s">
        <v>327</v>
      </c>
      <c r="B6">
        <v>150</v>
      </c>
    </row>
    <row r="7" spans="1:4" x14ac:dyDescent="0.25">
      <c r="A7" t="s">
        <v>328</v>
      </c>
      <c r="B7">
        <v>400</v>
      </c>
      <c r="D7" s="44" t="s">
        <v>344</v>
      </c>
    </row>
    <row r="8" spans="1:4" x14ac:dyDescent="0.25">
      <c r="B8" s="42"/>
      <c r="C8" s="41">
        <f>SUM(B5:B7)</f>
        <v>700</v>
      </c>
    </row>
    <row r="9" spans="1:4" x14ac:dyDescent="0.25">
      <c r="A9" t="s">
        <v>329</v>
      </c>
      <c r="B9">
        <v>40</v>
      </c>
    </row>
    <row r="10" spans="1:4" x14ac:dyDescent="0.25">
      <c r="C10" s="41">
        <f>SUM(B8:C9)</f>
        <v>740</v>
      </c>
    </row>
    <row r="11" spans="1:4" x14ac:dyDescent="0.25">
      <c r="A11" t="s">
        <v>336</v>
      </c>
      <c r="C11" s="42"/>
    </row>
    <row r="12" spans="1:4" x14ac:dyDescent="0.25">
      <c r="A12" t="s">
        <v>49</v>
      </c>
      <c r="B12">
        <v>80</v>
      </c>
      <c r="D12" s="44" t="s">
        <v>352</v>
      </c>
    </row>
    <row r="13" spans="1:4" x14ac:dyDescent="0.25">
      <c r="A13" t="s">
        <v>42</v>
      </c>
      <c r="B13">
        <v>250</v>
      </c>
      <c r="D13" s="44" t="s">
        <v>343</v>
      </c>
    </row>
    <row r="14" spans="1:4" x14ac:dyDescent="0.25">
      <c r="A14" t="s">
        <v>330</v>
      </c>
      <c r="B14">
        <v>150</v>
      </c>
    </row>
    <row r="15" spans="1:4" x14ac:dyDescent="0.25">
      <c r="A15" t="s">
        <v>331</v>
      </c>
      <c r="B15">
        <v>50</v>
      </c>
    </row>
    <row r="16" spans="1:4" x14ac:dyDescent="0.25">
      <c r="A16" t="s">
        <v>332</v>
      </c>
      <c r="B16">
        <v>100</v>
      </c>
    </row>
    <row r="17" spans="1:4" x14ac:dyDescent="0.25">
      <c r="A17" t="s">
        <v>333</v>
      </c>
      <c r="B17">
        <v>150</v>
      </c>
    </row>
    <row r="18" spans="1:4" x14ac:dyDescent="0.25">
      <c r="A18" t="s">
        <v>334</v>
      </c>
      <c r="B18">
        <v>100</v>
      </c>
      <c r="D18" s="44" t="s">
        <v>357</v>
      </c>
    </row>
    <row r="19" spans="1:4" x14ac:dyDescent="0.25">
      <c r="C19" s="41">
        <f>SUM(B12:B18)</f>
        <v>880</v>
      </c>
    </row>
    <row r="20" spans="1:4" x14ac:dyDescent="0.25">
      <c r="A20" t="s">
        <v>9</v>
      </c>
      <c r="B20">
        <v>600</v>
      </c>
    </row>
    <row r="21" spans="1:4" x14ac:dyDescent="0.25">
      <c r="A21" t="s">
        <v>1</v>
      </c>
      <c r="B21">
        <v>570</v>
      </c>
    </row>
    <row r="23" spans="1:4" x14ac:dyDescent="0.25">
      <c r="A23" t="s">
        <v>335</v>
      </c>
    </row>
    <row r="24" spans="1:4" x14ac:dyDescent="0.25">
      <c r="A24" t="s">
        <v>337</v>
      </c>
      <c r="B24">
        <v>185</v>
      </c>
      <c r="D24" t="s">
        <v>341</v>
      </c>
    </row>
    <row r="25" spans="1:4" x14ac:dyDescent="0.25">
      <c r="A25" t="s">
        <v>49</v>
      </c>
      <c r="B25">
        <v>80</v>
      </c>
      <c r="D25" t="s">
        <v>345</v>
      </c>
    </row>
    <row r="26" spans="1:4" x14ac:dyDescent="0.25">
      <c r="C26" s="41">
        <f>SUM(B24:B25)</f>
        <v>265</v>
      </c>
    </row>
    <row r="27" spans="1:4" x14ac:dyDescent="0.25">
      <c r="A27" t="s">
        <v>342</v>
      </c>
      <c r="B27">
        <v>2707.96</v>
      </c>
    </row>
    <row r="28" spans="1:4" x14ac:dyDescent="0.25">
      <c r="A28" t="s">
        <v>377</v>
      </c>
      <c r="B28">
        <v>75</v>
      </c>
      <c r="D28" s="44" t="s">
        <v>380</v>
      </c>
    </row>
    <row r="29" spans="1:4" x14ac:dyDescent="0.25">
      <c r="A29" t="s">
        <v>349</v>
      </c>
      <c r="B29">
        <v>91</v>
      </c>
    </row>
    <row r="30" spans="1:4" x14ac:dyDescent="0.25">
      <c r="A30" t="s">
        <v>346</v>
      </c>
      <c r="B30">
        <v>133</v>
      </c>
    </row>
    <row r="31" spans="1:4" x14ac:dyDescent="0.25">
      <c r="A31" t="s">
        <v>347</v>
      </c>
      <c r="B31">
        <v>50</v>
      </c>
      <c r="D31" t="s">
        <v>353</v>
      </c>
    </row>
    <row r="32" spans="1:4" x14ac:dyDescent="0.25">
      <c r="A32" t="s">
        <v>348</v>
      </c>
      <c r="B32">
        <v>87</v>
      </c>
    </row>
    <row r="33" spans="1:4" x14ac:dyDescent="0.25">
      <c r="A33" t="s">
        <v>354</v>
      </c>
      <c r="B33">
        <v>9</v>
      </c>
    </row>
    <row r="34" spans="1:4" x14ac:dyDescent="0.25">
      <c r="A34" t="s">
        <v>350</v>
      </c>
      <c r="B34">
        <v>243</v>
      </c>
      <c r="D34" s="44" t="s">
        <v>351</v>
      </c>
    </row>
    <row r="35" spans="1:4" x14ac:dyDescent="0.25">
      <c r="C35" s="41">
        <f>SUM(B24:B34)</f>
        <v>3660.96</v>
      </c>
    </row>
    <row r="37" spans="1:4" x14ac:dyDescent="0.25">
      <c r="A37" t="s">
        <v>70</v>
      </c>
      <c r="B37" s="45">
        <f>SUM(B4:B36)</f>
        <v>6450.96</v>
      </c>
    </row>
    <row r="39" spans="1:4" x14ac:dyDescent="0.25">
      <c r="A39" t="s">
        <v>338</v>
      </c>
      <c r="B39" s="45">
        <v>6225.21</v>
      </c>
    </row>
    <row r="41" spans="1:4" x14ac:dyDescent="0.25">
      <c r="A41" t="s">
        <v>339</v>
      </c>
      <c r="B41" s="45">
        <f>B39-B37</f>
        <v>-225.75</v>
      </c>
    </row>
    <row r="43" spans="1:4" x14ac:dyDescent="0.25">
      <c r="A43" t="s">
        <v>362</v>
      </c>
    </row>
    <row r="44" spans="1:4" x14ac:dyDescent="0.25">
      <c r="A44" t="s">
        <v>359</v>
      </c>
      <c r="B44">
        <f>10000/24</f>
        <v>416.66666666666669</v>
      </c>
    </row>
    <row r="45" spans="1:4" x14ac:dyDescent="0.25">
      <c r="A45" t="s">
        <v>360</v>
      </c>
      <c r="B45">
        <v>550</v>
      </c>
    </row>
    <row r="46" spans="1:4" x14ac:dyDescent="0.25">
      <c r="A46" t="s">
        <v>361</v>
      </c>
      <c r="B46">
        <v>100</v>
      </c>
    </row>
    <row r="47" spans="1:4" ht="37.5" x14ac:dyDescent="0.25">
      <c r="C47" s="46">
        <f>SUM(B44:B46)</f>
        <v>1066.6666666666667</v>
      </c>
      <c r="D47" s="16" t="s">
        <v>381</v>
      </c>
    </row>
    <row r="49" spans="1:3" x14ac:dyDescent="0.25">
      <c r="A49" t="s">
        <v>70</v>
      </c>
      <c r="B49" s="45">
        <f>SUM(B37,C47)</f>
        <v>7517.626666666667</v>
      </c>
    </row>
    <row r="51" spans="1:3" x14ac:dyDescent="0.25">
      <c r="A51" t="s">
        <v>339</v>
      </c>
      <c r="B51" s="45">
        <f>B39-B49</f>
        <v>-1292.416666666667</v>
      </c>
    </row>
    <row r="53" spans="1:3" x14ac:dyDescent="0.25">
      <c r="A53" t="s">
        <v>298</v>
      </c>
    </row>
    <row r="54" spans="1:3" x14ac:dyDescent="0.25">
      <c r="A54" t="s">
        <v>363</v>
      </c>
      <c r="B54">
        <v>100</v>
      </c>
    </row>
    <row r="55" spans="1:3" x14ac:dyDescent="0.25">
      <c r="A55" t="s">
        <v>42</v>
      </c>
      <c r="B55">
        <v>50</v>
      </c>
    </row>
    <row r="56" spans="1:3" x14ac:dyDescent="0.25">
      <c r="A56" t="s">
        <v>364</v>
      </c>
      <c r="B56">
        <v>50</v>
      </c>
    </row>
    <row r="57" spans="1:3" x14ac:dyDescent="0.25">
      <c r="C57" s="41">
        <f>SUM(B54:B56)</f>
        <v>200</v>
      </c>
    </row>
    <row r="59" spans="1:3" x14ac:dyDescent="0.25">
      <c r="A59" t="s">
        <v>70</v>
      </c>
      <c r="B59" s="45">
        <f>SUM(B49,C57)</f>
        <v>7717.626666666667</v>
      </c>
    </row>
    <row r="61" spans="1:3" x14ac:dyDescent="0.25">
      <c r="A61" t="s">
        <v>339</v>
      </c>
      <c r="B61" s="45">
        <f>B39-B59</f>
        <v>-1492.416666666667</v>
      </c>
    </row>
    <row r="63" spans="1:3" x14ac:dyDescent="0.25">
      <c r="A63" t="s">
        <v>365</v>
      </c>
    </row>
    <row r="64" spans="1:3" x14ac:dyDescent="0.25">
      <c r="A64" t="s">
        <v>366</v>
      </c>
      <c r="B64">
        <v>80</v>
      </c>
    </row>
    <row r="65" spans="1:4" x14ac:dyDescent="0.25">
      <c r="A65" t="s">
        <v>367</v>
      </c>
      <c r="B65">
        <v>100</v>
      </c>
    </row>
    <row r="66" spans="1:4" x14ac:dyDescent="0.25">
      <c r="A66" t="s">
        <v>368</v>
      </c>
      <c r="B66">
        <v>30</v>
      </c>
    </row>
    <row r="67" spans="1:4" x14ac:dyDescent="0.25">
      <c r="C67" s="41">
        <f>SUM(B64:B66)</f>
        <v>210</v>
      </c>
    </row>
    <row r="69" spans="1:4" x14ac:dyDescent="0.25">
      <c r="A69" t="s">
        <v>70</v>
      </c>
      <c r="B69" s="45">
        <f>SUM(B59,C67)</f>
        <v>7927.626666666667</v>
      </c>
    </row>
    <row r="71" spans="1:4" x14ac:dyDescent="0.25">
      <c r="A71" t="s">
        <v>339</v>
      </c>
      <c r="B71" s="45">
        <f>B39-B69</f>
        <v>-1702.416666666667</v>
      </c>
      <c r="D71" t="s">
        <v>369</v>
      </c>
    </row>
    <row r="73" spans="1:4" x14ac:dyDescent="0.25">
      <c r="A73" t="s">
        <v>370</v>
      </c>
      <c r="B73">
        <f>22100/12</f>
        <v>1841.6666666666667</v>
      </c>
      <c r="D73" t="s">
        <v>369</v>
      </c>
    </row>
    <row r="75" spans="1:4" x14ac:dyDescent="0.25">
      <c r="A75" s="41" t="s">
        <v>339</v>
      </c>
      <c r="B75" s="41">
        <f>B71+B73</f>
        <v>139.24999999999977</v>
      </c>
    </row>
    <row r="76" spans="1:4" x14ac:dyDescent="0.25">
      <c r="A76" s="41" t="s">
        <v>371</v>
      </c>
      <c r="B76" s="41">
        <f>B75*12</f>
        <v>1670.9999999999973</v>
      </c>
      <c r="D76" t="s">
        <v>372</v>
      </c>
    </row>
  </sheetData>
  <pageMargins left="0.75" right="0.75" top="1" bottom="1" header="0.3" footer="0.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61"/>
  <sheetViews>
    <sheetView topLeftCell="A49" workbookViewId="0">
      <selection activeCell="A67" sqref="A67"/>
    </sheetView>
  </sheetViews>
  <sheetFormatPr defaultColWidth="11.54296875" defaultRowHeight="12.5" x14ac:dyDescent="0.25"/>
  <cols>
    <col min="1" max="1" width="51.81640625" customWidth="1"/>
    <col min="2" max="3" width="11.54296875" customWidth="1"/>
    <col min="4" max="4" width="115.08984375" bestFit="1" customWidth="1"/>
  </cols>
  <sheetData>
    <row r="2" spans="1:4" ht="13" x14ac:dyDescent="0.3">
      <c r="A2" s="43" t="s">
        <v>430</v>
      </c>
    </row>
    <row r="4" spans="1:4" x14ac:dyDescent="0.25">
      <c r="A4" t="s">
        <v>325</v>
      </c>
    </row>
    <row r="5" spans="1:4" x14ac:dyDescent="0.25">
      <c r="A5" t="s">
        <v>326</v>
      </c>
      <c r="B5">
        <v>150</v>
      </c>
    </row>
    <row r="6" spans="1:4" x14ac:dyDescent="0.25">
      <c r="A6" t="s">
        <v>327</v>
      </c>
      <c r="B6">
        <v>150</v>
      </c>
    </row>
    <row r="7" spans="1:4" x14ac:dyDescent="0.25">
      <c r="A7" t="s">
        <v>328</v>
      </c>
      <c r="B7">
        <v>400</v>
      </c>
      <c r="D7" s="44"/>
    </row>
    <row r="8" spans="1:4" x14ac:dyDescent="0.25">
      <c r="B8" s="42"/>
      <c r="C8" s="41">
        <f>SUM(B5:B7)</f>
        <v>700</v>
      </c>
    </row>
    <row r="9" spans="1:4" x14ac:dyDescent="0.25">
      <c r="A9" t="s">
        <v>329</v>
      </c>
      <c r="B9">
        <v>40</v>
      </c>
    </row>
    <row r="10" spans="1:4" x14ac:dyDescent="0.25">
      <c r="C10" s="41">
        <f>SUM(B4:B9)</f>
        <v>740</v>
      </c>
    </row>
    <row r="11" spans="1:4" x14ac:dyDescent="0.25">
      <c r="A11" t="s">
        <v>336</v>
      </c>
      <c r="C11" s="42"/>
    </row>
    <row r="12" spans="1:4" x14ac:dyDescent="0.25">
      <c r="A12" t="s">
        <v>49</v>
      </c>
      <c r="B12">
        <v>0</v>
      </c>
      <c r="D12" s="44" t="s">
        <v>431</v>
      </c>
    </row>
    <row r="13" spans="1:4" x14ac:dyDescent="0.25">
      <c r="A13" t="s">
        <v>42</v>
      </c>
      <c r="B13">
        <v>250</v>
      </c>
      <c r="D13" s="44"/>
    </row>
    <row r="14" spans="1:4" x14ac:dyDescent="0.25">
      <c r="A14" t="s">
        <v>330</v>
      </c>
      <c r="B14">
        <v>0</v>
      </c>
      <c r="D14" s="44" t="s">
        <v>432</v>
      </c>
    </row>
    <row r="15" spans="1:4" x14ac:dyDescent="0.25">
      <c r="A15" t="s">
        <v>331</v>
      </c>
      <c r="B15">
        <v>100</v>
      </c>
      <c r="D15" s="27"/>
    </row>
    <row r="16" spans="1:4" x14ac:dyDescent="0.25">
      <c r="A16" t="s">
        <v>332</v>
      </c>
      <c r="B16">
        <v>100</v>
      </c>
    </row>
    <row r="17" spans="1:4" x14ac:dyDescent="0.25">
      <c r="A17" t="s">
        <v>333</v>
      </c>
      <c r="B17">
        <v>100</v>
      </c>
    </row>
    <row r="18" spans="1:4" x14ac:dyDescent="0.25">
      <c r="A18" t="s">
        <v>334</v>
      </c>
      <c r="B18">
        <v>100</v>
      </c>
      <c r="D18" s="44" t="s">
        <v>357</v>
      </c>
    </row>
    <row r="19" spans="1:4" x14ac:dyDescent="0.25">
      <c r="C19" s="41">
        <f>SUM(B12:B18)</f>
        <v>650</v>
      </c>
    </row>
    <row r="20" spans="1:4" x14ac:dyDescent="0.25">
      <c r="A20" t="s">
        <v>9</v>
      </c>
      <c r="B20">
        <v>250</v>
      </c>
      <c r="D20" s="44" t="s">
        <v>433</v>
      </c>
    </row>
    <row r="21" spans="1:4" x14ac:dyDescent="0.25">
      <c r="A21" t="s">
        <v>1</v>
      </c>
      <c r="B21">
        <v>0</v>
      </c>
      <c r="D21" s="44" t="s">
        <v>434</v>
      </c>
    </row>
    <row r="22" spans="1:4" ht="13" x14ac:dyDescent="0.3">
      <c r="A22" s="1" t="s">
        <v>335</v>
      </c>
    </row>
    <row r="23" spans="1:4" x14ac:dyDescent="0.25">
      <c r="A23" t="s">
        <v>337</v>
      </c>
      <c r="B23">
        <v>185</v>
      </c>
      <c r="D23" t="s">
        <v>341</v>
      </c>
    </row>
    <row r="24" spans="1:4" x14ac:dyDescent="0.25">
      <c r="A24" t="s">
        <v>49</v>
      </c>
      <c r="B24">
        <v>80</v>
      </c>
      <c r="D24" t="s">
        <v>345</v>
      </c>
    </row>
    <row r="25" spans="1:4" x14ac:dyDescent="0.25">
      <c r="A25" s="27" t="s">
        <v>436</v>
      </c>
      <c r="B25">
        <v>100</v>
      </c>
    </row>
    <row r="26" spans="1:4" x14ac:dyDescent="0.25">
      <c r="A26" s="27" t="s">
        <v>437</v>
      </c>
      <c r="B26">
        <v>100</v>
      </c>
    </row>
    <row r="27" spans="1:4" x14ac:dyDescent="0.25">
      <c r="A27" t="s">
        <v>342</v>
      </c>
      <c r="B27">
        <v>2840.44</v>
      </c>
    </row>
    <row r="28" spans="1:4" x14ac:dyDescent="0.25">
      <c r="A28" s="27" t="s">
        <v>438</v>
      </c>
      <c r="B28">
        <v>1572.12</v>
      </c>
    </row>
    <row r="29" spans="1:4" x14ac:dyDescent="0.25">
      <c r="A29" t="s">
        <v>377</v>
      </c>
      <c r="B29">
        <v>60</v>
      </c>
      <c r="D29" s="44" t="s">
        <v>380</v>
      </c>
    </row>
    <row r="30" spans="1:4" x14ac:dyDescent="0.25">
      <c r="A30" s="27" t="s">
        <v>439</v>
      </c>
      <c r="B30">
        <v>25</v>
      </c>
      <c r="D30" s="44"/>
    </row>
    <row r="31" spans="1:4" x14ac:dyDescent="0.25">
      <c r="A31" t="s">
        <v>349</v>
      </c>
      <c r="B31">
        <v>70</v>
      </c>
    </row>
    <row r="32" spans="1:4" x14ac:dyDescent="0.25">
      <c r="A32" s="27" t="s">
        <v>441</v>
      </c>
      <c r="B32">
        <v>55</v>
      </c>
    </row>
    <row r="33" spans="1:4" x14ac:dyDescent="0.25">
      <c r="A33" t="s">
        <v>346</v>
      </c>
      <c r="B33">
        <v>90</v>
      </c>
    </row>
    <row r="34" spans="1:4" x14ac:dyDescent="0.25">
      <c r="A34" t="s">
        <v>347</v>
      </c>
      <c r="B34">
        <v>55</v>
      </c>
      <c r="D34" t="s">
        <v>353</v>
      </c>
    </row>
    <row r="35" spans="1:4" x14ac:dyDescent="0.25">
      <c r="A35" t="s">
        <v>348</v>
      </c>
      <c r="B35">
        <v>180</v>
      </c>
    </row>
    <row r="36" spans="1:4" x14ac:dyDescent="0.25">
      <c r="A36" s="27" t="s">
        <v>440</v>
      </c>
      <c r="B36">
        <v>44</v>
      </c>
    </row>
    <row r="37" spans="1:4" x14ac:dyDescent="0.25">
      <c r="A37" t="s">
        <v>354</v>
      </c>
      <c r="B37">
        <v>9</v>
      </c>
    </row>
    <row r="38" spans="1:4" x14ac:dyDescent="0.25">
      <c r="A38" t="s">
        <v>350</v>
      </c>
      <c r="B38">
        <v>243</v>
      </c>
      <c r="D38" s="44" t="s">
        <v>351</v>
      </c>
    </row>
    <row r="39" spans="1:4" x14ac:dyDescent="0.25">
      <c r="C39" s="41">
        <f>SUM(B20:B38)</f>
        <v>5958.5599999999995</v>
      </c>
    </row>
    <row r="41" spans="1:4" x14ac:dyDescent="0.25">
      <c r="A41" t="s">
        <v>70</v>
      </c>
      <c r="B41" s="45">
        <f>SUM(B4:B40)</f>
        <v>7348.56</v>
      </c>
    </row>
    <row r="43" spans="1:4" x14ac:dyDescent="0.25">
      <c r="A43" t="s">
        <v>338</v>
      </c>
      <c r="B43" s="45">
        <v>6587</v>
      </c>
    </row>
    <row r="44" spans="1:4" x14ac:dyDescent="0.25">
      <c r="A44" s="27" t="s">
        <v>442</v>
      </c>
      <c r="B44" s="45">
        <f>B43+1000</f>
        <v>7587</v>
      </c>
    </row>
    <row r="46" spans="1:4" x14ac:dyDescent="0.25">
      <c r="A46" t="s">
        <v>339</v>
      </c>
      <c r="B46" s="45">
        <f>B44-B41</f>
        <v>238.4399999999996</v>
      </c>
    </row>
    <row r="49" spans="1:3" ht="13" x14ac:dyDescent="0.3">
      <c r="A49" s="58" t="s">
        <v>443</v>
      </c>
    </row>
    <row r="51" spans="1:3" x14ac:dyDescent="0.25">
      <c r="A51" s="27" t="s">
        <v>444</v>
      </c>
      <c r="B51">
        <v>2200</v>
      </c>
    </row>
    <row r="52" spans="1:3" x14ac:dyDescent="0.25">
      <c r="A52" s="27" t="s">
        <v>445</v>
      </c>
      <c r="B52">
        <v>1680</v>
      </c>
    </row>
    <row r="53" spans="1:3" x14ac:dyDescent="0.25">
      <c r="A53" s="27" t="s">
        <v>446</v>
      </c>
      <c r="B53">
        <v>3300</v>
      </c>
      <c r="C53" s="59" t="s">
        <v>447</v>
      </c>
    </row>
    <row r="54" spans="1:3" x14ac:dyDescent="0.25">
      <c r="A54" s="27" t="s">
        <v>448</v>
      </c>
      <c r="B54">
        <v>200</v>
      </c>
    </row>
    <row r="55" spans="1:3" x14ac:dyDescent="0.25">
      <c r="A55" s="27" t="s">
        <v>449</v>
      </c>
      <c r="B55">
        <v>1000</v>
      </c>
    </row>
    <row r="56" spans="1:3" x14ac:dyDescent="0.25">
      <c r="A56" s="27" t="s">
        <v>450</v>
      </c>
      <c r="B56">
        <v>1000</v>
      </c>
    </row>
    <row r="57" spans="1:3" x14ac:dyDescent="0.25">
      <c r="A57" s="27" t="s">
        <v>452</v>
      </c>
      <c r="B57" s="45">
        <f>SUM(B51:B56)</f>
        <v>9380</v>
      </c>
    </row>
    <row r="59" spans="1:3" x14ac:dyDescent="0.25">
      <c r="A59" s="27" t="s">
        <v>451</v>
      </c>
      <c r="B59">
        <v>14600</v>
      </c>
    </row>
    <row r="61" spans="1:3" x14ac:dyDescent="0.25">
      <c r="A61" s="27" t="s">
        <v>89</v>
      </c>
      <c r="B61">
        <f>B59-B57</f>
        <v>5220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2"/>
  <sheetViews>
    <sheetView tabSelected="1" topLeftCell="A52" workbookViewId="0">
      <selection activeCell="C76" sqref="C76"/>
    </sheetView>
  </sheetViews>
  <sheetFormatPr defaultColWidth="11.54296875" defaultRowHeight="12.5" x14ac:dyDescent="0.25"/>
  <cols>
    <col min="1" max="1" width="54.453125" bestFit="1" customWidth="1"/>
    <col min="7" max="7" width="34.453125" bestFit="1" customWidth="1"/>
    <col min="8" max="8" width="115.08984375" bestFit="1" customWidth="1"/>
  </cols>
  <sheetData>
    <row r="1" spans="1:8" x14ac:dyDescent="0.25">
      <c r="D1" t="s">
        <v>475</v>
      </c>
      <c r="E1" t="s">
        <v>477</v>
      </c>
      <c r="F1" t="s">
        <v>476</v>
      </c>
      <c r="G1" t="s">
        <v>481</v>
      </c>
    </row>
    <row r="2" spans="1:8" ht="13" x14ac:dyDescent="0.3">
      <c r="A2" s="43" t="s">
        <v>484</v>
      </c>
    </row>
    <row r="4" spans="1:8" x14ac:dyDescent="0.25">
      <c r="A4" t="s">
        <v>325</v>
      </c>
    </row>
    <row r="5" spans="1:8" x14ac:dyDescent="0.25">
      <c r="A5" t="s">
        <v>326</v>
      </c>
      <c r="B5">
        <v>150</v>
      </c>
      <c r="D5">
        <v>150</v>
      </c>
    </row>
    <row r="6" spans="1:8" x14ac:dyDescent="0.25">
      <c r="A6" t="s">
        <v>327</v>
      </c>
      <c r="B6">
        <v>150</v>
      </c>
      <c r="D6">
        <v>150</v>
      </c>
    </row>
    <row r="7" spans="1:8" x14ac:dyDescent="0.25">
      <c r="A7" t="s">
        <v>328</v>
      </c>
      <c r="B7">
        <v>400</v>
      </c>
      <c r="D7">
        <v>400</v>
      </c>
      <c r="H7" s="44"/>
    </row>
    <row r="8" spans="1:8" x14ac:dyDescent="0.25">
      <c r="B8" s="42"/>
      <c r="C8" s="41">
        <f>SUM(B5:B7)</f>
        <v>700</v>
      </c>
      <c r="D8" s="41">
        <f>SUM(D5:D7)</f>
        <v>700</v>
      </c>
      <c r="E8" s="42"/>
      <c r="F8" s="42"/>
      <c r="G8" s="42"/>
    </row>
    <row r="9" spans="1:8" x14ac:dyDescent="0.25">
      <c r="A9" t="s">
        <v>329</v>
      </c>
      <c r="B9">
        <v>40</v>
      </c>
      <c r="D9">
        <v>40</v>
      </c>
      <c r="E9" s="42"/>
      <c r="F9" s="42"/>
      <c r="G9" s="42"/>
    </row>
    <row r="10" spans="1:8" x14ac:dyDescent="0.25">
      <c r="C10" s="41">
        <f>SUM(B4:B9)</f>
        <v>740</v>
      </c>
      <c r="D10" s="41">
        <f>SUM(D4:D9)-D8</f>
        <v>740</v>
      </c>
      <c r="E10" s="42"/>
      <c r="F10" s="42">
        <v>800</v>
      </c>
      <c r="G10" s="42"/>
    </row>
    <row r="11" spans="1:8" x14ac:dyDescent="0.25">
      <c r="A11" t="s">
        <v>336</v>
      </c>
      <c r="C11" s="42"/>
      <c r="D11" s="42"/>
      <c r="E11" s="42"/>
      <c r="F11" s="42"/>
      <c r="G11" s="42"/>
    </row>
    <row r="12" spans="1:8" x14ac:dyDescent="0.25">
      <c r="A12" t="s">
        <v>49</v>
      </c>
      <c r="B12">
        <v>0</v>
      </c>
      <c r="D12">
        <v>0</v>
      </c>
      <c r="H12" s="44" t="s">
        <v>431</v>
      </c>
    </row>
    <row r="13" spans="1:8" x14ac:dyDescent="0.25">
      <c r="A13" t="s">
        <v>42</v>
      </c>
      <c r="B13">
        <v>250</v>
      </c>
      <c r="D13">
        <v>250</v>
      </c>
      <c r="E13">
        <v>0</v>
      </c>
      <c r="H13" s="44" t="s">
        <v>479</v>
      </c>
    </row>
    <row r="14" spans="1:8" x14ac:dyDescent="0.25">
      <c r="A14" s="63" t="s">
        <v>330</v>
      </c>
      <c r="B14" s="63">
        <v>0</v>
      </c>
      <c r="C14" s="63"/>
      <c r="D14" s="63">
        <v>150</v>
      </c>
      <c r="G14">
        <v>150</v>
      </c>
      <c r="H14" s="44" t="s">
        <v>432</v>
      </c>
    </row>
    <row r="15" spans="1:8" x14ac:dyDescent="0.25">
      <c r="A15" t="s">
        <v>331</v>
      </c>
      <c r="B15">
        <v>100</v>
      </c>
      <c r="D15">
        <v>100</v>
      </c>
      <c r="H15" s="27"/>
    </row>
    <row r="16" spans="1:8" x14ac:dyDescent="0.25">
      <c r="A16" t="s">
        <v>332</v>
      </c>
      <c r="B16">
        <v>100</v>
      </c>
      <c r="D16">
        <v>100</v>
      </c>
      <c r="F16">
        <v>380</v>
      </c>
      <c r="H16" s="44" t="s">
        <v>540</v>
      </c>
    </row>
    <row r="17" spans="1:8" x14ac:dyDescent="0.25">
      <c r="A17" t="s">
        <v>487</v>
      </c>
      <c r="B17">
        <v>100</v>
      </c>
      <c r="D17">
        <v>100</v>
      </c>
    </row>
    <row r="18" spans="1:8" x14ac:dyDescent="0.25">
      <c r="A18" t="s">
        <v>486</v>
      </c>
      <c r="B18">
        <v>0</v>
      </c>
      <c r="D18">
        <v>0</v>
      </c>
      <c r="F18">
        <v>650</v>
      </c>
      <c r="H18" s="44" t="s">
        <v>541</v>
      </c>
    </row>
    <row r="19" spans="1:8" x14ac:dyDescent="0.25">
      <c r="A19" t="s">
        <v>333</v>
      </c>
      <c r="B19">
        <v>170</v>
      </c>
      <c r="D19">
        <v>170</v>
      </c>
    </row>
    <row r="20" spans="1:8" x14ac:dyDescent="0.25">
      <c r="A20" t="s">
        <v>334</v>
      </c>
      <c r="B20">
        <v>100</v>
      </c>
      <c r="D20">
        <v>100</v>
      </c>
      <c r="E20">
        <v>165</v>
      </c>
      <c r="H20" s="44" t="s">
        <v>542</v>
      </c>
    </row>
    <row r="21" spans="1:8" x14ac:dyDescent="0.25">
      <c r="C21" s="41">
        <f>SUM(B12:B20)</f>
        <v>820</v>
      </c>
      <c r="D21" s="41">
        <f>SUM(D12:D20)</f>
        <v>970</v>
      </c>
      <c r="E21" s="42"/>
      <c r="F21" s="42"/>
      <c r="G21" s="42"/>
    </row>
    <row r="22" spans="1:8" x14ac:dyDescent="0.25">
      <c r="A22" s="63" t="s">
        <v>9</v>
      </c>
      <c r="B22" s="63">
        <v>0</v>
      </c>
      <c r="C22" s="63"/>
      <c r="D22" s="63">
        <v>250</v>
      </c>
      <c r="G22">
        <v>250</v>
      </c>
      <c r="H22" s="44" t="s">
        <v>433</v>
      </c>
    </row>
    <row r="23" spans="1:8" x14ac:dyDescent="0.25">
      <c r="A23" s="63" t="s">
        <v>1</v>
      </c>
      <c r="B23" s="63">
        <v>0</v>
      </c>
      <c r="C23" s="63"/>
      <c r="D23" s="63">
        <v>600</v>
      </c>
      <c r="G23">
        <v>600</v>
      </c>
      <c r="H23" s="44" t="s">
        <v>434</v>
      </c>
    </row>
    <row r="24" spans="1:8" ht="13" x14ac:dyDescent="0.3">
      <c r="A24" s="1" t="s">
        <v>335</v>
      </c>
    </row>
    <row r="25" spans="1:8" x14ac:dyDescent="0.25">
      <c r="A25" t="s">
        <v>337</v>
      </c>
      <c r="B25">
        <v>185</v>
      </c>
      <c r="D25">
        <v>185</v>
      </c>
      <c r="H25" t="s">
        <v>341</v>
      </c>
    </row>
    <row r="26" spans="1:8" x14ac:dyDescent="0.25">
      <c r="A26" t="s">
        <v>49</v>
      </c>
      <c r="B26">
        <v>80</v>
      </c>
      <c r="D26">
        <v>80</v>
      </c>
      <c r="H26" t="s">
        <v>345</v>
      </c>
    </row>
    <row r="27" spans="1:8" x14ac:dyDescent="0.25">
      <c r="A27" s="27" t="s">
        <v>436</v>
      </c>
      <c r="B27">
        <v>30</v>
      </c>
      <c r="D27">
        <v>30</v>
      </c>
    </row>
    <row r="28" spans="1:8" x14ac:dyDescent="0.25">
      <c r="A28" s="27" t="s">
        <v>437</v>
      </c>
      <c r="B28">
        <v>30</v>
      </c>
      <c r="D28">
        <v>30</v>
      </c>
    </row>
    <row r="29" spans="1:8" x14ac:dyDescent="0.25">
      <c r="A29" t="s">
        <v>342</v>
      </c>
      <c r="B29">
        <v>2840.44</v>
      </c>
      <c r="D29">
        <v>2840.44</v>
      </c>
    </row>
    <row r="30" spans="1:8" x14ac:dyDescent="0.25">
      <c r="A30" s="27" t="s">
        <v>438</v>
      </c>
      <c r="B30">
        <v>1572.12</v>
      </c>
      <c r="D30">
        <v>1572.12</v>
      </c>
    </row>
    <row r="31" spans="1:8" x14ac:dyDescent="0.25">
      <c r="A31" t="s">
        <v>377</v>
      </c>
      <c r="B31">
        <v>60</v>
      </c>
      <c r="D31">
        <v>60</v>
      </c>
      <c r="H31" s="44" t="s">
        <v>380</v>
      </c>
    </row>
    <row r="32" spans="1:8" x14ac:dyDescent="0.25">
      <c r="A32" s="27" t="s">
        <v>439</v>
      </c>
      <c r="B32">
        <v>25</v>
      </c>
      <c r="D32">
        <v>25</v>
      </c>
      <c r="H32" s="44"/>
    </row>
    <row r="33" spans="1:8" x14ac:dyDescent="0.25">
      <c r="A33" t="s">
        <v>349</v>
      </c>
      <c r="B33">
        <v>80</v>
      </c>
      <c r="D33">
        <v>80</v>
      </c>
    </row>
    <row r="34" spans="1:8" x14ac:dyDescent="0.25">
      <c r="A34" s="27" t="s">
        <v>441</v>
      </c>
      <c r="B34">
        <v>55</v>
      </c>
      <c r="D34">
        <v>55</v>
      </c>
    </row>
    <row r="35" spans="1:8" x14ac:dyDescent="0.25">
      <c r="A35" t="s">
        <v>346</v>
      </c>
      <c r="B35">
        <v>90</v>
      </c>
      <c r="D35">
        <v>90</v>
      </c>
    </row>
    <row r="36" spans="1:8" x14ac:dyDescent="0.25">
      <c r="A36" t="s">
        <v>347</v>
      </c>
      <c r="B36">
        <v>55</v>
      </c>
      <c r="D36">
        <v>55</v>
      </c>
      <c r="H36" t="s">
        <v>353</v>
      </c>
    </row>
    <row r="37" spans="1:8" x14ac:dyDescent="0.25">
      <c r="A37" t="s">
        <v>348</v>
      </c>
      <c r="B37">
        <v>180</v>
      </c>
      <c r="D37">
        <v>180</v>
      </c>
    </row>
    <row r="38" spans="1:8" x14ac:dyDescent="0.25">
      <c r="A38" t="s">
        <v>485</v>
      </c>
      <c r="B38">
        <v>39</v>
      </c>
      <c r="D38">
        <v>39</v>
      </c>
    </row>
    <row r="39" spans="1:8" x14ac:dyDescent="0.25">
      <c r="A39" s="27" t="s">
        <v>440</v>
      </c>
      <c r="B39">
        <v>44</v>
      </c>
      <c r="D39">
        <v>44</v>
      </c>
    </row>
    <row r="40" spans="1:8" x14ac:dyDescent="0.25">
      <c r="A40" t="s">
        <v>354</v>
      </c>
      <c r="B40">
        <v>9</v>
      </c>
      <c r="D40">
        <v>9</v>
      </c>
    </row>
    <row r="41" spans="1:8" x14ac:dyDescent="0.25">
      <c r="A41" t="s">
        <v>350</v>
      </c>
      <c r="B41">
        <v>263</v>
      </c>
      <c r="D41">
        <v>263</v>
      </c>
      <c r="H41" s="44" t="s">
        <v>351</v>
      </c>
    </row>
    <row r="42" spans="1:8" x14ac:dyDescent="0.25">
      <c r="C42" s="41">
        <f>SUM(B22:B41)</f>
        <v>5637.5599999999995</v>
      </c>
      <c r="D42" s="41">
        <f>SUM(D22:D41)</f>
        <v>6487.5599999999995</v>
      </c>
      <c r="E42" s="42"/>
      <c r="F42" s="42"/>
      <c r="G42" s="42"/>
    </row>
    <row r="43" spans="1:8" x14ac:dyDescent="0.25">
      <c r="E43" s="42"/>
      <c r="F43" s="42"/>
      <c r="G43" s="42"/>
    </row>
    <row r="44" spans="1:8" x14ac:dyDescent="0.25">
      <c r="A44" t="s">
        <v>478</v>
      </c>
      <c r="F44">
        <v>3000</v>
      </c>
    </row>
    <row r="45" spans="1:8" x14ac:dyDescent="0.25">
      <c r="A45" t="s">
        <v>70</v>
      </c>
      <c r="B45" s="45">
        <f>SUM(B4:B43)</f>
        <v>7197.56</v>
      </c>
      <c r="D45" s="45">
        <f>SUM(D4:D43)-D42-D21-D10-D8</f>
        <v>8197.5600000000031</v>
      </c>
      <c r="F45" s="45">
        <f>SUM(F4:F44)</f>
        <v>4830</v>
      </c>
      <c r="G45" s="45">
        <f>SUM(G4:G44)</f>
        <v>1000</v>
      </c>
    </row>
    <row r="47" spans="1:8" x14ac:dyDescent="0.25">
      <c r="A47" t="s">
        <v>338</v>
      </c>
      <c r="B47" s="45">
        <v>6587</v>
      </c>
      <c r="D47" s="45">
        <v>6587</v>
      </c>
      <c r="F47" s="45">
        <f>F45/12</f>
        <v>402.5</v>
      </c>
      <c r="G47" s="45">
        <f>G45</f>
        <v>1000</v>
      </c>
      <c r="H47" t="s">
        <v>480</v>
      </c>
    </row>
    <row r="48" spans="1:8" x14ac:dyDescent="0.25">
      <c r="A48" s="27" t="s">
        <v>442</v>
      </c>
      <c r="B48" s="45">
        <f>B47+1000</f>
        <v>7587</v>
      </c>
      <c r="D48" s="45">
        <f>D47+1000</f>
        <v>7587</v>
      </c>
    </row>
    <row r="50" spans="1:8" x14ac:dyDescent="0.25">
      <c r="A50" t="s">
        <v>339</v>
      </c>
      <c r="B50" s="45">
        <f>B48-B45</f>
        <v>389.4399999999996</v>
      </c>
      <c r="D50" s="45">
        <f>D48-D45</f>
        <v>-610.56000000000313</v>
      </c>
      <c r="F50" s="45">
        <f>D50-F47</f>
        <v>-1013.0600000000031</v>
      </c>
      <c r="G50" s="45">
        <f>F50+G47</f>
        <v>-13.060000000003129</v>
      </c>
      <c r="H50" t="s">
        <v>482</v>
      </c>
    </row>
    <row r="53" spans="1:8" ht="13" x14ac:dyDescent="0.3">
      <c r="A53" s="58" t="s">
        <v>443</v>
      </c>
    </row>
    <row r="55" spans="1:8" x14ac:dyDescent="0.25">
      <c r="A55" s="27" t="s">
        <v>444</v>
      </c>
      <c r="B55">
        <v>2200</v>
      </c>
    </row>
    <row r="56" spans="1:8" x14ac:dyDescent="0.25">
      <c r="A56" s="27" t="s">
        <v>445</v>
      </c>
      <c r="B56">
        <v>1680</v>
      </c>
    </row>
    <row r="57" spans="1:8" x14ac:dyDescent="0.25">
      <c r="A57" s="27" t="s">
        <v>446</v>
      </c>
      <c r="B57">
        <v>3300</v>
      </c>
      <c r="C57" s="59" t="s">
        <v>447</v>
      </c>
      <c r="D57" s="59"/>
      <c r="E57" s="59"/>
      <c r="F57" s="59"/>
      <c r="G57" s="59"/>
    </row>
    <row r="58" spans="1:8" x14ac:dyDescent="0.25">
      <c r="A58" s="27" t="s">
        <v>448</v>
      </c>
      <c r="B58">
        <v>200</v>
      </c>
    </row>
    <row r="59" spans="1:8" x14ac:dyDescent="0.25">
      <c r="A59" s="27" t="s">
        <v>449</v>
      </c>
      <c r="B59">
        <v>1000</v>
      </c>
    </row>
    <row r="60" spans="1:8" x14ac:dyDescent="0.25">
      <c r="A60" s="27" t="s">
        <v>450</v>
      </c>
      <c r="B60">
        <v>1000</v>
      </c>
    </row>
    <row r="61" spans="1:8" x14ac:dyDescent="0.25">
      <c r="A61" s="27" t="s">
        <v>452</v>
      </c>
      <c r="B61" s="45">
        <f>SUM(B55:B60)</f>
        <v>9380</v>
      </c>
    </row>
    <row r="63" spans="1:8" x14ac:dyDescent="0.25">
      <c r="A63" s="27" t="s">
        <v>483</v>
      </c>
      <c r="B63">
        <v>13200</v>
      </c>
    </row>
    <row r="65" spans="1:3" x14ac:dyDescent="0.25">
      <c r="A65" s="27" t="s">
        <v>89</v>
      </c>
      <c r="B65">
        <f>B63-B61</f>
        <v>3820</v>
      </c>
    </row>
    <row r="68" spans="1:3" x14ac:dyDescent="0.25">
      <c r="A68" t="s">
        <v>489</v>
      </c>
    </row>
    <row r="69" spans="1:3" x14ac:dyDescent="0.25">
      <c r="A69" s="27" t="s">
        <v>497</v>
      </c>
      <c r="B69">
        <v>10500</v>
      </c>
    </row>
    <row r="70" spans="1:3" x14ac:dyDescent="0.25">
      <c r="A70" s="27" t="s">
        <v>498</v>
      </c>
      <c r="B70">
        <v>3300</v>
      </c>
    </row>
    <row r="71" spans="1:3" x14ac:dyDescent="0.25">
      <c r="A71" s="27" t="s">
        <v>499</v>
      </c>
      <c r="B71">
        <v>1000</v>
      </c>
    </row>
    <row r="72" spans="1:3" x14ac:dyDescent="0.25">
      <c r="A72" s="27" t="s">
        <v>500</v>
      </c>
      <c r="B72" s="27">
        <f>890.56*12</f>
        <v>10686.72</v>
      </c>
    </row>
    <row r="73" spans="1:3" x14ac:dyDescent="0.25">
      <c r="A73" t="s">
        <v>488</v>
      </c>
      <c r="B73">
        <v>785</v>
      </c>
      <c r="C73" s="59" t="s">
        <v>538</v>
      </c>
    </row>
    <row r="74" spans="1:3" x14ac:dyDescent="0.25">
      <c r="A74" t="s">
        <v>490</v>
      </c>
      <c r="B74">
        <f>25+25+15+35</f>
        <v>100</v>
      </c>
      <c r="C74" s="27" t="s">
        <v>495</v>
      </c>
    </row>
    <row r="75" spans="1:3" x14ac:dyDescent="0.25">
      <c r="A75" t="s">
        <v>492</v>
      </c>
      <c r="B75">
        <f>4000+700+128.3</f>
        <v>4828.3</v>
      </c>
      <c r="C75" s="27" t="s">
        <v>494</v>
      </c>
    </row>
    <row r="76" spans="1:3" x14ac:dyDescent="0.25">
      <c r="A76" t="s">
        <v>491</v>
      </c>
      <c r="B76">
        <f>400+700+400</f>
        <v>1500</v>
      </c>
      <c r="C76" t="s">
        <v>493</v>
      </c>
    </row>
    <row r="77" spans="1:3" x14ac:dyDescent="0.25">
      <c r="A77" s="27" t="s">
        <v>496</v>
      </c>
      <c r="B77">
        <f>SUM(B74:B76)</f>
        <v>6428.3</v>
      </c>
    </row>
    <row r="79" spans="1:3" x14ac:dyDescent="0.25">
      <c r="A79" s="27" t="s">
        <v>501</v>
      </c>
      <c r="B79">
        <f>SUM(B69:B76)</f>
        <v>32700.02</v>
      </c>
    </row>
    <row r="81" spans="1:2" x14ac:dyDescent="0.25">
      <c r="A81" s="27" t="s">
        <v>509</v>
      </c>
    </row>
    <row r="82" spans="1:2" x14ac:dyDescent="0.25">
      <c r="A82" s="27" t="s">
        <v>77</v>
      </c>
      <c r="B82">
        <v>13881.15</v>
      </c>
    </row>
    <row r="83" spans="1:2" x14ac:dyDescent="0.25">
      <c r="A83" s="27" t="s">
        <v>502</v>
      </c>
      <c r="B83">
        <v>16767</v>
      </c>
    </row>
    <row r="84" spans="1:2" x14ac:dyDescent="0.25">
      <c r="A84" s="27" t="s">
        <v>503</v>
      </c>
      <c r="B84">
        <v>15000</v>
      </c>
    </row>
    <row r="85" spans="1:2" x14ac:dyDescent="0.25">
      <c r="A85" s="27"/>
    </row>
    <row r="86" spans="1:2" x14ac:dyDescent="0.25">
      <c r="A86" s="27" t="s">
        <v>508</v>
      </c>
      <c r="B86">
        <f>SUM(B82:B84)</f>
        <v>45648.15</v>
      </c>
    </row>
    <row r="87" spans="1:2" x14ac:dyDescent="0.25">
      <c r="A87" s="27"/>
    </row>
    <row r="88" spans="1:2" x14ac:dyDescent="0.25">
      <c r="A88" s="27" t="s">
        <v>510</v>
      </c>
      <c r="B88">
        <f>B86-B79</f>
        <v>12948.130000000001</v>
      </c>
    </row>
    <row r="90" spans="1:2" x14ac:dyDescent="0.25">
      <c r="A90" s="27" t="s">
        <v>505</v>
      </c>
      <c r="B90">
        <v>19067.46</v>
      </c>
    </row>
    <row r="91" spans="1:2" x14ac:dyDescent="0.25">
      <c r="A91" s="27" t="s">
        <v>506</v>
      </c>
      <c r="B91" s="27">
        <f>0-828.3</f>
        <v>-828.3</v>
      </c>
    </row>
    <row r="92" spans="1:2" x14ac:dyDescent="0.25">
      <c r="A92" s="27" t="s">
        <v>507</v>
      </c>
      <c r="B92" s="27">
        <f>0-1040.56 + 150</f>
        <v>-890.56</v>
      </c>
    </row>
    <row r="93" spans="1:2" x14ac:dyDescent="0.25">
      <c r="A93" s="27" t="s">
        <v>511</v>
      </c>
      <c r="B93">
        <v>910.51</v>
      </c>
    </row>
    <row r="94" spans="1:2" x14ac:dyDescent="0.25">
      <c r="A94" s="27" t="s">
        <v>512</v>
      </c>
      <c r="B94">
        <f>SUM(B90:B93)</f>
        <v>18259.109999999997</v>
      </c>
    </row>
    <row r="96" spans="1:2" x14ac:dyDescent="0.25">
      <c r="A96" s="27" t="s">
        <v>514</v>
      </c>
      <c r="B96">
        <f>B94-B88</f>
        <v>5310.9799999999959</v>
      </c>
    </row>
    <row r="97" spans="1:8" x14ac:dyDescent="0.25">
      <c r="A97" s="64" t="s">
        <v>504</v>
      </c>
      <c r="B97">
        <v>8305.41</v>
      </c>
    </row>
    <row r="99" spans="1:8" ht="33" customHeight="1" x14ac:dyDescent="0.25">
      <c r="A99" s="27" t="s">
        <v>515</v>
      </c>
      <c r="B99" s="65">
        <f>B96-B97</f>
        <v>-2994.4300000000039</v>
      </c>
      <c r="C99" s="70" t="s">
        <v>539</v>
      </c>
      <c r="D99" s="66"/>
      <c r="E99" s="66"/>
      <c r="F99" s="66"/>
      <c r="G99" s="66"/>
      <c r="H99" s="66"/>
    </row>
    <row r="102" spans="1:8" ht="37.5" x14ac:dyDescent="0.25">
      <c r="A102" s="51" t="s">
        <v>513</v>
      </c>
      <c r="B102" s="57">
        <v>20000</v>
      </c>
    </row>
  </sheetData>
  <mergeCells count="1">
    <mergeCell ref="C99:H9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52CD-6DAE-43C1-A4B8-4A2450E189D5}">
  <dimension ref="A1:H110"/>
  <sheetViews>
    <sheetView topLeftCell="A79" workbookViewId="0">
      <selection activeCell="C85" sqref="C85"/>
    </sheetView>
  </sheetViews>
  <sheetFormatPr defaultColWidth="11.54296875" defaultRowHeight="12.5" x14ac:dyDescent="0.25"/>
  <cols>
    <col min="1" max="1" width="54.453125" bestFit="1" customWidth="1"/>
    <col min="7" max="7" width="34.453125" bestFit="1" customWidth="1"/>
    <col min="8" max="8" width="115.08984375" bestFit="1" customWidth="1"/>
  </cols>
  <sheetData>
    <row r="1" spans="1:8" x14ac:dyDescent="0.25">
      <c r="D1" t="s">
        <v>475</v>
      </c>
      <c r="E1" t="s">
        <v>477</v>
      </c>
      <c r="F1" t="s">
        <v>476</v>
      </c>
      <c r="G1" t="s">
        <v>481</v>
      </c>
    </row>
    <row r="2" spans="1:8" ht="13" x14ac:dyDescent="0.3">
      <c r="A2" s="43" t="s">
        <v>520</v>
      </c>
    </row>
    <row r="4" spans="1:8" x14ac:dyDescent="0.25">
      <c r="A4" t="s">
        <v>325</v>
      </c>
    </row>
    <row r="5" spans="1:8" x14ac:dyDescent="0.25">
      <c r="A5" t="s">
        <v>326</v>
      </c>
      <c r="B5">
        <v>150</v>
      </c>
      <c r="D5">
        <v>150</v>
      </c>
    </row>
    <row r="6" spans="1:8" x14ac:dyDescent="0.25">
      <c r="A6" t="s">
        <v>327</v>
      </c>
      <c r="B6">
        <v>200</v>
      </c>
      <c r="D6">
        <v>200</v>
      </c>
    </row>
    <row r="7" spans="1:8" x14ac:dyDescent="0.25">
      <c r="A7" t="s">
        <v>517</v>
      </c>
      <c r="B7">
        <v>100</v>
      </c>
      <c r="D7">
        <v>100</v>
      </c>
    </row>
    <row r="8" spans="1:8" x14ac:dyDescent="0.25">
      <c r="A8" t="s">
        <v>328</v>
      </c>
      <c r="B8">
        <v>400</v>
      </c>
      <c r="D8">
        <v>400</v>
      </c>
      <c r="H8" s="44"/>
    </row>
    <row r="9" spans="1:8" x14ac:dyDescent="0.25">
      <c r="B9" s="42"/>
      <c r="C9" s="41">
        <f>SUM(B5:B8)</f>
        <v>850</v>
      </c>
      <c r="D9" s="41">
        <f>SUM(D5:D8)</f>
        <v>850</v>
      </c>
      <c r="E9" s="42"/>
      <c r="F9" s="42"/>
      <c r="G9" s="42"/>
    </row>
    <row r="10" spans="1:8" x14ac:dyDescent="0.25">
      <c r="A10" t="s">
        <v>329</v>
      </c>
      <c r="B10">
        <v>40</v>
      </c>
      <c r="D10">
        <v>40</v>
      </c>
      <c r="E10" s="42"/>
      <c r="F10" s="42"/>
      <c r="G10" s="42"/>
    </row>
    <row r="11" spans="1:8" x14ac:dyDescent="0.25">
      <c r="C11" s="41">
        <f>SUM(B4:B10)</f>
        <v>890</v>
      </c>
      <c r="D11" s="41">
        <f>SUM(D4:D10)-D9</f>
        <v>890</v>
      </c>
      <c r="E11" s="42"/>
      <c r="F11" s="42">
        <v>800</v>
      </c>
      <c r="G11" s="42"/>
    </row>
    <row r="12" spans="1:8" x14ac:dyDescent="0.25">
      <c r="A12" t="s">
        <v>336</v>
      </c>
      <c r="C12" s="42"/>
      <c r="D12" s="42"/>
      <c r="E12" s="42"/>
      <c r="F12" s="42"/>
      <c r="G12" s="42"/>
    </row>
    <row r="13" spans="1:8" x14ac:dyDescent="0.25">
      <c r="A13" t="s">
        <v>49</v>
      </c>
      <c r="B13">
        <v>0</v>
      </c>
      <c r="D13">
        <v>0</v>
      </c>
      <c r="H13" s="44" t="s">
        <v>431</v>
      </c>
    </row>
    <row r="14" spans="1:8" x14ac:dyDescent="0.25">
      <c r="A14" t="s">
        <v>42</v>
      </c>
      <c r="B14">
        <v>250</v>
      </c>
      <c r="D14">
        <v>250</v>
      </c>
      <c r="E14">
        <v>125</v>
      </c>
      <c r="H14" s="44" t="s">
        <v>479</v>
      </c>
    </row>
    <row r="15" spans="1:8" x14ac:dyDescent="0.25">
      <c r="A15" s="63" t="s">
        <v>330</v>
      </c>
      <c r="B15" s="63">
        <v>0</v>
      </c>
      <c r="C15" s="63"/>
      <c r="D15" s="63">
        <v>150</v>
      </c>
      <c r="G15">
        <v>150</v>
      </c>
      <c r="H15" s="44" t="s">
        <v>432</v>
      </c>
    </row>
    <row r="16" spans="1:8" x14ac:dyDescent="0.25">
      <c r="A16" t="s">
        <v>331</v>
      </c>
      <c r="B16">
        <v>100</v>
      </c>
      <c r="D16">
        <v>100</v>
      </c>
      <c r="H16" s="27"/>
    </row>
    <row r="17" spans="1:8" x14ac:dyDescent="0.25">
      <c r="A17" t="s">
        <v>332</v>
      </c>
      <c r="B17">
        <v>100</v>
      </c>
      <c r="D17">
        <v>100</v>
      </c>
    </row>
    <row r="18" spans="1:8" x14ac:dyDescent="0.25">
      <c r="A18" t="s">
        <v>487</v>
      </c>
      <c r="B18">
        <v>100</v>
      </c>
      <c r="D18">
        <v>100</v>
      </c>
    </row>
    <row r="19" spans="1:8" x14ac:dyDescent="0.25">
      <c r="A19" t="s">
        <v>486</v>
      </c>
      <c r="B19">
        <v>0</v>
      </c>
      <c r="D19">
        <v>0</v>
      </c>
      <c r="F19">
        <f>(70+10+122+6+14+16+6+10+16+6+2)</f>
        <v>278</v>
      </c>
      <c r="H19" s="44" t="s">
        <v>518</v>
      </c>
    </row>
    <row r="20" spans="1:8" x14ac:dyDescent="0.25">
      <c r="A20" t="s">
        <v>333</v>
      </c>
      <c r="B20">
        <v>170</v>
      </c>
      <c r="D20">
        <v>170</v>
      </c>
    </row>
    <row r="21" spans="1:8" x14ac:dyDescent="0.25">
      <c r="A21" t="s">
        <v>334</v>
      </c>
      <c r="B21">
        <v>100</v>
      </c>
      <c r="D21">
        <v>100</v>
      </c>
      <c r="H21" s="44"/>
    </row>
    <row r="22" spans="1:8" x14ac:dyDescent="0.25">
      <c r="C22" s="41">
        <f>SUM(B13:B21)</f>
        <v>820</v>
      </c>
      <c r="D22" s="41">
        <f>SUM(D13:D21)</f>
        <v>970</v>
      </c>
      <c r="E22" s="42"/>
      <c r="F22" s="42"/>
      <c r="G22" s="42"/>
    </row>
    <row r="23" spans="1:8" x14ac:dyDescent="0.25">
      <c r="A23" s="63" t="s">
        <v>9</v>
      </c>
      <c r="B23" s="63">
        <v>0</v>
      </c>
      <c r="C23" s="63"/>
      <c r="D23" s="63">
        <v>250</v>
      </c>
      <c r="G23">
        <v>250</v>
      </c>
      <c r="H23" s="44" t="s">
        <v>433</v>
      </c>
    </row>
    <row r="24" spans="1:8" x14ac:dyDescent="0.25">
      <c r="A24" s="63" t="s">
        <v>1</v>
      </c>
      <c r="B24" s="63">
        <v>0</v>
      </c>
      <c r="C24" s="63"/>
      <c r="D24" s="63">
        <v>600</v>
      </c>
      <c r="G24">
        <v>600</v>
      </c>
      <c r="H24" s="44" t="s">
        <v>519</v>
      </c>
    </row>
    <row r="25" spans="1:8" ht="13" x14ac:dyDescent="0.3">
      <c r="A25" s="1" t="s">
        <v>335</v>
      </c>
    </row>
    <row r="26" spans="1:8" x14ac:dyDescent="0.25">
      <c r="A26" t="s">
        <v>337</v>
      </c>
      <c r="B26">
        <v>185</v>
      </c>
      <c r="D26">
        <v>185</v>
      </c>
    </row>
    <row r="27" spans="1:8" x14ac:dyDescent="0.25">
      <c r="A27" t="s">
        <v>49</v>
      </c>
      <c r="B27">
        <v>80</v>
      </c>
      <c r="D27">
        <v>80</v>
      </c>
    </row>
    <row r="28" spans="1:8" x14ac:dyDescent="0.25">
      <c r="A28" s="27" t="s">
        <v>436</v>
      </c>
      <c r="B28">
        <v>30</v>
      </c>
      <c r="D28">
        <v>30</v>
      </c>
    </row>
    <row r="29" spans="1:8" x14ac:dyDescent="0.25">
      <c r="A29" s="27" t="s">
        <v>437</v>
      </c>
      <c r="B29">
        <v>30</v>
      </c>
      <c r="D29">
        <v>30</v>
      </c>
    </row>
    <row r="30" spans="1:8" x14ac:dyDescent="0.25">
      <c r="A30" t="s">
        <v>342</v>
      </c>
      <c r="B30">
        <v>2840.44</v>
      </c>
      <c r="D30">
        <v>2840.44</v>
      </c>
    </row>
    <row r="31" spans="1:8" x14ac:dyDescent="0.25">
      <c r="A31" s="27" t="s">
        <v>438</v>
      </c>
      <c r="B31">
        <v>1572.12</v>
      </c>
      <c r="D31">
        <v>1572.12</v>
      </c>
    </row>
    <row r="32" spans="1:8" x14ac:dyDescent="0.25">
      <c r="A32" t="s">
        <v>377</v>
      </c>
      <c r="B32">
        <v>60</v>
      </c>
      <c r="D32">
        <v>60</v>
      </c>
      <c r="H32" s="44"/>
    </row>
    <row r="33" spans="1:8" x14ac:dyDescent="0.25">
      <c r="A33" s="27" t="s">
        <v>439</v>
      </c>
      <c r="B33">
        <v>25</v>
      </c>
      <c r="D33">
        <v>25</v>
      </c>
      <c r="H33" s="44"/>
    </row>
    <row r="34" spans="1:8" x14ac:dyDescent="0.25">
      <c r="A34" t="s">
        <v>349</v>
      </c>
      <c r="B34">
        <v>80</v>
      </c>
      <c r="D34">
        <v>80</v>
      </c>
    </row>
    <row r="35" spans="1:8" x14ac:dyDescent="0.25">
      <c r="A35" s="27" t="s">
        <v>441</v>
      </c>
      <c r="B35">
        <v>55</v>
      </c>
      <c r="D35">
        <v>55</v>
      </c>
    </row>
    <row r="36" spans="1:8" x14ac:dyDescent="0.25">
      <c r="A36" t="s">
        <v>346</v>
      </c>
      <c r="B36">
        <v>90</v>
      </c>
      <c r="D36">
        <v>90</v>
      </c>
    </row>
    <row r="37" spans="1:8" x14ac:dyDescent="0.25">
      <c r="A37" t="s">
        <v>347</v>
      </c>
      <c r="B37">
        <v>55</v>
      </c>
      <c r="D37">
        <v>55</v>
      </c>
      <c r="H37" t="s">
        <v>353</v>
      </c>
    </row>
    <row r="38" spans="1:8" x14ac:dyDescent="0.25">
      <c r="A38" t="s">
        <v>348</v>
      </c>
      <c r="B38">
        <v>180</v>
      </c>
      <c r="D38">
        <v>180</v>
      </c>
    </row>
    <row r="39" spans="1:8" x14ac:dyDescent="0.25">
      <c r="A39" t="s">
        <v>485</v>
      </c>
      <c r="B39">
        <v>39</v>
      </c>
      <c r="D39">
        <v>39</v>
      </c>
    </row>
    <row r="40" spans="1:8" x14ac:dyDescent="0.25">
      <c r="A40" s="27" t="s">
        <v>440</v>
      </c>
      <c r="B40">
        <v>44</v>
      </c>
      <c r="D40">
        <v>44</v>
      </c>
    </row>
    <row r="41" spans="1:8" x14ac:dyDescent="0.25">
      <c r="A41" t="s">
        <v>354</v>
      </c>
      <c r="B41">
        <v>9</v>
      </c>
      <c r="D41">
        <v>9</v>
      </c>
    </row>
    <row r="42" spans="1:8" x14ac:dyDescent="0.25">
      <c r="A42" t="s">
        <v>350</v>
      </c>
      <c r="B42">
        <v>263</v>
      </c>
      <c r="D42">
        <v>263</v>
      </c>
      <c r="H42" s="44"/>
    </row>
    <row r="43" spans="1:8" x14ac:dyDescent="0.25">
      <c r="C43" s="41">
        <f>SUM(B23:B42)</f>
        <v>5637.5599999999995</v>
      </c>
      <c r="D43" s="41">
        <f>SUM(D23:D42)</f>
        <v>6487.5599999999995</v>
      </c>
      <c r="E43" s="42"/>
      <c r="F43" s="42"/>
      <c r="G43" s="42"/>
    </row>
    <row r="44" spans="1:8" x14ac:dyDescent="0.25">
      <c r="E44" s="42"/>
      <c r="F44" s="42"/>
      <c r="G44" s="42"/>
    </row>
    <row r="45" spans="1:8" x14ac:dyDescent="0.25">
      <c r="A45" t="s">
        <v>478</v>
      </c>
    </row>
    <row r="46" spans="1:8" x14ac:dyDescent="0.25">
      <c r="A46" t="s">
        <v>70</v>
      </c>
      <c r="B46" s="45">
        <f>SUM(B4:B44)</f>
        <v>7347.56</v>
      </c>
      <c r="D46" s="45">
        <f>SUM(D4:D44)-D43-D22-D11-D9</f>
        <v>8347.5600000000031</v>
      </c>
      <c r="F46" s="45">
        <f>SUM(F4:F45)</f>
        <v>1078</v>
      </c>
      <c r="G46" s="45">
        <f>SUM(G4:G45)</f>
        <v>1000</v>
      </c>
    </row>
    <row r="48" spans="1:8" x14ac:dyDescent="0.25">
      <c r="A48" t="s">
        <v>338</v>
      </c>
      <c r="B48" s="45">
        <v>6587</v>
      </c>
      <c r="D48" s="45">
        <v>6587</v>
      </c>
      <c r="F48" s="45">
        <f>F46/12</f>
        <v>89.833333333333329</v>
      </c>
      <c r="G48" s="45">
        <f>G46</f>
        <v>1000</v>
      </c>
      <c r="H48" t="s">
        <v>480</v>
      </c>
    </row>
    <row r="49" spans="1:8" x14ac:dyDescent="0.25">
      <c r="A49" s="27" t="s">
        <v>442</v>
      </c>
      <c r="B49" s="45">
        <f>B48+1000</f>
        <v>7587</v>
      </c>
      <c r="D49" s="45">
        <f>D48+1000</f>
        <v>7587</v>
      </c>
    </row>
    <row r="51" spans="1:8" x14ac:dyDescent="0.25">
      <c r="A51" t="s">
        <v>339</v>
      </c>
      <c r="B51" s="45">
        <f>B49-B46</f>
        <v>239.4399999999996</v>
      </c>
      <c r="D51" s="45">
        <f>D49-D46</f>
        <v>-760.56000000000313</v>
      </c>
      <c r="F51" s="45">
        <f>D51-F48</f>
        <v>-850.3933333333365</v>
      </c>
      <c r="G51" s="45">
        <f>F51+G48</f>
        <v>149.6066666666635</v>
      </c>
      <c r="H51" t="s">
        <v>482</v>
      </c>
    </row>
    <row r="54" spans="1:8" ht="13" x14ac:dyDescent="0.3">
      <c r="A54" s="58" t="s">
        <v>443</v>
      </c>
    </row>
    <row r="56" spans="1:8" x14ac:dyDescent="0.25">
      <c r="A56" s="27" t="s">
        <v>444</v>
      </c>
      <c r="B56">
        <v>4200</v>
      </c>
    </row>
    <row r="57" spans="1:8" x14ac:dyDescent="0.25">
      <c r="A57" s="27" t="s">
        <v>521</v>
      </c>
      <c r="B57">
        <v>2200</v>
      </c>
    </row>
    <row r="58" spans="1:8" x14ac:dyDescent="0.25">
      <c r="A58" s="27" t="s">
        <v>446</v>
      </c>
      <c r="B58">
        <v>3300</v>
      </c>
      <c r="C58" s="59" t="s">
        <v>447</v>
      </c>
      <c r="D58" s="59"/>
      <c r="E58" s="59"/>
      <c r="F58" s="59"/>
      <c r="G58" s="59"/>
    </row>
    <row r="59" spans="1:8" x14ac:dyDescent="0.25">
      <c r="A59" s="27" t="s">
        <v>448</v>
      </c>
      <c r="B59">
        <f>300+200</f>
        <v>500</v>
      </c>
      <c r="C59" t="s">
        <v>522</v>
      </c>
    </row>
    <row r="60" spans="1:8" x14ac:dyDescent="0.25">
      <c r="A60" s="27" t="s">
        <v>449</v>
      </c>
      <c r="B60">
        <v>1000</v>
      </c>
    </row>
    <row r="61" spans="1:8" x14ac:dyDescent="0.25">
      <c r="A61" s="27" t="s">
        <v>450</v>
      </c>
      <c r="B61">
        <v>1000</v>
      </c>
    </row>
    <row r="62" spans="1:8" x14ac:dyDescent="0.25">
      <c r="A62" s="27" t="s">
        <v>452</v>
      </c>
      <c r="B62" s="45">
        <f>SUM(B56:B61)</f>
        <v>12200</v>
      </c>
    </row>
    <row r="64" spans="1:8" x14ac:dyDescent="0.25">
      <c r="A64" s="27" t="s">
        <v>523</v>
      </c>
      <c r="B64">
        <v>16000</v>
      </c>
    </row>
    <row r="66" spans="1:3" x14ac:dyDescent="0.25">
      <c r="A66" s="27" t="s">
        <v>89</v>
      </c>
      <c r="B66">
        <f>B64-B62</f>
        <v>3800</v>
      </c>
    </row>
    <row r="67" spans="1:3" x14ac:dyDescent="0.25">
      <c r="A67" s="27" t="s">
        <v>524</v>
      </c>
      <c r="B67">
        <f>12*B66</f>
        <v>45600</v>
      </c>
    </row>
    <row r="68" spans="1:3" x14ac:dyDescent="0.25">
      <c r="A68" s="27" t="s">
        <v>525</v>
      </c>
      <c r="B68">
        <f>6*2200-2400</f>
        <v>10800</v>
      </c>
    </row>
    <row r="69" spans="1:3" x14ac:dyDescent="0.25">
      <c r="A69" s="27" t="s">
        <v>526</v>
      </c>
      <c r="B69">
        <f>SUM(B67:B68)</f>
        <v>56400</v>
      </c>
    </row>
    <row r="71" spans="1:3" x14ac:dyDescent="0.25">
      <c r="A71" s="45" t="s">
        <v>530</v>
      </c>
    </row>
    <row r="72" spans="1:3" x14ac:dyDescent="0.25">
      <c r="A72" t="s">
        <v>533</v>
      </c>
      <c r="B72">
        <v>15000</v>
      </c>
    </row>
    <row r="73" spans="1:3" x14ac:dyDescent="0.25">
      <c r="A73" t="s">
        <v>534</v>
      </c>
    </row>
    <row r="74" spans="1:3" x14ac:dyDescent="0.25">
      <c r="A74" t="s">
        <v>490</v>
      </c>
      <c r="B74">
        <f>25+25+15+35</f>
        <v>100</v>
      </c>
      <c r="C74" s="27" t="s">
        <v>495</v>
      </c>
    </row>
    <row r="75" spans="1:3" x14ac:dyDescent="0.25">
      <c r="A75" t="s">
        <v>492</v>
      </c>
      <c r="B75">
        <f>4000+700+128.3+2650+100+400+500+1700</f>
        <v>10178.299999999999</v>
      </c>
      <c r="C75" s="27" t="s">
        <v>532</v>
      </c>
    </row>
    <row r="76" spans="1:3" x14ac:dyDescent="0.25">
      <c r="A76" t="s">
        <v>491</v>
      </c>
      <c r="B76">
        <f>400+700+400+640+265</f>
        <v>2405</v>
      </c>
      <c r="C76" t="s">
        <v>531</v>
      </c>
    </row>
    <row r="77" spans="1:3" x14ac:dyDescent="0.25">
      <c r="A77" s="27" t="s">
        <v>536</v>
      </c>
      <c r="B77">
        <f>SUM(B74:B76)</f>
        <v>12683.3</v>
      </c>
    </row>
    <row r="78" spans="1:3" x14ac:dyDescent="0.25">
      <c r="A78" s="27" t="s">
        <v>535</v>
      </c>
      <c r="B78">
        <f>B72-B77</f>
        <v>2316.7000000000007</v>
      </c>
    </row>
    <row r="80" spans="1:3" x14ac:dyDescent="0.25">
      <c r="A80" s="45" t="s">
        <v>489</v>
      </c>
    </row>
    <row r="81" spans="1:3" x14ac:dyDescent="0.25">
      <c r="A81" s="27" t="s">
        <v>497</v>
      </c>
    </row>
    <row r="82" spans="1:3" x14ac:dyDescent="0.25">
      <c r="A82" s="27" t="s">
        <v>498</v>
      </c>
    </row>
    <row r="83" spans="1:3" x14ac:dyDescent="0.25">
      <c r="A83" s="27" t="s">
        <v>499</v>
      </c>
    </row>
    <row r="84" spans="1:3" x14ac:dyDescent="0.25">
      <c r="A84" s="27" t="s">
        <v>527</v>
      </c>
      <c r="B84" s="27">
        <f>(850.39-150)*12</f>
        <v>8404.68</v>
      </c>
    </row>
    <row r="85" spans="1:3" x14ac:dyDescent="0.25">
      <c r="A85" t="s">
        <v>529</v>
      </c>
      <c r="C85" t="s">
        <v>528</v>
      </c>
    </row>
    <row r="87" spans="1:3" x14ac:dyDescent="0.25">
      <c r="A87" s="27" t="s">
        <v>501</v>
      </c>
      <c r="B87">
        <f>SUM(B81:B85)</f>
        <v>8404.68</v>
      </c>
    </row>
    <row r="89" spans="1:3" x14ac:dyDescent="0.25">
      <c r="A89" s="27" t="s">
        <v>509</v>
      </c>
    </row>
    <row r="90" spans="1:3" x14ac:dyDescent="0.25">
      <c r="A90" s="27" t="s">
        <v>77</v>
      </c>
      <c r="B90">
        <v>13881.15</v>
      </c>
    </row>
    <row r="91" spans="1:3" x14ac:dyDescent="0.25">
      <c r="A91" s="27" t="s">
        <v>502</v>
      </c>
      <c r="B91">
        <v>16767</v>
      </c>
    </row>
    <row r="92" spans="1:3" x14ac:dyDescent="0.25">
      <c r="A92" s="27" t="s">
        <v>537</v>
      </c>
      <c r="B92">
        <f>B78</f>
        <v>2316.7000000000007</v>
      </c>
    </row>
    <row r="93" spans="1:3" x14ac:dyDescent="0.25">
      <c r="A93" s="27"/>
    </row>
    <row r="94" spans="1:3" x14ac:dyDescent="0.25">
      <c r="A94" s="27" t="s">
        <v>508</v>
      </c>
      <c r="B94">
        <f>SUM(B90:B92)</f>
        <v>32964.850000000006</v>
      </c>
    </row>
    <row r="95" spans="1:3" x14ac:dyDescent="0.25">
      <c r="A95" s="27"/>
    </row>
    <row r="96" spans="1:3" x14ac:dyDescent="0.25">
      <c r="A96" s="27" t="s">
        <v>510</v>
      </c>
      <c r="B96">
        <f>B94-B87</f>
        <v>24560.170000000006</v>
      </c>
    </row>
    <row r="98" spans="1:3" x14ac:dyDescent="0.25">
      <c r="A98" s="27" t="s">
        <v>505</v>
      </c>
    </row>
    <row r="99" spans="1:3" x14ac:dyDescent="0.25">
      <c r="A99" s="27" t="s">
        <v>506</v>
      </c>
      <c r="B99" s="27"/>
    </row>
    <row r="100" spans="1:3" x14ac:dyDescent="0.25">
      <c r="A100" s="27" t="s">
        <v>507</v>
      </c>
      <c r="B100" s="27"/>
    </row>
    <row r="101" spans="1:3" x14ac:dyDescent="0.25">
      <c r="A101" s="27" t="s">
        <v>511</v>
      </c>
      <c r="B101">
        <v>910.51</v>
      </c>
    </row>
    <row r="102" spans="1:3" x14ac:dyDescent="0.25">
      <c r="A102" s="27" t="s">
        <v>512</v>
      </c>
      <c r="B102">
        <f>SUM(B98:B101)</f>
        <v>910.51</v>
      </c>
    </row>
    <row r="104" spans="1:3" x14ac:dyDescent="0.25">
      <c r="A104" s="27" t="s">
        <v>514</v>
      </c>
      <c r="B104">
        <f>B102-B96</f>
        <v>-23649.660000000007</v>
      </c>
    </row>
    <row r="105" spans="1:3" x14ac:dyDescent="0.25">
      <c r="A105" s="64" t="s">
        <v>504</v>
      </c>
      <c r="B105">
        <v>8305.41</v>
      </c>
    </row>
    <row r="107" spans="1:3" x14ac:dyDescent="0.25">
      <c r="A107" s="27" t="s">
        <v>515</v>
      </c>
      <c r="B107" s="65">
        <f>B104-B105</f>
        <v>-31955.070000000007</v>
      </c>
      <c r="C107" s="27" t="s">
        <v>516</v>
      </c>
    </row>
    <row r="110" spans="1:3" ht="37.5" x14ac:dyDescent="0.25">
      <c r="A110" s="51" t="s">
        <v>513</v>
      </c>
      <c r="B110" s="57">
        <v>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January-13</vt:lpstr>
      <vt:lpstr>Februray-13</vt:lpstr>
      <vt:lpstr>March - 13</vt:lpstr>
      <vt:lpstr>Apr - 13</vt:lpstr>
      <vt:lpstr>Aug - 13</vt:lpstr>
      <vt:lpstr>Sep - 13</vt:lpstr>
      <vt:lpstr>Nov - 13</vt:lpstr>
      <vt:lpstr>Dec - 13</vt:lpstr>
      <vt:lpstr>Jul - 14</vt:lpstr>
      <vt:lpstr>Nov - 14</vt:lpstr>
      <vt:lpstr>May - 15</vt:lpstr>
      <vt:lpstr>July - 15</vt:lpstr>
      <vt:lpstr>Nov-16</vt:lpstr>
      <vt:lpstr>Aug-17</vt:lpstr>
      <vt:lpstr>Sep-17</vt:lpstr>
      <vt:lpstr>Feb-18</vt:lpstr>
      <vt:lpstr>Jan-19</vt:lpstr>
      <vt:lpstr>May-19</vt:lpstr>
      <vt:lpstr>Monthly Budget b4 19</vt:lpstr>
      <vt:lpstr>Monthly Budget 19</vt:lpstr>
      <vt:lpstr>Monthly Budget 19 mid</vt:lpstr>
      <vt:lpstr>Monthly Budget Jan 20</vt:lpstr>
    </vt:vector>
  </TitlesOfParts>
  <Company>PNC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xaxsg44</dc:creator>
  <cp:lastModifiedBy>Sultan, Awais</cp:lastModifiedBy>
  <dcterms:created xsi:type="dcterms:W3CDTF">2013-01-24T23:34:52Z</dcterms:created>
  <dcterms:modified xsi:type="dcterms:W3CDTF">2020-02-23T10:28:20Z</dcterms:modified>
</cp:coreProperties>
</file>