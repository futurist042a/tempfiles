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-Documents\CarryForward\Budget\"/>
    </mc:Choice>
  </mc:AlternateContent>
  <bookViews>
    <workbookView xWindow="0" yWindow="456" windowWidth="28800" windowHeight="17460"/>
  </bookViews>
  <sheets>
    <sheet name="For ALL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0" i="1" l="1"/>
  <c r="B69" i="1"/>
  <c r="B68" i="1"/>
  <c r="B67" i="1"/>
  <c r="B71" i="1" s="1"/>
  <c r="B58" i="1" l="1"/>
  <c r="B60" i="1"/>
  <c r="B59" i="1"/>
  <c r="B51" i="1"/>
  <c r="B50" i="1"/>
  <c r="B49" i="1"/>
  <c r="B39" i="1"/>
  <c r="B43" i="1" s="1"/>
  <c r="B52" i="1" s="1"/>
  <c r="B42" i="1"/>
  <c r="B41" i="1"/>
  <c r="B40" i="1"/>
  <c r="B31" i="1"/>
  <c r="B30" i="1"/>
  <c r="B53" i="1" l="1"/>
  <c r="B61" i="1" s="1"/>
  <c r="B62" i="1"/>
</calcChain>
</file>

<file path=xl/sharedStrings.xml><?xml version="1.0" encoding="utf-8"?>
<sst xmlns="http://schemas.openxmlformats.org/spreadsheetml/2006/main" count="66" uniqueCount="46">
  <si>
    <t>Paid till March 15 2015</t>
  </si>
  <si>
    <t>Paid on Aug 05 2015 till Jul 15 2015
2380 + 20 for four months.</t>
  </si>
  <si>
    <t>__________________</t>
  </si>
  <si>
    <t>Need to pay for remaining 6 months - valid till 01/15/2015</t>
  </si>
  <si>
    <t>Paid on 01/07/16</t>
  </si>
  <si>
    <t>For my Sweet Mother's eye operation</t>
  </si>
  <si>
    <t>Subs</t>
  </si>
  <si>
    <t>Add</t>
  </si>
  <si>
    <t>For whole year of 2015</t>
  </si>
  <si>
    <t>_________________</t>
  </si>
  <si>
    <t>____________________</t>
  </si>
  <si>
    <t>Valid till 01/15/2015</t>
  </si>
  <si>
    <t>Paid on 11/11/2016</t>
  </si>
  <si>
    <t>Paid on 02/23/2016 arpox</t>
  </si>
  <si>
    <t>Paid on 09/14/2016</t>
  </si>
  <si>
    <t>Months since prev record till 11/15/2016</t>
  </si>
  <si>
    <t>Total Amount Expected</t>
  </si>
  <si>
    <t>Paid so far</t>
  </si>
  <si>
    <t xml:space="preserve">Paid around June-July </t>
  </si>
  <si>
    <t>Subs, 20 by Mamoo Naeem. 200 are still remaining in my acct from Mamoo Naeem.</t>
  </si>
  <si>
    <t>Remaining till 11/15/16</t>
  </si>
  <si>
    <t xml:space="preserve"> Evaluated on 8/10/2017  2:37:00 AM</t>
  </si>
  <si>
    <t>However 200 Mamoo Naeem's remaining.</t>
  </si>
  <si>
    <t>Paid on 1/13/17 for months, 12/15/16 and 1/15/17</t>
  </si>
  <si>
    <t>Months since prev record on 11/11/16 till 08/15/17</t>
  </si>
  <si>
    <t xml:space="preserve">Paid so far </t>
  </si>
  <si>
    <t>Paid 1400 Then subtract 5 dollar WU fees and 200 was Mamoo Naeem's. No Mamoo Naeem's donation remaining now. So debt payment should be considered 1195</t>
  </si>
  <si>
    <t>Arrpox. Paid on 1/13/17 for months, 12/15/16 and 1/15/17</t>
  </si>
  <si>
    <t xml:space="preserve">Approx. Paid so far </t>
  </si>
  <si>
    <t>2 months * 600. Sometimes 5 to 10 dollars go up/down because of the exchange rate.</t>
  </si>
  <si>
    <t>Amounts covered * 600. Sometimes 5 to 10 dollars go up/down because of the exchange rate.</t>
  </si>
  <si>
    <t>Remaining till 8/15/17</t>
  </si>
  <si>
    <t>Remainging from last Evaluation</t>
  </si>
  <si>
    <t xml:space="preserve"> Evaluated on 9/04/2017  2:50:00 AM</t>
  </si>
  <si>
    <t>Months since prev record on 8/10/17 till 09/15/17</t>
  </si>
  <si>
    <t>Paid since last record</t>
  </si>
  <si>
    <t xml:space="preserve">Total new Amount Expected </t>
  </si>
  <si>
    <t>Total new Amount Expected</t>
  </si>
  <si>
    <t>Approx. Paid since last record</t>
  </si>
  <si>
    <t xml:space="preserve"> Evaluated on 12/10/2017  12:12:00 AM</t>
  </si>
  <si>
    <t>Months since prev record on 09/04/17 till 12/15/17</t>
  </si>
  <si>
    <t>Remaining till 9/15/17</t>
  </si>
  <si>
    <t>Remaining till 12/15/17</t>
  </si>
  <si>
    <t xml:space="preserve"> Evaluated on 2/06/2018  8:14:00 PM</t>
  </si>
  <si>
    <t>Months since prev record on 12/15/17 till 1/15/18</t>
  </si>
  <si>
    <t>Remaining till 1/15/18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</si>
</sst>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abSelected="1" topLeftCell="A42" workbookViewId="0">
      <selection activeCell="C68" sqref="C68"/>
    </sheetView>
  </sheetViews>
  <sheetFormatPr defaultColWidth="8.77734375" defaultRowHeight="14.4" x14ac:dyDescent="0.3"/>
  <cols>
    <col min="1" max="1" width="49" bestFit="1" customWidth="1"/>
    <col min="3" max="3" width="123.77734375" bestFit="1" customWidth="1"/>
  </cols>
  <sheetData>
    <row r="1" spans="1:3" x14ac:dyDescent="0.3">
      <c r="A1" t="s">
        <v>8</v>
      </c>
      <c r="B1" s="3">
        <v>7200</v>
      </c>
    </row>
    <row r="3" spans="1:3" x14ac:dyDescent="0.3">
      <c r="A3" t="s">
        <v>9</v>
      </c>
    </row>
    <row r="5" spans="1:3" x14ac:dyDescent="0.3">
      <c r="A5" s="1">
        <v>42365</v>
      </c>
    </row>
    <row r="7" spans="1:3" x14ac:dyDescent="0.3">
      <c r="A7" t="s">
        <v>0</v>
      </c>
      <c r="B7">
        <v>1200</v>
      </c>
      <c r="C7" t="s">
        <v>6</v>
      </c>
    </row>
    <row r="8" spans="1:3" ht="28.8" x14ac:dyDescent="0.3">
      <c r="A8" s="2" t="s">
        <v>1</v>
      </c>
      <c r="B8">
        <v>2400</v>
      </c>
      <c r="C8" t="s">
        <v>6</v>
      </c>
    </row>
    <row r="10" spans="1:3" x14ac:dyDescent="0.3">
      <c r="A10" t="s">
        <v>3</v>
      </c>
      <c r="B10" s="3">
        <v>3600</v>
      </c>
    </row>
    <row r="12" spans="1:3" x14ac:dyDescent="0.3">
      <c r="A12" t="s">
        <v>2</v>
      </c>
    </row>
    <row r="14" spans="1:3" x14ac:dyDescent="0.3">
      <c r="A14" s="1">
        <v>42380</v>
      </c>
    </row>
    <row r="16" spans="1:3" x14ac:dyDescent="0.3">
      <c r="A16" t="s">
        <v>4</v>
      </c>
      <c r="B16">
        <v>2000</v>
      </c>
      <c r="C16" t="s">
        <v>6</v>
      </c>
    </row>
    <row r="17" spans="1:3" x14ac:dyDescent="0.3">
      <c r="A17" t="s">
        <v>5</v>
      </c>
      <c r="B17">
        <v>400</v>
      </c>
      <c r="C17" t="s">
        <v>7</v>
      </c>
    </row>
    <row r="19" spans="1:3" x14ac:dyDescent="0.3">
      <c r="A19" t="s">
        <v>11</v>
      </c>
      <c r="B19" s="3">
        <v>2000</v>
      </c>
    </row>
    <row r="21" spans="1:3" x14ac:dyDescent="0.3">
      <c r="A21" t="s">
        <v>10</v>
      </c>
    </row>
    <row r="23" spans="1:3" x14ac:dyDescent="0.3">
      <c r="A23" s="1">
        <v>42685</v>
      </c>
    </row>
    <row r="25" spans="1:3" x14ac:dyDescent="0.3">
      <c r="A25" t="s">
        <v>13</v>
      </c>
      <c r="B25">
        <v>2600</v>
      </c>
      <c r="C25" t="s">
        <v>6</v>
      </c>
    </row>
    <row r="26" spans="1:3" x14ac:dyDescent="0.3">
      <c r="A26" t="s">
        <v>18</v>
      </c>
      <c r="B26">
        <v>3000</v>
      </c>
      <c r="C26" t="s">
        <v>6</v>
      </c>
    </row>
    <row r="27" spans="1:3" x14ac:dyDescent="0.3">
      <c r="A27" t="s">
        <v>14</v>
      </c>
      <c r="B27">
        <v>1190</v>
      </c>
      <c r="C27" t="s">
        <v>6</v>
      </c>
    </row>
    <row r="28" spans="1:3" x14ac:dyDescent="0.3">
      <c r="A28" t="s">
        <v>12</v>
      </c>
      <c r="B28">
        <v>1210</v>
      </c>
      <c r="C28" t="s">
        <v>19</v>
      </c>
    </row>
    <row r="29" spans="1:3" x14ac:dyDescent="0.3">
      <c r="A29" t="s">
        <v>15</v>
      </c>
      <c r="B29">
        <v>10</v>
      </c>
    </row>
    <row r="30" spans="1:3" x14ac:dyDescent="0.3">
      <c r="A30" t="s">
        <v>16</v>
      </c>
      <c r="B30">
        <f>B19+10*600</f>
        <v>8000</v>
      </c>
    </row>
    <row r="31" spans="1:3" x14ac:dyDescent="0.3">
      <c r="A31" t="s">
        <v>17</v>
      </c>
      <c r="B31" s="3">
        <f>SUM(B25:B28)</f>
        <v>8000</v>
      </c>
    </row>
    <row r="32" spans="1:3" x14ac:dyDescent="0.3">
      <c r="A32" t="s">
        <v>20</v>
      </c>
      <c r="B32" s="3">
        <v>0</v>
      </c>
      <c r="C32" t="s">
        <v>22</v>
      </c>
    </row>
    <row r="34" spans="1:3" x14ac:dyDescent="0.3">
      <c r="A34" s="4" t="s">
        <v>21</v>
      </c>
    </row>
    <row r="36" spans="1:3" x14ac:dyDescent="0.3">
      <c r="A36" t="s">
        <v>23</v>
      </c>
      <c r="B36">
        <v>1195</v>
      </c>
      <c r="C36" t="s">
        <v>26</v>
      </c>
    </row>
    <row r="37" spans="1:3" x14ac:dyDescent="0.3">
      <c r="A37" t="s">
        <v>27</v>
      </c>
      <c r="B37">
        <v>1200</v>
      </c>
      <c r="C37" t="s">
        <v>29</v>
      </c>
    </row>
    <row r="38" spans="1:3" x14ac:dyDescent="0.3">
      <c r="A38" t="s">
        <v>24</v>
      </c>
      <c r="B38">
        <v>9</v>
      </c>
    </row>
    <row r="39" spans="1:3" x14ac:dyDescent="0.3">
      <c r="A39" t="s">
        <v>36</v>
      </c>
      <c r="B39" s="3">
        <f>B38*600</f>
        <v>5400</v>
      </c>
    </row>
    <row r="40" spans="1:3" x14ac:dyDescent="0.3">
      <c r="A40" t="s">
        <v>25</v>
      </c>
      <c r="B40" s="3">
        <f>B36</f>
        <v>1195</v>
      </c>
    </row>
    <row r="41" spans="1:3" x14ac:dyDescent="0.3">
      <c r="A41" t="s">
        <v>28</v>
      </c>
      <c r="B41" s="3">
        <f>B37</f>
        <v>1200</v>
      </c>
      <c r="C41" t="s">
        <v>30</v>
      </c>
    </row>
    <row r="42" spans="1:3" x14ac:dyDescent="0.3">
      <c r="A42" t="s">
        <v>32</v>
      </c>
      <c r="B42" s="3">
        <f>B32</f>
        <v>0</v>
      </c>
    </row>
    <row r="43" spans="1:3" x14ac:dyDescent="0.3">
      <c r="A43" t="s">
        <v>31</v>
      </c>
      <c r="B43" s="3">
        <f>B39-B41+B42</f>
        <v>4200</v>
      </c>
    </row>
    <row r="45" spans="1:3" x14ac:dyDescent="0.3">
      <c r="A45" s="4" t="s">
        <v>33</v>
      </c>
    </row>
    <row r="46" spans="1:3" x14ac:dyDescent="0.3">
      <c r="A46" t="s">
        <v>35</v>
      </c>
      <c r="B46">
        <v>0</v>
      </c>
    </row>
    <row r="47" spans="1:3" x14ac:dyDescent="0.3">
      <c r="A47" t="s">
        <v>38</v>
      </c>
      <c r="B47">
        <v>0</v>
      </c>
    </row>
    <row r="48" spans="1:3" x14ac:dyDescent="0.3">
      <c r="A48" t="s">
        <v>34</v>
      </c>
      <c r="B48">
        <v>1</v>
      </c>
    </row>
    <row r="49" spans="1:2" x14ac:dyDescent="0.3">
      <c r="A49" t="s">
        <v>37</v>
      </c>
      <c r="B49" s="3">
        <f>B48*600</f>
        <v>600</v>
      </c>
    </row>
    <row r="50" spans="1:2" x14ac:dyDescent="0.3">
      <c r="A50" t="s">
        <v>25</v>
      </c>
      <c r="B50" s="3">
        <f>B46</f>
        <v>0</v>
      </c>
    </row>
    <row r="51" spans="1:2" x14ac:dyDescent="0.3">
      <c r="A51" t="s">
        <v>28</v>
      </c>
      <c r="B51" s="3">
        <f>B47</f>
        <v>0</v>
      </c>
    </row>
    <row r="52" spans="1:2" x14ac:dyDescent="0.3">
      <c r="A52" t="s">
        <v>32</v>
      </c>
      <c r="B52" s="3">
        <f>B43</f>
        <v>4200</v>
      </c>
    </row>
    <row r="53" spans="1:2" x14ac:dyDescent="0.3">
      <c r="A53" t="s">
        <v>41</v>
      </c>
      <c r="B53" s="3">
        <f>B49-B51+B52</f>
        <v>4800</v>
      </c>
    </row>
    <row r="54" spans="1:2" x14ac:dyDescent="0.3">
      <c r="A54" s="4" t="s">
        <v>39</v>
      </c>
    </row>
    <row r="55" spans="1:2" x14ac:dyDescent="0.3">
      <c r="A55" t="s">
        <v>35</v>
      </c>
      <c r="B55">
        <v>0</v>
      </c>
    </row>
    <row r="56" spans="1:2" x14ac:dyDescent="0.3">
      <c r="A56" t="s">
        <v>38</v>
      </c>
      <c r="B56">
        <v>0</v>
      </c>
    </row>
    <row r="57" spans="1:2" x14ac:dyDescent="0.3">
      <c r="A57" t="s">
        <v>40</v>
      </c>
      <c r="B57">
        <v>3</v>
      </c>
    </row>
    <row r="58" spans="1:2" x14ac:dyDescent="0.3">
      <c r="A58" t="s">
        <v>37</v>
      </c>
      <c r="B58" s="3">
        <f>B57*600</f>
        <v>1800</v>
      </c>
    </row>
    <row r="59" spans="1:2" x14ac:dyDescent="0.3">
      <c r="A59" t="s">
        <v>25</v>
      </c>
      <c r="B59" s="3">
        <f>B55</f>
        <v>0</v>
      </c>
    </row>
    <row r="60" spans="1:2" x14ac:dyDescent="0.3">
      <c r="A60" t="s">
        <v>28</v>
      </c>
      <c r="B60" s="3">
        <f>B56</f>
        <v>0</v>
      </c>
    </row>
    <row r="61" spans="1:2" x14ac:dyDescent="0.3">
      <c r="A61" t="s">
        <v>32</v>
      </c>
      <c r="B61" s="3">
        <f>B53</f>
        <v>4800</v>
      </c>
    </row>
    <row r="62" spans="1:2" x14ac:dyDescent="0.3">
      <c r="A62" t="s">
        <v>42</v>
      </c>
      <c r="B62" s="3">
        <f>B58-B60+B61</f>
        <v>6600</v>
      </c>
    </row>
    <row r="63" spans="1:2" x14ac:dyDescent="0.3">
      <c r="A63" s="4" t="s">
        <v>43</v>
      </c>
    </row>
    <row r="64" spans="1:2" x14ac:dyDescent="0.3">
      <c r="A64" t="s">
        <v>35</v>
      </c>
      <c r="B64">
        <v>0</v>
      </c>
    </row>
    <row r="65" spans="1:2" x14ac:dyDescent="0.3">
      <c r="A65" t="s">
        <v>38</v>
      </c>
      <c r="B65">
        <v>0</v>
      </c>
    </row>
    <row r="66" spans="1:2" x14ac:dyDescent="0.3">
      <c r="A66" t="s">
        <v>44</v>
      </c>
      <c r="B66">
        <v>1</v>
      </c>
    </row>
    <row r="67" spans="1:2" x14ac:dyDescent="0.3">
      <c r="A67" t="s">
        <v>37</v>
      </c>
      <c r="B67" s="3">
        <f>B66*600</f>
        <v>600</v>
      </c>
    </row>
    <row r="68" spans="1:2" x14ac:dyDescent="0.3">
      <c r="A68" t="s">
        <v>25</v>
      </c>
      <c r="B68" s="3">
        <f>B64</f>
        <v>0</v>
      </c>
    </row>
    <row r="69" spans="1:2" x14ac:dyDescent="0.3">
      <c r="A69" t="s">
        <v>28</v>
      </c>
      <c r="B69" s="3">
        <f>B65</f>
        <v>0</v>
      </c>
    </row>
    <row r="70" spans="1:2" x14ac:dyDescent="0.3">
      <c r="A70" t="s">
        <v>32</v>
      </c>
      <c r="B70" s="3">
        <f>B62</f>
        <v>6600</v>
      </c>
    </row>
    <row r="71" spans="1:2" x14ac:dyDescent="0.3">
      <c r="A71" t="s">
        <v>45</v>
      </c>
      <c r="B71" s="3">
        <f>B67-B69+B70</f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ALL</vt:lpstr>
    </vt:vector>
  </TitlesOfParts>
  <Company>PNC Bank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Sultan</dc:creator>
  <cp:lastModifiedBy>Sultan, Awais</cp:lastModifiedBy>
  <dcterms:created xsi:type="dcterms:W3CDTF">2015-09-19T02:09:51Z</dcterms:created>
  <dcterms:modified xsi:type="dcterms:W3CDTF">2018-06-21T16:56:49Z</dcterms:modified>
</cp:coreProperties>
</file>