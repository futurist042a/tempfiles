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AXSULT1\Documents\AXSULT1-Workspace\Personal-Documents\CarryForward\Budget\"/>
    </mc:Choice>
  </mc:AlternateContent>
  <xr:revisionPtr revIDLastSave="0" documentId="13_ncr:1_{95F68923-5DDB-4F62-9853-1EB66702EFC3}" xr6:coauthVersionLast="36" xr6:coauthVersionMax="36" xr10:uidLastSave="{00000000-0000-0000-0000-000000000000}"/>
  <bookViews>
    <workbookView xWindow="0" yWindow="0" windowWidth="19170" windowHeight="7170" xr2:uid="{00000000-000D-0000-FFFF-FFFF00000000}"/>
  </bookViews>
  <sheets>
    <sheet name="Sheet1" sheetId="1" r:id="rId1"/>
    <sheet name="Lengends" sheetId="3" r:id="rId2"/>
    <sheet name="Deb Collector Call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96" i="1" l="1"/>
  <c r="H61" i="1"/>
  <c r="H88" i="1" s="1"/>
  <c r="B88" i="1"/>
  <c r="B81" i="1"/>
  <c r="H80" i="1"/>
  <c r="H87" i="1"/>
  <c r="B80" i="1"/>
  <c r="H79" i="1"/>
  <c r="H82" i="1"/>
  <c r="H83" i="1"/>
  <c r="H84" i="1"/>
  <c r="H85" i="1"/>
  <c r="B78" i="1"/>
  <c r="B79" i="1"/>
  <c r="B82" i="1"/>
  <c r="B83" i="1"/>
  <c r="B84" i="1"/>
  <c r="B85" i="1"/>
  <c r="B87" i="1"/>
  <c r="B94" i="1"/>
  <c r="B98" i="1" s="1"/>
  <c r="H43" i="1"/>
  <c r="H44" i="1" s="1"/>
  <c r="H46" i="1" s="1"/>
  <c r="H48" i="1" s="1"/>
  <c r="H39" i="1"/>
  <c r="H47" i="1"/>
  <c r="B43" i="1"/>
  <c r="B44" i="1" s="1"/>
  <c r="B46" i="1" s="1"/>
  <c r="B39" i="1"/>
  <c r="H18" i="1"/>
  <c r="B18" i="1"/>
  <c r="B86" i="1" l="1"/>
  <c r="B89" i="1" s="1"/>
  <c r="H81" i="1"/>
  <c r="H78" i="1"/>
  <c r="H86" i="1" s="1"/>
  <c r="H89" i="1" s="1"/>
</calcChain>
</file>

<file path=xl/sharedStrings.xml><?xml version="1.0" encoding="utf-8"?>
<sst xmlns="http://schemas.openxmlformats.org/spreadsheetml/2006/main" count="295" uniqueCount="161">
  <si>
    <t>Amt Charged</t>
  </si>
  <si>
    <t>Paid</t>
  </si>
  <si>
    <t>Provider</t>
  </si>
  <si>
    <t>Paid To</t>
  </si>
  <si>
    <t>NWM</t>
  </si>
  <si>
    <t>Haris &amp; Haris</t>
  </si>
  <si>
    <t>last payment was 06/06/18 for Mekael</t>
  </si>
  <si>
    <t>DOS</t>
  </si>
  <si>
    <t>Description</t>
  </si>
  <si>
    <t>Ear</t>
  </si>
  <si>
    <t>Dr. Name</t>
  </si>
  <si>
    <t>Alexandra downey from Halsted</t>
  </si>
  <si>
    <t>Conf No</t>
  </si>
  <si>
    <t>HEVJWQX</t>
  </si>
  <si>
    <t>HEVSWQX</t>
  </si>
  <si>
    <t>05/29/18, 8/8/18</t>
  </si>
  <si>
    <t>8.39,339.77</t>
  </si>
  <si>
    <t>HEVUWQX</t>
  </si>
  <si>
    <t>HFXYWQX</t>
  </si>
  <si>
    <t>Same as 4 (20$ more why?)</t>
  </si>
  <si>
    <t>Amt breakup</t>
  </si>
  <si>
    <t>Taken from HSA</t>
  </si>
  <si>
    <t>Date Paid</t>
  </si>
  <si>
    <t>02413G</t>
  </si>
  <si>
    <t>Sequenom</t>
  </si>
  <si>
    <t>Credit Collection Services (603 570 4786)</t>
  </si>
  <si>
    <t>Sequenom (Lab used by NWM)</t>
  </si>
  <si>
    <t>Down syndrome test</t>
  </si>
  <si>
    <t>Patient</t>
  </si>
  <si>
    <t>Dania</t>
  </si>
  <si>
    <t>Saliha</t>
  </si>
  <si>
    <t>25,25</t>
  </si>
  <si>
    <t>Dania, Mekael</t>
  </si>
  <si>
    <t>Bridgeport Dental</t>
  </si>
  <si>
    <t>Dental Work</t>
  </si>
  <si>
    <t>Mekael</t>
  </si>
  <si>
    <t>P Hwan</t>
  </si>
  <si>
    <t>P Martin</t>
  </si>
  <si>
    <t>Awais</t>
  </si>
  <si>
    <t>Oxboro</t>
  </si>
  <si>
    <t>B Larson</t>
  </si>
  <si>
    <t>E Umstead</t>
  </si>
  <si>
    <t>Ann &amp; Robert H Lurie</t>
  </si>
  <si>
    <t>W Eppich</t>
  </si>
  <si>
    <t>E Benya</t>
  </si>
  <si>
    <t>American Current</t>
  </si>
  <si>
    <t>M Patel</t>
  </si>
  <si>
    <t>P Lechman</t>
  </si>
  <si>
    <t>N Yaseen</t>
  </si>
  <si>
    <t>M Auger</t>
  </si>
  <si>
    <t>R Tamura</t>
  </si>
  <si>
    <t>A Downing</t>
  </si>
  <si>
    <t>Line 3</t>
  </si>
  <si>
    <t>Line 5 (1/3 frm 339.77 of 2/2 Amt Breakup)</t>
  </si>
  <si>
    <t>Line 5 (2/3 frm 339.77 of 2/2 Amt Breakup)</t>
  </si>
  <si>
    <t>Line 5 (3/3 frm 339.77 of 2/2 Amt Breakup)</t>
  </si>
  <si>
    <t>Line 7</t>
  </si>
  <si>
    <t>Line 5 (8.39 of 1/2 of Amt Breakup)</t>
  </si>
  <si>
    <t>Target (Pharmacy)</t>
  </si>
  <si>
    <t>Walgreens (Pharmacy)</t>
  </si>
  <si>
    <t>YES</t>
  </si>
  <si>
    <t>Total</t>
  </si>
  <si>
    <t>CVS (Pharmacy)</t>
  </si>
  <si>
    <t>Taken from HSA As</t>
  </si>
  <si>
    <t>Yes</t>
  </si>
  <si>
    <t>Direct</t>
  </si>
  <si>
    <t>Mekael/Dania</t>
  </si>
  <si>
    <t>Dental</t>
  </si>
  <si>
    <t>Reimbursed Prev.</t>
  </si>
  <si>
    <t>Reimbursed Prev</t>
  </si>
  <si>
    <t>Already Reimbursed=</t>
  </si>
  <si>
    <t xml:space="preserve">To Be Reimbursed = </t>
  </si>
  <si>
    <t xml:space="preserve">Payment scheduled on </t>
  </si>
  <si>
    <t>11/26/18 7:10AM</t>
  </si>
  <si>
    <t>Payment Confirmed 
(&amp; Update Status on United Insurance)</t>
  </si>
  <si>
    <t>Line 4</t>
  </si>
  <si>
    <t>Resolution: Paid 37.8 as asked by NWM but in insurance claims, its 378, may be under billing by hospital</t>
  </si>
  <si>
    <r>
      <t xml:space="preserve">Not Showing in Family expenses so far
</t>
    </r>
    <r>
      <rPr>
        <sz val="11"/>
        <color rgb="FF0070C0"/>
        <rFont val="Calibri"/>
        <family val="2"/>
        <scheme val="minor"/>
      </rPr>
      <t>Resolution: Now insurance claims that it is 35.29 and it will be showed so in Family deductible met. So I am owed 49.81 by NWM.</t>
    </r>
  </si>
  <si>
    <t xml:space="preserve">Line 6 </t>
  </si>
  <si>
    <t>Resolution: Paid 5.4 as asked by NWM but in insurance claims, its 108. May be under billing by NWM or it may appear in next bill</t>
  </si>
  <si>
    <t>Resolution: Date is actually 11/5/18. Dr. charges are covered 100% as 1 yr medical. But some non preventive tests are not covered under 1 year physical. Like Comprehensive Metabolic Panel not preventive, hemoglobin is not preventive, thyroid, acute hepatitis panel is not preventive, complete blood count is not preventive)</t>
  </si>
  <si>
    <t>01/20/19 6:47pm</t>
  </si>
  <si>
    <t>Reimbursed from HSA</t>
  </si>
  <si>
    <t>Payment confirmed, united insurance Not updated</t>
  </si>
  <si>
    <t>Dos</t>
  </si>
  <si>
    <t>Awais Sultan</t>
  </si>
  <si>
    <t>Amount</t>
  </si>
  <si>
    <t>12/25-12/27</t>
  </si>
  <si>
    <t>Saliha Awais</t>
  </si>
  <si>
    <t>Zaria</t>
  </si>
  <si>
    <t>S Chamlin</t>
  </si>
  <si>
    <t>Zaria skin checkup</t>
  </si>
  <si>
    <t>Dania was complaining for ear pain</t>
  </si>
  <si>
    <t>Doctor on Demand</t>
  </si>
  <si>
    <t>J Welter</t>
  </si>
  <si>
    <t>E Yaghmour</t>
  </si>
  <si>
    <t>Baby birth</t>
  </si>
  <si>
    <t>NWM Medical</t>
  </si>
  <si>
    <t>Pediatrix Newborn</t>
  </si>
  <si>
    <t>A Chandra-puri</t>
  </si>
  <si>
    <t>12/21/18-12/23/18</t>
  </si>
  <si>
    <t>Baby birth. Hospital Room.</t>
  </si>
  <si>
    <t>Yearly Medical</t>
  </si>
  <si>
    <t xml:space="preserve">Dania </t>
  </si>
  <si>
    <t>Problem. Question.</t>
  </si>
  <si>
    <t>Discrepency</t>
  </si>
  <si>
    <t>Old Records carried over.</t>
  </si>
  <si>
    <t>Target</t>
  </si>
  <si>
    <t>Walgreens</t>
  </si>
  <si>
    <t>Reimbursed Issued</t>
  </si>
  <si>
    <t>Same as line 10.</t>
  </si>
  <si>
    <t>Charge Part of line 11.</t>
  </si>
  <si>
    <t>Date Unknown. May be near 05/30/19 at 13:18pm</t>
  </si>
  <si>
    <t>05/30/19 at 1:18pm</t>
  </si>
  <si>
    <t>Should have been 64.49 = H21+H40:H42. Since total Paid and charges are not accounting before H21, so H16&amp;H17 are wrongly added. So add 134.48 in future records for to be reimbursed. Also 198.97 total does not account H21 amount.</t>
  </si>
  <si>
    <t>Amoxicillin oral susp. Dania not feeling well.</t>
  </si>
  <si>
    <t>Target CVS (Pharmacy)</t>
  </si>
  <si>
    <t>J Welter (from line 61)</t>
  </si>
  <si>
    <t>Not Covered Properly</t>
  </si>
  <si>
    <t>70 of zaria expenses should have been paid after applying contract fees/dicsounts and some should have been 100% like medical visits.</t>
  </si>
  <si>
    <t>Total (To Pay)</t>
  </si>
  <si>
    <t>Lurie Hospital</t>
  </si>
  <si>
    <t>Lurie Urgent Care</t>
  </si>
  <si>
    <t>Baby birth. Hospital Room. 544.73 seems due from the bill. 339.77 seems to be paid. Check with Saliha</t>
  </si>
  <si>
    <t>Payment all for Saliha</t>
  </si>
  <si>
    <t>09198G</t>
  </si>
  <si>
    <t>Payment all for Awais</t>
  </si>
  <si>
    <t>04537G</t>
  </si>
  <si>
    <t>NWM didn't charged for it. Don't pick for future, consider resolved.</t>
  </si>
  <si>
    <t>See line 34. Update to the note in line 34 that I made the correct payment.
So NWM does not owe me anything. May be the insurance agent was telling about charges for line 75. Don't pick for future, consider resolved.</t>
  </si>
  <si>
    <t>This seems linked with line 74 that is why colored this way. However this record does not exist in my old records above. NWM didn't charged for it. Don't pick for future, consider resolved</t>
  </si>
  <si>
    <t>See line 35. NWM didn't charged more. Don't pick for future, consider resolved</t>
  </si>
  <si>
    <t>See line 28.  NWM didn't charged more. Don't pick for future, consider resolved</t>
  </si>
  <si>
    <t xml:space="preserve">Previous recs </t>
  </si>
  <si>
    <t>Pharmacy</t>
  </si>
  <si>
    <t>Co-Insurance</t>
  </si>
  <si>
    <t>Never Charged by provider:</t>
  </si>
  <si>
    <t>Paid in current record. So considered part of current record, although it exists in previous record too. See line 38</t>
  </si>
  <si>
    <t>Total remaining</t>
  </si>
  <si>
    <t>Total Amount for Charged Less</t>
  </si>
  <si>
    <t>03808G</t>
  </si>
  <si>
    <t>Amt Charged Less by provider:</t>
  </si>
  <si>
    <t>Amt discounted by provider:</t>
  </si>
  <si>
    <t>Total Amount for discounted</t>
  </si>
  <si>
    <t>Payment all to Lurie (Dania+Zaria)</t>
  </si>
  <si>
    <t>Dental (not registered in current rec)</t>
  </si>
  <si>
    <t>See line 47. HSA amount trnsfr corr</t>
  </si>
  <si>
    <t>Transfer from HSA</t>
  </si>
  <si>
    <t>Claims Reprocessed</t>
  </si>
  <si>
    <t>Hospital Room for baby. Why some of it is not paid?
07/11/19 - Amount charged to me changed from 3,466.50 to 613.80</t>
  </si>
  <si>
    <t>Newborn care. Why some of it is not paid?
07/11/19 - Amount charged to me changed from 287 to 55.46</t>
  </si>
  <si>
    <t>Newborn care. Why some of it is not paid?
07/11/19 - Amount charged to me changed from 239 to 200.57</t>
  </si>
  <si>
    <t>Newborn care. Why some of it is not paid?
07/11/19 - Amount charged to me changed from 216 to 139.20</t>
  </si>
  <si>
    <t>Zaria first medical appointment with doctor. Why not paid by ins?
07/11/19 - Amount charged to me changed from 242 to 0</t>
  </si>
  <si>
    <t>Problems Resolved</t>
  </si>
  <si>
    <t>B63:B66 &amp; B69 had problems and were in red, but now resolved and see description to find out the resolved amount.</t>
  </si>
  <si>
    <t>Payment in 2018</t>
  </si>
  <si>
    <t>Conv with NWM Bill</t>
  </si>
  <si>
    <t>Zaria's claim for 2018 have been reprocessed and corrections have been applied. 
One new update is that Saliha's claim 33, 34 and 35 were also reprocessed by insurance and  100% of them is paid by insurance as they were general pregnancy checkup related. So I should get back 151.03 + 81.84 + 106.9 = 339.77, that I already paid to NWM. 
Now since 339.77 was paid by insurance, that amount will make same amount gap from family deductible limit. That is why Zaria's claims payments that I have to make for 64 and 65 are 139.20 + 200.57 = 339.77, and it is not containing any coinsurance 70% payment from insurance to eventually meet the family deductible limit.
339.77 was paid by NWM to 67. Since as stated above claim 33,34 and 35 were later on 100% paid by insurnace and 339.77 which I orginally paid for these claims became balance due from NWM. But NWM instead of paying it to me, applied that to 67. That is why in 67 comments, I have question that who paid 339.77, but now that question is answered.
08/26/19
Paid 160.45 (got discount) for 65 instead of 200.57, Billed by=Peidatrix Medical Group. Confirmation code is 08038G
Confirmation code is 05684G for payment of 750.06 for following
64 - $97.44 for Dr.Downing (discount 41.76 -Uninsured discount. DOS- 12/23)
66 - $38.82 for Dr.Chandra (discount 16.64 -Uninsured discount. DOS- 12/22)
69 - $613.80 for hospital (Dos- 12/21 - 12/23)
Total to be transferred from HSA = 910.51</t>
  </si>
  <si>
    <t>See description for 101.</t>
  </si>
  <si>
    <t>Paid 02/27/20  at 11:06pm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</si>
</sst>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1"/>
      <color theme="1"/>
      <name val="Calibri"/>
      <family val="2"/>
      <scheme val="minor"/>
    </font>
    <font>
      <sz val="11"/>
      <color rgb="FFFF0000"/>
      <name val="Calibri"/>
      <family val="2"/>
      <scheme val="minor"/>
    </font>
    <font>
      <sz val="11"/>
      <color rgb="FF0070C0"/>
      <name val="Calibri"/>
      <family val="2"/>
      <scheme val="minor"/>
    </font>
    <font>
      <sz val="11"/>
      <color rgb="FF00B050"/>
      <name val="Calibri"/>
      <family val="2"/>
      <scheme val="minor"/>
    </font>
    <font>
      <sz val="11"/>
      <name val="Calibri"/>
      <family val="2"/>
      <scheme val="minor"/>
    </font>
    <font>
      <sz val="11"/>
      <color theme="5"/>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bgColor indexed="64"/>
      </patternFill>
    </fill>
    <fill>
      <patternFill patternType="solid">
        <fgColor theme="7" tint="0.39997558519241921"/>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14" fontId="0" fillId="0" borderId="0" xfId="0" applyNumberFormat="1"/>
    <xf numFmtId="14" fontId="1" fillId="0" borderId="0" xfId="0" applyNumberFormat="1" applyFont="1"/>
    <xf numFmtId="0" fontId="0" fillId="0" borderId="0" xfId="0" applyAlignment="1">
      <alignment wrapText="1"/>
    </xf>
    <xf numFmtId="0" fontId="0" fillId="3" borderId="0" xfId="0" applyFill="1"/>
    <xf numFmtId="14" fontId="0" fillId="2" borderId="1" xfId="0" applyNumberFormat="1" applyFill="1" applyBorder="1"/>
    <xf numFmtId="0" fontId="0" fillId="2" borderId="1" xfId="0" applyFill="1" applyBorder="1"/>
    <xf numFmtId="0" fontId="3" fillId="2" borderId="1" xfId="0" applyFont="1" applyFill="1" applyBorder="1" applyAlignment="1">
      <alignment wrapText="1"/>
    </xf>
    <xf numFmtId="0" fontId="2" fillId="2" borderId="1" xfId="0" applyFont="1" applyFill="1" applyBorder="1" applyAlignment="1">
      <alignment wrapText="1"/>
    </xf>
    <xf numFmtId="0" fontId="4" fillId="0" borderId="0" xfId="0" applyFont="1"/>
    <xf numFmtId="0" fontId="2" fillId="0" borderId="0" xfId="0" applyFont="1" applyAlignment="1">
      <alignment wrapText="1"/>
    </xf>
    <xf numFmtId="0" fontId="0" fillId="4" borderId="0" xfId="0" applyFill="1"/>
    <xf numFmtId="0" fontId="2" fillId="5" borderId="0" xfId="0" applyFont="1" applyFill="1"/>
    <xf numFmtId="0" fontId="6" fillId="7" borderId="0" xfId="0" applyFont="1" applyFill="1"/>
    <xf numFmtId="0" fontId="0" fillId="6" borderId="0" xfId="0" applyFill="1"/>
    <xf numFmtId="0" fontId="0" fillId="4" borderId="0" xfId="0" applyFill="1" applyAlignment="1">
      <alignment wrapText="1"/>
    </xf>
    <xf numFmtId="0" fontId="5" fillId="7" borderId="0" xfId="0" applyFont="1" applyFill="1"/>
    <xf numFmtId="14" fontId="0" fillId="0" borderId="0" xfId="0" applyNumberFormat="1" applyFill="1"/>
    <xf numFmtId="0" fontId="0" fillId="0" borderId="0" xfId="0" applyFill="1"/>
    <xf numFmtId="14" fontId="0" fillId="8" borderId="0" xfId="0" applyNumberFormat="1" applyFill="1"/>
    <xf numFmtId="0" fontId="0" fillId="8" borderId="0" xfId="0" applyFill="1"/>
    <xf numFmtId="0" fontId="0" fillId="8" borderId="0" xfId="0" applyFill="1" applyAlignment="1">
      <alignment wrapText="1"/>
    </xf>
    <xf numFmtId="14" fontId="0" fillId="4" borderId="0" xfId="0" applyNumberFormat="1" applyFill="1"/>
    <xf numFmtId="16" fontId="0" fillId="0" borderId="0" xfId="0" applyNumberFormat="1"/>
    <xf numFmtId="0" fontId="5" fillId="0" borderId="0" xfId="0" applyFont="1" applyFill="1" applyAlignment="1">
      <alignment wrapText="1"/>
    </xf>
    <xf numFmtId="0" fontId="0" fillId="0" borderId="0" xfId="0" applyFill="1" applyAlignment="1">
      <alignment wrapText="1"/>
    </xf>
    <xf numFmtId="0" fontId="5" fillId="0" borderId="0" xfId="0" applyFont="1" applyFill="1"/>
    <xf numFmtId="0" fontId="0" fillId="9"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8"/>
  <sheetViews>
    <sheetView tabSelected="1" zoomScale="80" zoomScaleNormal="80" workbookViewId="0">
      <pane ySplit="470" topLeftCell="A109" activePane="bottomLeft"/>
      <selection pane="bottomLeft" activeCell="E114" sqref="E114"/>
    </sheetView>
  </sheetViews>
  <sheetFormatPr defaultRowHeight="15" x14ac:dyDescent="0.25"/>
  <cols>
    <col min="1" max="1" width="33.85546875" bestFit="1" customWidth="1"/>
    <col min="2" max="2" width="11.42578125" bestFit="1" customWidth="1"/>
    <col min="3" max="3" width="23.28515625" customWidth="1"/>
    <col min="4" max="4" width="12.5703125" bestFit="1" customWidth="1"/>
    <col min="5" max="5" width="26.28515625" bestFit="1" customWidth="1"/>
    <col min="6" max="6" width="29.28515625" bestFit="1" customWidth="1"/>
    <col min="7" max="7" width="11.42578125" customWidth="1"/>
    <col min="8" max="8" width="15.42578125" bestFit="1" customWidth="1"/>
    <col min="9" max="9" width="9.7109375" bestFit="1" customWidth="1"/>
    <col min="10" max="10" width="34.7109375" bestFit="1" customWidth="1"/>
    <col min="11" max="11" width="18.85546875" customWidth="1"/>
    <col min="12" max="12" width="21.85546875" customWidth="1"/>
    <col min="13" max="13" width="69.7109375" customWidth="1"/>
    <col min="14" max="14" width="33" bestFit="1" customWidth="1"/>
  </cols>
  <sheetData>
    <row r="1" spans="1:14" x14ac:dyDescent="0.25">
      <c r="A1" t="s">
        <v>7</v>
      </c>
      <c r="B1" t="s">
        <v>0</v>
      </c>
      <c r="C1" t="s">
        <v>20</v>
      </c>
      <c r="D1" t="s">
        <v>28</v>
      </c>
      <c r="E1" t="s">
        <v>2</v>
      </c>
      <c r="F1" t="s">
        <v>10</v>
      </c>
      <c r="G1" t="s">
        <v>22</v>
      </c>
      <c r="H1" t="s">
        <v>1</v>
      </c>
      <c r="I1" t="s">
        <v>12</v>
      </c>
      <c r="J1" t="s">
        <v>3</v>
      </c>
      <c r="K1" t="s">
        <v>21</v>
      </c>
      <c r="L1" t="s">
        <v>63</v>
      </c>
      <c r="M1" t="s">
        <v>8</v>
      </c>
    </row>
    <row r="2" spans="1:14" s="4" customFormat="1" x14ac:dyDescent="0.25">
      <c r="A2" s="4" t="s">
        <v>19</v>
      </c>
      <c r="B2" s="4">
        <v>57.8</v>
      </c>
      <c r="D2" s="4" t="s">
        <v>30</v>
      </c>
      <c r="E2" s="4" t="s">
        <v>4</v>
      </c>
      <c r="J2" s="4" t="s">
        <v>5</v>
      </c>
      <c r="N2" s="4" t="s">
        <v>6</v>
      </c>
    </row>
    <row r="3" spans="1:14" x14ac:dyDescent="0.25">
      <c r="A3" s="1">
        <v>43384</v>
      </c>
      <c r="B3">
        <v>85.1</v>
      </c>
      <c r="D3" t="s">
        <v>29</v>
      </c>
      <c r="E3" t="s">
        <v>4</v>
      </c>
      <c r="F3" t="s">
        <v>11</v>
      </c>
      <c r="G3" s="1">
        <v>43410</v>
      </c>
      <c r="H3">
        <v>85.1</v>
      </c>
      <c r="I3" t="s">
        <v>13</v>
      </c>
      <c r="J3" t="s">
        <v>4</v>
      </c>
      <c r="M3" t="s">
        <v>9</v>
      </c>
    </row>
    <row r="4" spans="1:14" x14ac:dyDescent="0.25">
      <c r="A4" s="1">
        <v>43249</v>
      </c>
      <c r="B4">
        <v>37.799999999999997</v>
      </c>
      <c r="D4" t="s">
        <v>30</v>
      </c>
      <c r="E4" t="s">
        <v>4</v>
      </c>
      <c r="G4" s="1">
        <v>43410</v>
      </c>
      <c r="H4">
        <v>37.799999999999997</v>
      </c>
      <c r="I4" t="s">
        <v>14</v>
      </c>
      <c r="J4" t="s">
        <v>4</v>
      </c>
    </row>
    <row r="5" spans="1:14" x14ac:dyDescent="0.25">
      <c r="A5" t="s">
        <v>15</v>
      </c>
      <c r="B5">
        <v>348.16</v>
      </c>
      <c r="C5" t="s">
        <v>16</v>
      </c>
      <c r="D5" t="s">
        <v>30</v>
      </c>
      <c r="E5" t="s">
        <v>4</v>
      </c>
      <c r="G5" s="1">
        <v>43410</v>
      </c>
      <c r="H5">
        <v>348.16</v>
      </c>
      <c r="I5" t="s">
        <v>17</v>
      </c>
      <c r="J5" t="s">
        <v>4</v>
      </c>
    </row>
    <row r="6" spans="1:14" x14ac:dyDescent="0.25">
      <c r="A6" s="1">
        <v>43383</v>
      </c>
      <c r="B6">
        <v>5.4</v>
      </c>
      <c r="D6" t="s">
        <v>30</v>
      </c>
      <c r="E6" t="s">
        <v>4</v>
      </c>
      <c r="G6" s="1">
        <v>43410</v>
      </c>
      <c r="H6">
        <v>5.4</v>
      </c>
      <c r="I6" t="s">
        <v>18</v>
      </c>
      <c r="J6" t="s">
        <v>4</v>
      </c>
    </row>
    <row r="7" spans="1:14" x14ac:dyDescent="0.25">
      <c r="A7" s="1">
        <v>43293</v>
      </c>
      <c r="B7">
        <v>765</v>
      </c>
      <c r="D7" t="s">
        <v>30</v>
      </c>
      <c r="E7" t="s">
        <v>26</v>
      </c>
      <c r="G7" s="1">
        <v>43425</v>
      </c>
      <c r="H7">
        <v>612</v>
      </c>
      <c r="I7" t="s">
        <v>23</v>
      </c>
      <c r="J7" t="s">
        <v>25</v>
      </c>
      <c r="M7" t="s">
        <v>27</v>
      </c>
    </row>
    <row r="8" spans="1:14" x14ac:dyDescent="0.25">
      <c r="A8" s="1">
        <v>43411</v>
      </c>
      <c r="B8">
        <v>50</v>
      </c>
      <c r="C8" t="s">
        <v>31</v>
      </c>
      <c r="D8" t="s">
        <v>32</v>
      </c>
      <c r="E8" t="s">
        <v>33</v>
      </c>
      <c r="G8" s="1">
        <v>43411</v>
      </c>
      <c r="H8">
        <v>50</v>
      </c>
      <c r="J8" t="s">
        <v>33</v>
      </c>
      <c r="M8" t="s">
        <v>34</v>
      </c>
    </row>
    <row r="9" spans="1:14" x14ac:dyDescent="0.25">
      <c r="A9" s="1"/>
      <c r="G9" s="1"/>
    </row>
    <row r="10" spans="1:14" x14ac:dyDescent="0.25">
      <c r="A10" s="1">
        <v>43053</v>
      </c>
      <c r="B10">
        <v>13.72</v>
      </c>
      <c r="D10" t="s">
        <v>38</v>
      </c>
      <c r="E10" t="s">
        <v>58</v>
      </c>
      <c r="G10" s="1"/>
      <c r="H10">
        <v>13.72</v>
      </c>
      <c r="J10" t="s">
        <v>107</v>
      </c>
      <c r="K10" t="s">
        <v>60</v>
      </c>
      <c r="L10" t="s">
        <v>65</v>
      </c>
    </row>
    <row r="11" spans="1:14" x14ac:dyDescent="0.25">
      <c r="A11" s="1">
        <v>43179</v>
      </c>
      <c r="B11">
        <v>15.56</v>
      </c>
      <c r="D11" t="s">
        <v>30</v>
      </c>
      <c r="E11" t="s">
        <v>59</v>
      </c>
      <c r="G11" s="1"/>
      <c r="H11">
        <v>15.56</v>
      </c>
      <c r="J11" t="s">
        <v>108</v>
      </c>
      <c r="K11" t="s">
        <v>64</v>
      </c>
      <c r="L11" t="s">
        <v>65</v>
      </c>
    </row>
    <row r="13" spans="1:14" x14ac:dyDescent="0.25">
      <c r="A13" s="2">
        <v>43429</v>
      </c>
    </row>
    <row r="14" spans="1:14" x14ac:dyDescent="0.25">
      <c r="A14" s="1">
        <v>43098</v>
      </c>
      <c r="B14">
        <v>140.93</v>
      </c>
      <c r="D14" t="s">
        <v>35</v>
      </c>
      <c r="E14" t="s">
        <v>4</v>
      </c>
      <c r="F14" t="s">
        <v>36</v>
      </c>
      <c r="H14">
        <v>140.93</v>
      </c>
      <c r="K14" t="s">
        <v>64</v>
      </c>
      <c r="L14" t="s">
        <v>109</v>
      </c>
    </row>
    <row r="15" spans="1:14" x14ac:dyDescent="0.25">
      <c r="A15" s="1">
        <v>43095</v>
      </c>
      <c r="B15">
        <v>140.93</v>
      </c>
      <c r="D15" t="s">
        <v>35</v>
      </c>
      <c r="E15" t="s">
        <v>4</v>
      </c>
      <c r="F15" t="s">
        <v>37</v>
      </c>
      <c r="H15">
        <v>140.93</v>
      </c>
      <c r="K15" t="s">
        <v>64</v>
      </c>
      <c r="L15" t="s">
        <v>109</v>
      </c>
    </row>
    <row r="16" spans="1:14" x14ac:dyDescent="0.25">
      <c r="A16" s="1">
        <v>43052</v>
      </c>
      <c r="B16">
        <v>164.32</v>
      </c>
      <c r="D16" t="s">
        <v>38</v>
      </c>
      <c r="E16" t="s">
        <v>39</v>
      </c>
      <c r="F16" t="s">
        <v>40</v>
      </c>
      <c r="G16" s="1">
        <v>43215</v>
      </c>
      <c r="H16">
        <v>134.63999999999999</v>
      </c>
      <c r="K16" t="s">
        <v>64</v>
      </c>
      <c r="L16" t="s">
        <v>65</v>
      </c>
    </row>
    <row r="17" spans="1:13" x14ac:dyDescent="0.25">
      <c r="A17" s="1">
        <v>43053</v>
      </c>
      <c r="B17">
        <v>13.72</v>
      </c>
      <c r="D17" t="s">
        <v>38</v>
      </c>
      <c r="E17" t="s">
        <v>58</v>
      </c>
      <c r="G17" s="1">
        <v>43250</v>
      </c>
      <c r="H17">
        <v>13.72</v>
      </c>
      <c r="K17" t="s">
        <v>64</v>
      </c>
      <c r="L17" t="s">
        <v>69</v>
      </c>
      <c r="M17" t="s">
        <v>110</v>
      </c>
    </row>
    <row r="18" spans="1:13" x14ac:dyDescent="0.25">
      <c r="A18" s="1" t="s">
        <v>61</v>
      </c>
      <c r="B18">
        <f>SUM(B14:B17)</f>
        <v>459.90000000000003</v>
      </c>
      <c r="H18">
        <f>SUM(H14:H17)</f>
        <v>430.22</v>
      </c>
    </row>
    <row r="19" spans="1:13" x14ac:dyDescent="0.25">
      <c r="A19" s="1"/>
    </row>
    <row r="20" spans="1:13" ht="30" x14ac:dyDescent="0.25">
      <c r="A20" s="15" t="s">
        <v>112</v>
      </c>
    </row>
    <row r="21" spans="1:13" x14ac:dyDescent="0.25">
      <c r="A21" s="1">
        <v>43103</v>
      </c>
      <c r="B21">
        <v>17.34</v>
      </c>
      <c r="D21" t="s">
        <v>35</v>
      </c>
      <c r="E21" t="s">
        <v>42</v>
      </c>
      <c r="F21" t="s">
        <v>41</v>
      </c>
      <c r="H21">
        <v>13.88</v>
      </c>
      <c r="K21" t="s">
        <v>64</v>
      </c>
      <c r="L21" t="s">
        <v>109</v>
      </c>
    </row>
    <row r="22" spans="1:13" x14ac:dyDescent="0.25">
      <c r="A22" s="1">
        <v>43103</v>
      </c>
      <c r="B22">
        <v>1075</v>
      </c>
      <c r="D22" t="s">
        <v>35</v>
      </c>
      <c r="E22" t="s">
        <v>42</v>
      </c>
      <c r="H22">
        <v>860</v>
      </c>
    </row>
    <row r="23" spans="1:13" x14ac:dyDescent="0.25">
      <c r="A23" s="1">
        <v>43103</v>
      </c>
      <c r="B23">
        <v>258.61</v>
      </c>
      <c r="D23" t="s">
        <v>35</v>
      </c>
      <c r="E23" t="s">
        <v>42</v>
      </c>
      <c r="F23" t="s">
        <v>43</v>
      </c>
      <c r="H23">
        <v>206.89</v>
      </c>
    </row>
    <row r="24" spans="1:13" x14ac:dyDescent="0.25">
      <c r="A24" s="1">
        <v>43172</v>
      </c>
      <c r="B24">
        <v>447</v>
      </c>
      <c r="D24" t="s">
        <v>35</v>
      </c>
      <c r="E24" t="s">
        <v>42</v>
      </c>
      <c r="H24">
        <v>357.6</v>
      </c>
    </row>
    <row r="25" spans="1:13" x14ac:dyDescent="0.25">
      <c r="A25" s="1">
        <v>43172</v>
      </c>
      <c r="B25">
        <v>14.63</v>
      </c>
      <c r="D25" t="s">
        <v>35</v>
      </c>
      <c r="E25" t="s">
        <v>44</v>
      </c>
      <c r="H25">
        <v>11.71</v>
      </c>
    </row>
    <row r="26" spans="1:13" x14ac:dyDescent="0.25">
      <c r="A26" s="1">
        <v>43178</v>
      </c>
      <c r="B26">
        <v>125</v>
      </c>
      <c r="D26" t="s">
        <v>30</v>
      </c>
      <c r="E26" t="s">
        <v>45</v>
      </c>
      <c r="H26">
        <v>125</v>
      </c>
    </row>
    <row r="27" spans="1:13" x14ac:dyDescent="0.25">
      <c r="A27" s="1">
        <v>43159</v>
      </c>
      <c r="B27">
        <v>258.39999999999998</v>
      </c>
      <c r="D27" t="s">
        <v>38</v>
      </c>
      <c r="E27" t="s">
        <v>4</v>
      </c>
      <c r="F27" t="s">
        <v>46</v>
      </c>
      <c r="H27">
        <v>258.39999999999998</v>
      </c>
    </row>
    <row r="28" spans="1:13" x14ac:dyDescent="0.25">
      <c r="A28" s="1">
        <v>43172</v>
      </c>
      <c r="B28">
        <v>208.03</v>
      </c>
      <c r="D28" t="s">
        <v>35</v>
      </c>
      <c r="E28" t="s">
        <v>4</v>
      </c>
      <c r="F28" t="s">
        <v>47</v>
      </c>
      <c r="H28">
        <v>208.03</v>
      </c>
    </row>
    <row r="29" spans="1:13" x14ac:dyDescent="0.25">
      <c r="A29" s="1">
        <v>43181</v>
      </c>
      <c r="B29">
        <v>140.93</v>
      </c>
      <c r="D29" t="s">
        <v>35</v>
      </c>
      <c r="E29" t="s">
        <v>4</v>
      </c>
      <c r="F29" t="s">
        <v>47</v>
      </c>
      <c r="H29">
        <v>140.93</v>
      </c>
    </row>
    <row r="30" spans="1:13" s="6" customFormat="1" ht="30" x14ac:dyDescent="0.25">
      <c r="A30" s="5">
        <v>43249</v>
      </c>
      <c r="B30" s="6">
        <v>378</v>
      </c>
      <c r="C30" s="6" t="s">
        <v>75</v>
      </c>
      <c r="D30" s="6" t="s">
        <v>30</v>
      </c>
      <c r="E30" s="6" t="s">
        <v>4</v>
      </c>
      <c r="H30" s="6">
        <v>37.799999999999997</v>
      </c>
      <c r="M30" s="7" t="s">
        <v>76</v>
      </c>
    </row>
    <row r="31" spans="1:13" ht="30" x14ac:dyDescent="0.25">
      <c r="A31" s="1">
        <v>43249</v>
      </c>
      <c r="B31">
        <v>8.39</v>
      </c>
      <c r="C31" s="3" t="s">
        <v>57</v>
      </c>
      <c r="D31" t="s">
        <v>30</v>
      </c>
      <c r="E31" t="s">
        <v>4</v>
      </c>
      <c r="F31" t="s">
        <v>48</v>
      </c>
      <c r="H31">
        <v>8.39</v>
      </c>
    </row>
    <row r="32" spans="1:13" x14ac:dyDescent="0.25">
      <c r="A32" s="1">
        <v>43293</v>
      </c>
      <c r="B32">
        <v>765</v>
      </c>
      <c r="C32" s="3" t="s">
        <v>56</v>
      </c>
      <c r="D32" t="s">
        <v>30</v>
      </c>
      <c r="E32" t="s">
        <v>24</v>
      </c>
      <c r="H32">
        <v>612</v>
      </c>
    </row>
    <row r="33" spans="1:13" ht="30" x14ac:dyDescent="0.25">
      <c r="A33" s="1">
        <v>43320</v>
      </c>
      <c r="B33">
        <v>151.03</v>
      </c>
      <c r="C33" s="3" t="s">
        <v>53</v>
      </c>
      <c r="D33" t="s">
        <v>30</v>
      </c>
      <c r="E33" t="s">
        <v>4</v>
      </c>
      <c r="F33" t="s">
        <v>49</v>
      </c>
      <c r="H33">
        <v>151.03</v>
      </c>
    </row>
    <row r="34" spans="1:13" ht="30" x14ac:dyDescent="0.25">
      <c r="A34" s="1">
        <v>43320</v>
      </c>
      <c r="B34">
        <v>81.84</v>
      </c>
      <c r="C34" s="3" t="s">
        <v>54</v>
      </c>
      <c r="D34" t="s">
        <v>30</v>
      </c>
      <c r="E34" t="s">
        <v>4</v>
      </c>
      <c r="F34" t="s">
        <v>50</v>
      </c>
      <c r="H34">
        <v>81.84</v>
      </c>
    </row>
    <row r="35" spans="1:13" ht="30" x14ac:dyDescent="0.25">
      <c r="A35" s="1">
        <v>43320</v>
      </c>
      <c r="B35">
        <v>106.9</v>
      </c>
      <c r="C35" s="3" t="s">
        <v>55</v>
      </c>
      <c r="D35" t="s">
        <v>30</v>
      </c>
      <c r="E35" t="s">
        <v>4</v>
      </c>
      <c r="F35" t="s">
        <v>50</v>
      </c>
      <c r="H35">
        <v>106.9</v>
      </c>
    </row>
    <row r="36" spans="1:13" s="6" customFormat="1" ht="45" x14ac:dyDescent="0.25">
      <c r="A36" s="5">
        <v>43384</v>
      </c>
      <c r="B36" s="6">
        <v>85.1</v>
      </c>
      <c r="C36" s="6" t="s">
        <v>52</v>
      </c>
      <c r="D36" s="6" t="s">
        <v>29</v>
      </c>
      <c r="E36" s="6" t="s">
        <v>4</v>
      </c>
      <c r="F36" s="6" t="s">
        <v>51</v>
      </c>
      <c r="H36" s="6">
        <v>85.1</v>
      </c>
      <c r="M36" s="8" t="s">
        <v>77</v>
      </c>
    </row>
    <row r="37" spans="1:13" s="6" customFormat="1" ht="30" x14ac:dyDescent="0.25">
      <c r="A37" s="5">
        <v>43383</v>
      </c>
      <c r="B37" s="6">
        <v>108</v>
      </c>
      <c r="C37" s="6" t="s">
        <v>78</v>
      </c>
      <c r="D37" s="6" t="s">
        <v>30</v>
      </c>
      <c r="E37" s="6" t="s">
        <v>4</v>
      </c>
      <c r="H37" s="6">
        <v>5.4</v>
      </c>
      <c r="M37" s="7" t="s">
        <v>79</v>
      </c>
    </row>
    <row r="38" spans="1:13" s="6" customFormat="1" ht="16.149999999999999" customHeight="1" x14ac:dyDescent="0.25">
      <c r="A38" s="5">
        <v>43409</v>
      </c>
      <c r="B38" s="6">
        <v>270</v>
      </c>
      <c r="D38" s="6" t="s">
        <v>38</v>
      </c>
      <c r="E38" s="6" t="s">
        <v>4</v>
      </c>
      <c r="M38" s="7" t="s">
        <v>80</v>
      </c>
    </row>
    <row r="39" spans="1:13" x14ac:dyDescent="0.25">
      <c r="A39" s="1" t="s">
        <v>61</v>
      </c>
      <c r="B39">
        <f>SUM(B21:B38)</f>
        <v>4499.2000000000007</v>
      </c>
      <c r="H39">
        <f>SUM(H21:H38)</f>
        <v>3270.9000000000005</v>
      </c>
    </row>
    <row r="40" spans="1:13" x14ac:dyDescent="0.25">
      <c r="A40" s="1">
        <v>43178</v>
      </c>
      <c r="B40">
        <v>1.51</v>
      </c>
      <c r="D40" t="s">
        <v>30</v>
      </c>
      <c r="E40" t="s">
        <v>59</v>
      </c>
      <c r="G40" s="1">
        <v>43250</v>
      </c>
      <c r="H40">
        <v>1.51</v>
      </c>
      <c r="K40" t="s">
        <v>64</v>
      </c>
      <c r="L40" t="s">
        <v>68</v>
      </c>
      <c r="M40" t="s">
        <v>111</v>
      </c>
    </row>
    <row r="41" spans="1:13" x14ac:dyDescent="0.25">
      <c r="A41" s="1">
        <v>43178</v>
      </c>
      <c r="B41">
        <v>14.05</v>
      </c>
      <c r="D41" t="s">
        <v>30</v>
      </c>
      <c r="E41" t="s">
        <v>59</v>
      </c>
      <c r="G41" s="1">
        <v>43250</v>
      </c>
      <c r="H41">
        <v>14.05</v>
      </c>
      <c r="K41" t="s">
        <v>64</v>
      </c>
      <c r="L41" t="s">
        <v>68</v>
      </c>
      <c r="M41" t="s">
        <v>111</v>
      </c>
    </row>
    <row r="42" spans="1:13" x14ac:dyDescent="0.25">
      <c r="A42" s="1">
        <v>43181</v>
      </c>
      <c r="B42">
        <v>35.049999999999997</v>
      </c>
      <c r="D42" t="s">
        <v>35</v>
      </c>
      <c r="E42" t="s">
        <v>62</v>
      </c>
      <c r="G42" s="1">
        <v>43182</v>
      </c>
      <c r="H42">
        <v>35.049999999999997</v>
      </c>
      <c r="K42" t="s">
        <v>64</v>
      </c>
      <c r="L42" t="s">
        <v>65</v>
      </c>
    </row>
    <row r="43" spans="1:13" x14ac:dyDescent="0.25">
      <c r="A43" t="s">
        <v>61</v>
      </c>
      <c r="B43">
        <f>SUM(B40:B42)</f>
        <v>50.61</v>
      </c>
      <c r="H43">
        <f>SUM(H40:H42)</f>
        <v>50.61</v>
      </c>
    </row>
    <row r="44" spans="1:13" x14ac:dyDescent="0.25">
      <c r="A44" t="s">
        <v>61</v>
      </c>
      <c r="B44">
        <f>SUM(B43,B39)</f>
        <v>4549.8100000000004</v>
      </c>
      <c r="H44">
        <f>SUM(H43,H39)</f>
        <v>3321.5100000000007</v>
      </c>
    </row>
    <row r="45" spans="1:13" x14ac:dyDescent="0.25">
      <c r="A45" s="1">
        <v>43411</v>
      </c>
      <c r="B45">
        <v>50</v>
      </c>
      <c r="D45" t="s">
        <v>66</v>
      </c>
      <c r="E45" t="s">
        <v>33</v>
      </c>
      <c r="H45">
        <v>50</v>
      </c>
      <c r="M45" t="s">
        <v>67</v>
      </c>
    </row>
    <row r="46" spans="1:13" x14ac:dyDescent="0.25">
      <c r="A46" t="s">
        <v>61</v>
      </c>
      <c r="B46">
        <f>SUM(B44,B45)</f>
        <v>4599.8100000000004</v>
      </c>
      <c r="H46">
        <f>SUM(H44,H45)</f>
        <v>3371.5100000000007</v>
      </c>
    </row>
    <row r="47" spans="1:13" ht="60" x14ac:dyDescent="0.25">
      <c r="F47" t="s">
        <v>70</v>
      </c>
      <c r="H47" s="16">
        <f>SUM(H16,H17,H40,H41,H42)</f>
        <v>198.96999999999997</v>
      </c>
      <c r="M47" s="3" t="s">
        <v>114</v>
      </c>
    </row>
    <row r="48" spans="1:13" x14ac:dyDescent="0.25">
      <c r="F48" t="s">
        <v>71</v>
      </c>
      <c r="H48">
        <f>H46-H47</f>
        <v>3172.5400000000009</v>
      </c>
    </row>
    <row r="49" spans="1:13" x14ac:dyDescent="0.25">
      <c r="F49" t="s">
        <v>72</v>
      </c>
      <c r="H49" t="s">
        <v>73</v>
      </c>
    </row>
    <row r="50" spans="1:13" ht="75" x14ac:dyDescent="0.25">
      <c r="F50" s="3" t="s">
        <v>74</v>
      </c>
      <c r="H50" s="10" t="s">
        <v>83</v>
      </c>
    </row>
    <row r="52" spans="1:13" x14ac:dyDescent="0.25">
      <c r="A52" t="s">
        <v>81</v>
      </c>
    </row>
    <row r="53" spans="1:13" x14ac:dyDescent="0.25">
      <c r="A53" t="s">
        <v>82</v>
      </c>
      <c r="B53">
        <v>3172.54</v>
      </c>
    </row>
    <row r="54" spans="1:13" x14ac:dyDescent="0.25">
      <c r="A54" s="1">
        <v>43440</v>
      </c>
      <c r="B54">
        <v>156</v>
      </c>
      <c r="C54" s="9"/>
      <c r="D54" t="s">
        <v>35</v>
      </c>
      <c r="E54" t="s">
        <v>33</v>
      </c>
      <c r="H54">
        <v>156</v>
      </c>
    </row>
    <row r="55" spans="1:13" x14ac:dyDescent="0.25">
      <c r="A55" s="1">
        <v>43480</v>
      </c>
      <c r="B55">
        <v>156</v>
      </c>
      <c r="D55" t="s">
        <v>35</v>
      </c>
      <c r="E55" t="s">
        <v>33</v>
      </c>
      <c r="H55">
        <v>156</v>
      </c>
    </row>
    <row r="57" spans="1:13" x14ac:dyDescent="0.25">
      <c r="A57" s="11" t="s">
        <v>113</v>
      </c>
    </row>
    <row r="58" spans="1:13" x14ac:dyDescent="0.25">
      <c r="A58" s="17">
        <v>43563</v>
      </c>
      <c r="B58">
        <v>2.89</v>
      </c>
      <c r="D58" t="s">
        <v>29</v>
      </c>
      <c r="E58" t="s">
        <v>116</v>
      </c>
      <c r="F58" t="s">
        <v>30</v>
      </c>
      <c r="G58" s="1">
        <v>43563</v>
      </c>
      <c r="H58">
        <v>2.89</v>
      </c>
      <c r="J58" t="s">
        <v>116</v>
      </c>
      <c r="K58" t="s">
        <v>64</v>
      </c>
      <c r="L58" t="s">
        <v>65</v>
      </c>
      <c r="M58" t="s">
        <v>115</v>
      </c>
    </row>
    <row r="59" spans="1:13" x14ac:dyDescent="0.25">
      <c r="A59" s="1">
        <v>43518</v>
      </c>
      <c r="B59">
        <v>266.44</v>
      </c>
      <c r="D59" t="s">
        <v>89</v>
      </c>
      <c r="E59" t="s">
        <v>121</v>
      </c>
      <c r="F59" t="s">
        <v>90</v>
      </c>
      <c r="H59">
        <v>213.15199999999999</v>
      </c>
      <c r="M59" t="s">
        <v>91</v>
      </c>
    </row>
    <row r="60" spans="1:13" x14ac:dyDescent="0.25">
      <c r="A60" s="1">
        <v>43484</v>
      </c>
      <c r="B60">
        <v>7.19</v>
      </c>
      <c r="D60" t="s">
        <v>29</v>
      </c>
      <c r="E60" t="s">
        <v>116</v>
      </c>
      <c r="F60" t="s">
        <v>117</v>
      </c>
      <c r="G60" s="1">
        <v>43484</v>
      </c>
      <c r="H60">
        <v>7.19</v>
      </c>
      <c r="J60" t="s">
        <v>116</v>
      </c>
    </row>
    <row r="61" spans="1:13" x14ac:dyDescent="0.25">
      <c r="A61" s="1">
        <v>43484</v>
      </c>
      <c r="B61">
        <v>151.71</v>
      </c>
      <c r="D61" t="s">
        <v>29</v>
      </c>
      <c r="E61" t="s">
        <v>122</v>
      </c>
      <c r="F61" t="s">
        <v>94</v>
      </c>
      <c r="H61">
        <f>121.368</f>
        <v>121.36799999999999</v>
      </c>
      <c r="M61" t="s">
        <v>92</v>
      </c>
    </row>
    <row r="62" spans="1:13" x14ac:dyDescent="0.25">
      <c r="A62" s="1">
        <v>43484</v>
      </c>
      <c r="B62">
        <v>49</v>
      </c>
      <c r="D62" t="s">
        <v>29</v>
      </c>
      <c r="E62" t="s">
        <v>93</v>
      </c>
      <c r="G62" s="1">
        <v>43484</v>
      </c>
      <c r="H62">
        <v>49</v>
      </c>
      <c r="J62" t="s">
        <v>93</v>
      </c>
      <c r="M62" t="s">
        <v>92</v>
      </c>
    </row>
    <row r="63" spans="1:13" ht="30" x14ac:dyDescent="0.25">
      <c r="A63" s="17">
        <v>43461</v>
      </c>
      <c r="B63" s="18">
        <v>0</v>
      </c>
      <c r="C63" s="18"/>
      <c r="D63" s="18" t="s">
        <v>89</v>
      </c>
      <c r="E63" s="18" t="s">
        <v>4</v>
      </c>
      <c r="F63" s="18" t="s">
        <v>47</v>
      </c>
      <c r="G63" s="18"/>
      <c r="H63" s="18">
        <v>0</v>
      </c>
      <c r="I63" s="18"/>
      <c r="J63" s="18"/>
      <c r="K63" s="18"/>
      <c r="L63" s="18"/>
      <c r="M63" s="24" t="s">
        <v>153</v>
      </c>
    </row>
    <row r="64" spans="1:13" ht="30" x14ac:dyDescent="0.25">
      <c r="A64" s="17">
        <v>43457</v>
      </c>
      <c r="B64" s="18">
        <v>139.19999999999999</v>
      </c>
      <c r="C64" s="18"/>
      <c r="D64" s="18" t="s">
        <v>89</v>
      </c>
      <c r="E64" s="18" t="s">
        <v>4</v>
      </c>
      <c r="F64" s="18" t="s">
        <v>51</v>
      </c>
      <c r="G64" s="18"/>
      <c r="H64" s="18">
        <v>97.44</v>
      </c>
      <c r="I64" s="18"/>
      <c r="J64" s="18"/>
      <c r="K64" s="18"/>
      <c r="L64" s="18"/>
      <c r="M64" s="24" t="s">
        <v>152</v>
      </c>
    </row>
    <row r="65" spans="1:13" ht="30" x14ac:dyDescent="0.25">
      <c r="A65" s="17">
        <v>43456</v>
      </c>
      <c r="B65" s="18">
        <v>200.57</v>
      </c>
      <c r="C65" s="18"/>
      <c r="D65" s="18" t="s">
        <v>89</v>
      </c>
      <c r="E65" s="18" t="s">
        <v>4</v>
      </c>
      <c r="F65" s="18" t="s">
        <v>98</v>
      </c>
      <c r="G65" s="18"/>
      <c r="H65" s="18">
        <v>160.44999999999999</v>
      </c>
      <c r="I65" s="18"/>
      <c r="J65" s="18"/>
      <c r="K65" s="18"/>
      <c r="L65" s="18"/>
      <c r="M65" s="24" t="s">
        <v>151</v>
      </c>
    </row>
    <row r="66" spans="1:13" ht="30" x14ac:dyDescent="0.25">
      <c r="A66" s="17">
        <v>43456</v>
      </c>
      <c r="B66" s="18">
        <v>55.46</v>
      </c>
      <c r="C66" s="18"/>
      <c r="D66" s="18" t="s">
        <v>89</v>
      </c>
      <c r="E66" s="18" t="s">
        <v>4</v>
      </c>
      <c r="F66" s="18" t="s">
        <v>99</v>
      </c>
      <c r="G66" s="18"/>
      <c r="H66" s="18">
        <v>38.82</v>
      </c>
      <c r="I66" s="18"/>
      <c r="J66" s="18"/>
      <c r="K66" s="18"/>
      <c r="L66" s="18"/>
      <c r="M66" s="24" t="s">
        <v>150</v>
      </c>
    </row>
    <row r="67" spans="1:13" ht="30" x14ac:dyDescent="0.25">
      <c r="A67" s="17">
        <v>43455</v>
      </c>
      <c r="B67" s="18">
        <v>884.5</v>
      </c>
      <c r="C67" s="25">
        <v>544.73</v>
      </c>
      <c r="D67" s="18" t="s">
        <v>30</v>
      </c>
      <c r="E67" s="18" t="s">
        <v>4</v>
      </c>
      <c r="F67" s="18" t="s">
        <v>97</v>
      </c>
      <c r="G67" s="18"/>
      <c r="H67" s="18">
        <v>544.73</v>
      </c>
      <c r="I67" s="18"/>
      <c r="J67" s="18"/>
      <c r="K67" s="18"/>
      <c r="L67" s="18"/>
      <c r="M67" s="25" t="s">
        <v>123</v>
      </c>
    </row>
    <row r="68" spans="1:13" x14ac:dyDescent="0.25">
      <c r="A68" s="17" t="s">
        <v>100</v>
      </c>
      <c r="B68" s="18">
        <v>2680.5</v>
      </c>
      <c r="C68" s="25"/>
      <c r="D68" s="18" t="s">
        <v>30</v>
      </c>
      <c r="E68" s="18" t="s">
        <v>4</v>
      </c>
      <c r="F68" s="18"/>
      <c r="G68" s="18"/>
      <c r="H68" s="18">
        <v>2680.5</v>
      </c>
      <c r="I68" s="18"/>
      <c r="J68" s="18"/>
      <c r="K68" s="18"/>
      <c r="L68" s="18"/>
      <c r="M68" s="26" t="s">
        <v>101</v>
      </c>
    </row>
    <row r="69" spans="1:13" ht="30" x14ac:dyDescent="0.25">
      <c r="A69" s="17" t="s">
        <v>100</v>
      </c>
      <c r="B69" s="18">
        <v>613.79999999999995</v>
      </c>
      <c r="C69" s="25"/>
      <c r="D69" s="18" t="s">
        <v>89</v>
      </c>
      <c r="E69" s="18" t="s">
        <v>4</v>
      </c>
      <c r="F69" s="18"/>
      <c r="G69" s="18"/>
      <c r="H69" s="18">
        <v>613.79999999999995</v>
      </c>
      <c r="I69" s="18"/>
      <c r="J69" s="18"/>
      <c r="K69" s="18"/>
      <c r="L69" s="18"/>
      <c r="M69" s="24" t="s">
        <v>149</v>
      </c>
    </row>
    <row r="70" spans="1:13" x14ac:dyDescent="0.25">
      <c r="A70" s="1">
        <v>43455</v>
      </c>
      <c r="B70">
        <v>162.88</v>
      </c>
      <c r="C70" s="3"/>
      <c r="D70" t="s">
        <v>30</v>
      </c>
      <c r="E70" t="s">
        <v>4</v>
      </c>
      <c r="F70" t="s">
        <v>95</v>
      </c>
      <c r="H70">
        <v>162.88</v>
      </c>
      <c r="M70" t="s">
        <v>96</v>
      </c>
    </row>
    <row r="71" spans="1:13" x14ac:dyDescent="0.25">
      <c r="A71" s="19">
        <v>43439</v>
      </c>
      <c r="B71" s="20">
        <v>32.4</v>
      </c>
      <c r="C71" s="21"/>
      <c r="D71" s="20" t="s">
        <v>30</v>
      </c>
      <c r="E71" s="20" t="s">
        <v>4</v>
      </c>
      <c r="F71" s="20"/>
      <c r="G71" s="20"/>
      <c r="H71" s="20"/>
      <c r="I71" s="20"/>
      <c r="J71" s="20"/>
      <c r="K71" s="20"/>
      <c r="L71" s="20"/>
      <c r="M71" s="20" t="s">
        <v>128</v>
      </c>
    </row>
    <row r="72" spans="1:13" x14ac:dyDescent="0.25">
      <c r="A72" s="19">
        <v>43439</v>
      </c>
      <c r="B72" s="20">
        <v>10.5</v>
      </c>
      <c r="C72" s="21"/>
      <c r="D72" s="20" t="s">
        <v>30</v>
      </c>
      <c r="E72" s="20" t="s">
        <v>4</v>
      </c>
      <c r="F72" s="20"/>
      <c r="G72" s="20"/>
      <c r="H72" s="20"/>
      <c r="I72" s="20"/>
      <c r="J72" s="20"/>
      <c r="K72" s="20"/>
      <c r="L72" s="20"/>
      <c r="M72" s="20" t="s">
        <v>128</v>
      </c>
    </row>
    <row r="73" spans="1:13" ht="30" x14ac:dyDescent="0.25">
      <c r="A73" s="19">
        <v>43409</v>
      </c>
      <c r="B73" s="20">
        <v>270</v>
      </c>
      <c r="C73" s="21">
        <v>27</v>
      </c>
      <c r="D73" s="20" t="s">
        <v>38</v>
      </c>
      <c r="E73" s="20" t="s">
        <v>4</v>
      </c>
      <c r="F73" s="20" t="s">
        <v>102</v>
      </c>
      <c r="G73" s="20"/>
      <c r="H73" s="20">
        <v>27</v>
      </c>
      <c r="I73" s="20"/>
      <c r="J73" s="20"/>
      <c r="K73" s="20"/>
      <c r="L73" s="20"/>
      <c r="M73" s="21" t="s">
        <v>137</v>
      </c>
    </row>
    <row r="74" spans="1:13" ht="45" x14ac:dyDescent="0.25">
      <c r="A74" s="19">
        <v>43384</v>
      </c>
      <c r="B74" s="20">
        <v>85.19</v>
      </c>
      <c r="C74" s="21"/>
      <c r="D74" s="20" t="s">
        <v>103</v>
      </c>
      <c r="E74" s="20" t="s">
        <v>4</v>
      </c>
      <c r="F74" s="20" t="s">
        <v>51</v>
      </c>
      <c r="G74" s="20"/>
      <c r="H74" s="20">
        <v>85.19</v>
      </c>
      <c r="I74" s="20"/>
      <c r="J74" s="20"/>
      <c r="K74" s="20"/>
      <c r="L74" s="20"/>
      <c r="M74" s="21" t="s">
        <v>129</v>
      </c>
    </row>
    <row r="75" spans="1:13" ht="45" x14ac:dyDescent="0.25">
      <c r="A75" s="19">
        <v>43384</v>
      </c>
      <c r="B75" s="20">
        <v>35.29</v>
      </c>
      <c r="C75" s="21"/>
      <c r="D75" s="20" t="s">
        <v>103</v>
      </c>
      <c r="E75" s="20" t="s">
        <v>4</v>
      </c>
      <c r="F75" s="20" t="s">
        <v>51</v>
      </c>
      <c r="G75" s="20"/>
      <c r="H75" s="20"/>
      <c r="I75" s="20"/>
      <c r="J75" s="20"/>
      <c r="K75" s="20"/>
      <c r="L75" s="20"/>
      <c r="M75" s="21" t="s">
        <v>130</v>
      </c>
    </row>
    <row r="76" spans="1:13" x14ac:dyDescent="0.25">
      <c r="A76" s="19">
        <v>43383</v>
      </c>
      <c r="B76" s="20">
        <v>108</v>
      </c>
      <c r="C76" s="21"/>
      <c r="D76" s="20" t="s">
        <v>30</v>
      </c>
      <c r="E76" s="20" t="s">
        <v>4</v>
      </c>
      <c r="F76" s="20"/>
      <c r="G76" s="20"/>
      <c r="H76" s="20">
        <v>5.4</v>
      </c>
      <c r="I76" s="20"/>
      <c r="J76" s="20"/>
      <c r="K76" s="20"/>
      <c r="L76" s="20"/>
      <c r="M76" s="20" t="s">
        <v>131</v>
      </c>
    </row>
    <row r="77" spans="1:13" x14ac:dyDescent="0.25">
      <c r="A77" s="19">
        <v>43249</v>
      </c>
      <c r="B77" s="20">
        <v>378</v>
      </c>
      <c r="C77" s="21"/>
      <c r="D77" s="20" t="s">
        <v>30</v>
      </c>
      <c r="E77" s="20" t="s">
        <v>4</v>
      </c>
      <c r="F77" s="20"/>
      <c r="G77" s="20"/>
      <c r="H77" s="20">
        <v>37.799999999999997</v>
      </c>
      <c r="I77" s="20"/>
      <c r="J77" s="20"/>
      <c r="K77" s="20"/>
      <c r="L77" s="20"/>
      <c r="M77" s="20" t="s">
        <v>132</v>
      </c>
    </row>
    <row r="78" spans="1:13" x14ac:dyDescent="0.25">
      <c r="A78" t="s">
        <v>61</v>
      </c>
      <c r="B78">
        <f>SUM(B58:B77)</f>
        <v>6133.5199999999995</v>
      </c>
      <c r="C78" s="3"/>
      <c r="H78">
        <f>SUM(H58:H77)</f>
        <v>4847.6099999999997</v>
      </c>
    </row>
    <row r="79" spans="1:13" x14ac:dyDescent="0.25">
      <c r="A79" t="s">
        <v>133</v>
      </c>
      <c r="B79">
        <f>SUM(B74,B76:B77)</f>
        <v>571.19000000000005</v>
      </c>
      <c r="C79" s="3"/>
      <c r="H79">
        <f>SUM(H74,H76:H77)</f>
        <v>128.38999999999999</v>
      </c>
    </row>
    <row r="80" spans="1:13" x14ac:dyDescent="0.25">
      <c r="A80" t="s">
        <v>141</v>
      </c>
      <c r="B80">
        <f>SUM(B67,B73)</f>
        <v>1154.5</v>
      </c>
      <c r="C80" s="3"/>
      <c r="H80">
        <f>SUM(H67,H73)</f>
        <v>571.73</v>
      </c>
    </row>
    <row r="81" spans="1:13" x14ac:dyDescent="0.25">
      <c r="A81" t="s">
        <v>142</v>
      </c>
      <c r="B81">
        <f>SUM(B59,B61)</f>
        <v>418.15</v>
      </c>
      <c r="C81" s="3"/>
      <c r="H81">
        <f>SUM(H59,H61)</f>
        <v>334.52</v>
      </c>
    </row>
    <row r="82" spans="1:13" x14ac:dyDescent="0.25">
      <c r="A82" t="s">
        <v>136</v>
      </c>
      <c r="B82">
        <f>SUM(B71,B72,B75)</f>
        <v>78.19</v>
      </c>
      <c r="C82" s="3"/>
      <c r="H82">
        <f>SUM(H71,H72,H75)</f>
        <v>0</v>
      </c>
    </row>
    <row r="83" spans="1:13" x14ac:dyDescent="0.25">
      <c r="A83" t="s">
        <v>134</v>
      </c>
      <c r="B83">
        <f>SUM(B58,B60)</f>
        <v>10.08</v>
      </c>
      <c r="C83" s="3"/>
      <c r="H83">
        <f>SUM(H58,H60)</f>
        <v>10.08</v>
      </c>
    </row>
    <row r="84" spans="1:13" x14ac:dyDescent="0.25">
      <c r="A84" t="s">
        <v>135</v>
      </c>
      <c r="B84">
        <f>SUM(B62)</f>
        <v>49</v>
      </c>
      <c r="C84" s="3"/>
      <c r="H84">
        <f>SUM(H62)</f>
        <v>49</v>
      </c>
    </row>
    <row r="85" spans="1:13" ht="30" x14ac:dyDescent="0.25">
      <c r="A85" t="s">
        <v>118</v>
      </c>
      <c r="B85">
        <f>SUM(B63:B66,B69)</f>
        <v>1009.03</v>
      </c>
      <c r="C85" s="3"/>
      <c r="H85">
        <f>SUM(H63:H66,H69)</f>
        <v>910.51</v>
      </c>
      <c r="M85" s="3" t="s">
        <v>119</v>
      </c>
    </row>
    <row r="86" spans="1:13" x14ac:dyDescent="0.25">
      <c r="A86" t="s">
        <v>138</v>
      </c>
      <c r="B86">
        <f>SUM(B78-SUM(B79:B85))</f>
        <v>2843.3799999999992</v>
      </c>
      <c r="C86" s="3"/>
      <c r="H86">
        <f>SUM(H78-SUM(H79:H85))</f>
        <v>2843.38</v>
      </c>
    </row>
    <row r="87" spans="1:13" x14ac:dyDescent="0.25">
      <c r="A87" t="s">
        <v>139</v>
      </c>
      <c r="B87">
        <f>SUM(C67,C73)</f>
        <v>571.73</v>
      </c>
      <c r="C87" s="3"/>
      <c r="H87">
        <f>H80</f>
        <v>571.73</v>
      </c>
    </row>
    <row r="88" spans="1:13" x14ac:dyDescent="0.25">
      <c r="A88" t="s">
        <v>143</v>
      </c>
      <c r="B88">
        <f>SUM(H59,H61)</f>
        <v>334.52</v>
      </c>
      <c r="C88" s="3"/>
      <c r="H88">
        <f>SUM(H59,H61)</f>
        <v>334.52</v>
      </c>
    </row>
    <row r="89" spans="1:13" x14ac:dyDescent="0.25">
      <c r="A89" s="11" t="s">
        <v>120</v>
      </c>
      <c r="B89" s="11">
        <f>SUM(B86:B88)</f>
        <v>3749.6299999999992</v>
      </c>
      <c r="C89" s="3"/>
      <c r="H89" s="11">
        <f>SUM(H86:H88)</f>
        <v>3749.63</v>
      </c>
    </row>
    <row r="90" spans="1:13" x14ac:dyDescent="0.25">
      <c r="C90" s="3"/>
    </row>
    <row r="91" spans="1:13" x14ac:dyDescent="0.25">
      <c r="A91" s="11" t="s">
        <v>124</v>
      </c>
      <c r="B91">
        <v>3388.11</v>
      </c>
      <c r="C91" s="3" t="s">
        <v>125</v>
      </c>
    </row>
    <row r="92" spans="1:13" x14ac:dyDescent="0.25">
      <c r="A92" s="11" t="s">
        <v>144</v>
      </c>
      <c r="B92">
        <v>334.52</v>
      </c>
      <c r="C92" t="s">
        <v>140</v>
      </c>
    </row>
    <row r="93" spans="1:13" x14ac:dyDescent="0.25">
      <c r="A93" s="11" t="s">
        <v>126</v>
      </c>
      <c r="B93">
        <v>27</v>
      </c>
      <c r="C93" s="3" t="s">
        <v>127</v>
      </c>
    </row>
    <row r="94" spans="1:13" x14ac:dyDescent="0.25">
      <c r="A94" s="11" t="s">
        <v>61</v>
      </c>
      <c r="B94" s="11">
        <f>SUM(B91:B93)</f>
        <v>3749.63</v>
      </c>
      <c r="C94" s="3"/>
    </row>
    <row r="95" spans="1:13" x14ac:dyDescent="0.25">
      <c r="C95" s="3"/>
    </row>
    <row r="96" spans="1:13" x14ac:dyDescent="0.25">
      <c r="A96" s="18" t="s">
        <v>145</v>
      </c>
      <c r="B96">
        <f>SUM(H54,H55)</f>
        <v>312</v>
      </c>
      <c r="C96" s="3"/>
    </row>
    <row r="97" spans="1:13" x14ac:dyDescent="0.25">
      <c r="A97" s="18" t="s">
        <v>146</v>
      </c>
      <c r="B97">
        <v>134.47999999999999</v>
      </c>
      <c r="C97" s="3"/>
    </row>
    <row r="98" spans="1:13" x14ac:dyDescent="0.25">
      <c r="A98" s="11" t="s">
        <v>147</v>
      </c>
      <c r="B98" s="11">
        <f>SUM(B94,B96:B97)</f>
        <v>4196.1099999999997</v>
      </c>
      <c r="C98" s="3"/>
      <c r="H98" s="11">
        <v>4196.1099999999997</v>
      </c>
    </row>
    <row r="99" spans="1:13" x14ac:dyDescent="0.25">
      <c r="C99" s="3"/>
    </row>
    <row r="100" spans="1:13" x14ac:dyDescent="0.25">
      <c r="A100" s="22">
        <v>43656</v>
      </c>
      <c r="C100" s="3"/>
    </row>
    <row r="101" spans="1:13" s="11" customFormat="1" ht="409.5" x14ac:dyDescent="0.25">
      <c r="A101" s="11" t="s">
        <v>148</v>
      </c>
      <c r="C101" s="15"/>
      <c r="M101" s="15" t="s">
        <v>158</v>
      </c>
    </row>
    <row r="102" spans="1:13" ht="30" x14ac:dyDescent="0.25">
      <c r="A102" s="11" t="s">
        <v>154</v>
      </c>
      <c r="B102" s="11"/>
      <c r="C102" s="15"/>
      <c r="D102" s="11"/>
      <c r="E102" s="11"/>
      <c r="F102" s="11"/>
      <c r="G102" s="11"/>
      <c r="H102" s="11"/>
      <c r="I102" s="11"/>
      <c r="J102" s="11"/>
      <c r="K102" s="11"/>
      <c r="L102" s="11"/>
      <c r="M102" s="15" t="s">
        <v>155</v>
      </c>
    </row>
    <row r="103" spans="1:13" x14ac:dyDescent="0.25">
      <c r="C103" s="3"/>
    </row>
    <row r="104" spans="1:13" x14ac:dyDescent="0.25">
      <c r="A104" s="1">
        <v>43657</v>
      </c>
      <c r="B104" t="s">
        <v>157</v>
      </c>
      <c r="C104" s="3"/>
    </row>
    <row r="105" spans="1:13" x14ac:dyDescent="0.25">
      <c r="A105" s="1">
        <v>43410</v>
      </c>
      <c r="B105" t="s">
        <v>156</v>
      </c>
      <c r="C105" s="3"/>
    </row>
    <row r="106" spans="1:13" x14ac:dyDescent="0.25">
      <c r="C106" s="3"/>
    </row>
    <row r="107" spans="1:13" x14ac:dyDescent="0.25">
      <c r="A107" s="1">
        <v>43703</v>
      </c>
      <c r="C107" s="3"/>
    </row>
    <row r="108" spans="1:13" x14ac:dyDescent="0.25">
      <c r="C108" s="3"/>
    </row>
    <row r="109" spans="1:13" ht="30" x14ac:dyDescent="0.25">
      <c r="A109" s="11" t="s">
        <v>147</v>
      </c>
      <c r="B109" s="11">
        <v>910.51</v>
      </c>
      <c r="C109" s="27" t="s">
        <v>160</v>
      </c>
      <c r="H109" s="11">
        <v>0</v>
      </c>
      <c r="M109" t="s">
        <v>159</v>
      </c>
    </row>
    <row r="110" spans="1:13" x14ac:dyDescent="0.25">
      <c r="B110" s="23"/>
      <c r="C110" s="3"/>
    </row>
    <row r="111" spans="1:13" x14ac:dyDescent="0.25">
      <c r="C111" s="3"/>
    </row>
    <row r="112" spans="1:13" x14ac:dyDescent="0.25">
      <c r="C112" s="3"/>
    </row>
    <row r="113" spans="3:3" x14ac:dyDescent="0.25">
      <c r="C113" s="3"/>
    </row>
    <row r="114" spans="3:3" x14ac:dyDescent="0.25">
      <c r="C114" s="3"/>
    </row>
    <row r="115" spans="3:3" x14ac:dyDescent="0.25">
      <c r="C115" s="3"/>
    </row>
    <row r="116" spans="3:3" x14ac:dyDescent="0.25">
      <c r="C116" s="3"/>
    </row>
    <row r="117" spans="3:3" x14ac:dyDescent="0.25">
      <c r="C117" s="3"/>
    </row>
    <row r="118" spans="3:3" x14ac:dyDescent="0.25">
      <c r="C118"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E15" sqref="E15"/>
    </sheetView>
  </sheetViews>
  <sheetFormatPr defaultRowHeight="15" x14ac:dyDescent="0.25"/>
  <cols>
    <col min="2" max="2" width="21.85546875" bestFit="1" customWidth="1"/>
  </cols>
  <sheetData>
    <row r="1" spans="1:2" x14ac:dyDescent="0.25">
      <c r="A1" s="12"/>
      <c r="B1" t="s">
        <v>104</v>
      </c>
    </row>
    <row r="2" spans="1:2" x14ac:dyDescent="0.25">
      <c r="A2" s="13"/>
      <c r="B2" t="s">
        <v>105</v>
      </c>
    </row>
    <row r="3" spans="1:2" x14ac:dyDescent="0.25">
      <c r="A3" s="14"/>
      <c r="B3"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B7" sqref="B7:B8"/>
    </sheetView>
  </sheetViews>
  <sheetFormatPr defaultRowHeight="15" x14ac:dyDescent="0.25"/>
  <cols>
    <col min="1" max="2" width="11.28515625" bestFit="1" customWidth="1"/>
  </cols>
  <sheetData>
    <row r="1" spans="1:3" x14ac:dyDescent="0.25">
      <c r="A1" t="s">
        <v>84</v>
      </c>
      <c r="B1" t="s">
        <v>28</v>
      </c>
      <c r="C1" t="s">
        <v>86</v>
      </c>
    </row>
    <row r="2" spans="1:3" x14ac:dyDescent="0.25">
      <c r="A2" s="1">
        <v>43409</v>
      </c>
      <c r="B2" t="s">
        <v>85</v>
      </c>
      <c r="C2">
        <v>27</v>
      </c>
    </row>
    <row r="3" spans="1:3" x14ac:dyDescent="0.25">
      <c r="A3" t="s">
        <v>87</v>
      </c>
      <c r="B3" t="s">
        <v>88</v>
      </c>
      <c r="C3">
        <v>2680.5</v>
      </c>
    </row>
    <row r="6" spans="1:3" x14ac:dyDescent="0.25">
      <c r="A6" s="1">
        <v>43455</v>
      </c>
      <c r="B6">
        <v>613.17999999999995</v>
      </c>
    </row>
    <row r="7" spans="1:3" x14ac:dyDescent="0.25">
      <c r="A7" s="1">
        <v>43462</v>
      </c>
      <c r="B7">
        <v>242</v>
      </c>
    </row>
    <row r="8" spans="1:3" x14ac:dyDescent="0.25">
      <c r="A8" s="1">
        <v>43462</v>
      </c>
      <c r="B8">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Lengends</vt:lpstr>
      <vt:lpstr>Deb Collector Calls</vt:lpstr>
    </vt:vector>
  </TitlesOfParts>
  <Company>US Bancorp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Sultan, Awais</dc:creator>
  <cp:lastModifiedBy>Sultan, Awais</cp:lastModifiedBy>
  <dcterms:created xsi:type="dcterms:W3CDTF">2018-11-06T23:33:26Z</dcterms:created>
  <dcterms:modified xsi:type="dcterms:W3CDTF">2020-02-28T05:13:50Z</dcterms:modified>
</cp:coreProperties>
</file>