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XSULT1\Documents\AXSULT1-Workspace\Personal-Documents\CarryForward\Budget\2019 Tax Return Docs\"/>
    </mc:Choice>
  </mc:AlternateContent>
  <xr:revisionPtr revIDLastSave="0" documentId="13_ncr:1_{946861EE-E71C-48E0-8E9A-79EBDFE47A1B}" xr6:coauthVersionLast="36" xr6:coauthVersionMax="36" xr10:uidLastSave="{00000000-0000-0000-0000-000000000000}"/>
  <bookViews>
    <workbookView xWindow="0" yWindow="0" windowWidth="23040" windowHeight="106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5" i="1" l="1"/>
  <c r="B7" i="1"/>
  <c r="B3" i="1"/>
  <c r="B12" i="1"/>
  <c r="B4" i="1"/>
  <c r="B6" i="1"/>
  <c r="B2" i="1"/>
  <c r="B9" i="1" l="1"/>
</calcChain>
</file>

<file path=xl/sharedStrings.xml><?xml version="1.0" encoding="utf-8"?>
<sst xmlns="http://schemas.openxmlformats.org/spreadsheetml/2006/main" count="21" uniqueCount="21">
  <si>
    <t>Holiday Presents for Office staff</t>
  </si>
  <si>
    <t>Babysitter</t>
  </si>
  <si>
    <t>Total=</t>
  </si>
  <si>
    <t>Category Total</t>
  </si>
  <si>
    <t>Business - Food</t>
  </si>
  <si>
    <t>Business - Travel, Gas, Lodging</t>
  </si>
  <si>
    <t>Business/Family - Food</t>
  </si>
  <si>
    <t>Business - Bills</t>
  </si>
  <si>
    <t>Business - Office Expenses/ Licensing/ Training</t>
  </si>
  <si>
    <t>Business/Family - Travel, Gas, Lodging</t>
  </si>
  <si>
    <t>What About:</t>
  </si>
  <si>
    <t>Grocery</t>
  </si>
  <si>
    <t>Medical</t>
  </si>
  <si>
    <t>Clothes for official work.</t>
  </si>
  <si>
    <t>Kids daycare</t>
  </si>
  <si>
    <t>Business - Periodic Taxes</t>
  </si>
  <si>
    <t>Hairs/Makeup (Self Grooming)</t>
  </si>
  <si>
    <t>Parents ticket to take care of kids is in Family Lodging category.</t>
  </si>
  <si>
    <t>Instead of adding Home Insurance I keep the other house bills sine they are almost equal.</t>
  </si>
  <si>
    <t>Donation (for both Awais &amp; Saliha)</t>
  </si>
  <si>
    <t>Loan (taken for Saliha University) - Interest Payment (Mohela)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</si>
</sst>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H15" sqref="H15"/>
    </sheetView>
  </sheetViews>
  <sheetFormatPr defaultRowHeight="14.5" x14ac:dyDescent="0.35"/>
  <cols>
    <col min="1" max="1" width="53.453125" bestFit="1" customWidth="1"/>
    <col min="2" max="2" width="13.08984375" bestFit="1" customWidth="1"/>
    <col min="9" max="9" width="12.90625" bestFit="1" customWidth="1"/>
  </cols>
  <sheetData>
    <row r="1" spans="1:10" x14ac:dyDescent="0.35">
      <c r="B1" t="s">
        <v>3</v>
      </c>
    </row>
    <row r="2" spans="1:10" x14ac:dyDescent="0.35">
      <c r="A2" t="s">
        <v>4</v>
      </c>
      <c r="B2">
        <f>4806.11-B4</f>
        <v>1702.7999999999997</v>
      </c>
    </row>
    <row r="3" spans="1:10" x14ac:dyDescent="0.35">
      <c r="A3" t="s">
        <v>5</v>
      </c>
      <c r="B3">
        <f>14117.78-B6+36.64</f>
        <v>3782.3000000000015</v>
      </c>
    </row>
    <row r="4" spans="1:10" x14ac:dyDescent="0.35">
      <c r="A4" t="s">
        <v>6</v>
      </c>
      <c r="B4">
        <f>3002.44+100.87</f>
        <v>3103.31</v>
      </c>
    </row>
    <row r="5" spans="1:10" x14ac:dyDescent="0.35">
      <c r="A5" t="s">
        <v>7</v>
      </c>
      <c r="B5">
        <f>16750.85+340.25</f>
        <v>17091.099999999999</v>
      </c>
    </row>
    <row r="6" spans="1:10" x14ac:dyDescent="0.35">
      <c r="A6" t="s">
        <v>9</v>
      </c>
      <c r="B6">
        <f>56+2272.48+47+5587.1+2409.54</f>
        <v>10372.119999999999</v>
      </c>
    </row>
    <row r="7" spans="1:10" x14ac:dyDescent="0.35">
      <c r="A7" t="s">
        <v>8</v>
      </c>
      <c r="B7">
        <f>3645.33+1200-B14</f>
        <v>4015.89</v>
      </c>
    </row>
    <row r="8" spans="1:10" x14ac:dyDescent="0.35">
      <c r="A8" t="s">
        <v>0</v>
      </c>
      <c r="B8">
        <v>0</v>
      </c>
    </row>
    <row r="9" spans="1:10" x14ac:dyDescent="0.35">
      <c r="A9" s="3" t="s">
        <v>2</v>
      </c>
      <c r="B9">
        <f>SUM(B2:B8)</f>
        <v>40067.520000000004</v>
      </c>
    </row>
    <row r="12" spans="1:10" x14ac:dyDescent="0.35">
      <c r="A12" t="s">
        <v>19</v>
      </c>
      <c r="B12">
        <f>215.13+16500</f>
        <v>16715.13</v>
      </c>
    </row>
    <row r="13" spans="1:10" x14ac:dyDescent="0.35">
      <c r="A13" t="s">
        <v>20</v>
      </c>
      <c r="B13">
        <v>22276.1</v>
      </c>
    </row>
    <row r="14" spans="1:10" x14ac:dyDescent="0.35">
      <c r="A14" t="s">
        <v>15</v>
      </c>
      <c r="B14">
        <v>829.44</v>
      </c>
    </row>
    <row r="15" spans="1:10" x14ac:dyDescent="0.35">
      <c r="A15" t="s">
        <v>14</v>
      </c>
      <c r="B15">
        <v>707.25</v>
      </c>
    </row>
    <row r="16" spans="1:10" x14ac:dyDescent="0.35">
      <c r="A16" t="s">
        <v>1</v>
      </c>
      <c r="B16">
        <v>11086</v>
      </c>
      <c r="I16" s="1"/>
      <c r="J16" s="2"/>
    </row>
    <row r="20" spans="1:1" x14ac:dyDescent="0.35">
      <c r="A20" s="4" t="s">
        <v>10</v>
      </c>
    </row>
    <row r="21" spans="1:1" x14ac:dyDescent="0.35">
      <c r="A21" t="s">
        <v>11</v>
      </c>
    </row>
    <row r="22" spans="1:1" x14ac:dyDescent="0.35">
      <c r="A22" t="s">
        <v>12</v>
      </c>
    </row>
    <row r="23" spans="1:1" x14ac:dyDescent="0.35">
      <c r="A23" t="s">
        <v>13</v>
      </c>
    </row>
    <row r="24" spans="1:1" x14ac:dyDescent="0.35">
      <c r="A24" t="s">
        <v>16</v>
      </c>
    </row>
    <row r="25" spans="1:1" x14ac:dyDescent="0.35">
      <c r="A25" t="s">
        <v>17</v>
      </c>
    </row>
    <row r="26" spans="1:1" x14ac:dyDescent="0.35">
      <c r="A26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 Bancorp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Sultan, Awais</dc:creator>
  <cp:lastModifiedBy>Sultan, Awais</cp:lastModifiedBy>
  <dcterms:created xsi:type="dcterms:W3CDTF">2019-02-03T03:54:12Z</dcterms:created>
  <dcterms:modified xsi:type="dcterms:W3CDTF">2020-03-10T07:53:52Z</dcterms:modified>
</cp:coreProperties>
</file>