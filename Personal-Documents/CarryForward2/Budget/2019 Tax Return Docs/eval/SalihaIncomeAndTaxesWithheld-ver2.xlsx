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XSULT1\Documents\AXSULT1-Workspace\Personal-Documents\CarryForward\Budget\2019 Tax Return Docs\eval\"/>
    </mc:Choice>
  </mc:AlternateContent>
  <xr:revisionPtr revIDLastSave="0" documentId="13_ncr:1_{1F75F6AE-39D9-4F87-AB23-253FBB3FFF8F}" xr6:coauthVersionLast="36" xr6:coauthVersionMax="36" xr10:uidLastSave="{00000000-0000-0000-0000-000000000000}"/>
  <bookViews>
    <workbookView xWindow="0" yWindow="0" windowWidth="23040" windowHeight="106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V73" i="1" l="1"/>
  <c r="U78" i="1"/>
  <c r="U77" i="1"/>
  <c r="U76" i="1"/>
  <c r="U75" i="1"/>
  <c r="U74" i="1"/>
  <c r="U73" i="1"/>
  <c r="Q48" i="1"/>
  <c r="U100" i="1"/>
  <c r="T103" i="1" s="1"/>
  <c r="T104" i="1"/>
  <c r="S105" i="1" s="1"/>
  <c r="S106" i="1" s="1"/>
  <c r="S104" i="1"/>
  <c r="S98" i="1"/>
  <c r="T102" i="1"/>
  <c r="S103" i="1"/>
  <c r="S102" i="1"/>
  <c r="S109" i="1"/>
  <c r="S96" i="1"/>
  <c r="T95" i="1"/>
  <c r="T94" i="1"/>
  <c r="S95" i="1"/>
  <c r="S94" i="1"/>
  <c r="S90" i="1"/>
  <c r="S89" i="1"/>
  <c r="T88" i="1"/>
  <c r="T87" i="1"/>
  <c r="S88" i="1"/>
  <c r="S87" i="1"/>
  <c r="S86" i="1"/>
  <c r="T86" i="1"/>
  <c r="R83" i="1"/>
  <c r="R82" i="1"/>
  <c r="R81" i="1"/>
  <c r="S73" i="1"/>
  <c r="R77" i="1"/>
  <c r="R75" i="1"/>
  <c r="R76" i="1" s="1"/>
  <c r="R78" i="1" s="1"/>
  <c r="S110" i="1" s="1"/>
  <c r="R74" i="1"/>
  <c r="R73" i="1"/>
  <c r="R58" i="1"/>
  <c r="R60" i="1" s="1"/>
  <c r="V49" i="1"/>
  <c r="T49" i="1"/>
  <c r="T40" i="1"/>
  <c r="T39" i="1"/>
  <c r="Q44" i="1"/>
  <c r="T47" i="1"/>
  <c r="U70" i="1"/>
  <c r="S70" i="1"/>
  <c r="R70" i="1"/>
  <c r="X60" i="1"/>
  <c r="W60" i="1"/>
  <c r="V60" i="1"/>
  <c r="U60" i="1"/>
  <c r="T60" i="1"/>
  <c r="S60" i="1"/>
  <c r="Q60" i="1"/>
  <c r="T46" i="1"/>
  <c r="Q45" i="1" s="1"/>
  <c r="Q46" i="1" s="1"/>
  <c r="T45" i="1"/>
  <c r="T38" i="1"/>
  <c r="W38" i="1"/>
  <c r="Q43" i="1"/>
  <c r="W40" i="1"/>
  <c r="Q38" i="1"/>
  <c r="U72" i="1" l="1"/>
  <c r="S108" i="1"/>
  <c r="R72" i="1"/>
  <c r="N6" i="1"/>
  <c r="B5" i="1"/>
  <c r="B4" i="1"/>
  <c r="S27" i="1" l="1"/>
  <c r="N11" i="1"/>
  <c r="U29" i="1"/>
  <c r="R29" i="1"/>
  <c r="U27" i="1"/>
  <c r="U17" i="1"/>
  <c r="R27" i="1"/>
  <c r="R15" i="1"/>
  <c r="R17" i="1" s="1"/>
  <c r="Q17" i="1"/>
  <c r="T17" i="1"/>
  <c r="X17" i="1" l="1"/>
  <c r="W17" i="1"/>
  <c r="V17" i="1"/>
  <c r="S17" i="1"/>
  <c r="N5" i="1"/>
  <c r="N3" i="1"/>
  <c r="L2" i="1"/>
  <c r="K2" i="1"/>
  <c r="N4" i="1"/>
  <c r="N10" i="1" s="1"/>
  <c r="N12" i="1" s="1"/>
  <c r="N2" i="1" l="1"/>
  <c r="U30" i="1"/>
  <c r="U31" i="1" s="1"/>
  <c r="R30" i="1"/>
  <c r="R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Sultan, Awais</author>
  </authors>
  <commentList>
    <comment ref="B4" authorId="0" shapeId="0" xr:uid="{834D895C-3002-43F1-9EA3-9C2C66E590DC}">
      <text>
        <r>
          <rPr>
            <b/>
            <sz val="9"/>
            <color indexed="81"/>
            <rFont val="Tahoma"/>
            <family val="2"/>
          </rPr>
          <t>Sultan, Awais: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" authorId="0" shapeId="0" xr:uid="{8D5471B5-ADD1-441A-B2AA-C25CA2B47730}">
      <text>
        <r>
          <rPr>
            <b/>
            <sz val="9"/>
            <color indexed="81"/>
            <rFont val="Tahoma"/>
            <charset val="1"/>
          </rPr>
          <t>Sultan, Awais:</t>
        </r>
        <r>
          <rPr>
            <sz val="9"/>
            <color indexed="81"/>
            <rFont val="Tahoma"/>
            <charset val="1"/>
          </rPr>
          <t xml:space="preserve">
Two Fed tax ded. in Jan: 2838 + 42</t>
        </r>
      </text>
    </comment>
    <comment ref="C6" authorId="0" shapeId="0" xr:uid="{B29E8135-50AD-413C-8F79-1E353FA2D80B}">
      <text>
        <r>
          <rPr>
            <b/>
            <sz val="9"/>
            <color indexed="81"/>
            <rFont val="Tahoma"/>
            <family val="2"/>
          </rPr>
          <t>Sultan, Awais:</t>
        </r>
        <r>
          <rPr>
            <sz val="9"/>
            <color indexed="81"/>
            <rFont val="Tahoma"/>
            <family val="2"/>
          </rPr>
          <t xml:space="preserve">
IL DEPT EMPL SEC UNEMPL TAX
On 02/01</t>
        </r>
      </text>
    </comment>
    <comment ref="E6" authorId="0" shapeId="0" xr:uid="{58D544EC-71FF-4B20-AA6A-A5302F7D590A}">
      <text>
        <r>
          <rPr>
            <b/>
            <sz val="9"/>
            <color indexed="81"/>
            <rFont val="Tahoma"/>
            <family val="2"/>
          </rPr>
          <t>Sultan, Awais:</t>
        </r>
        <r>
          <rPr>
            <sz val="9"/>
            <color indexed="81"/>
            <rFont val="Tahoma"/>
            <family val="2"/>
          </rPr>
          <t xml:space="preserve">
IL DEPT EMPL SEC UNEMPL TAX
on 04/23</t>
        </r>
      </text>
    </comment>
    <comment ref="I6" authorId="0" shapeId="0" xr:uid="{CAEE86FF-1DDB-4350-96BC-51A5013A5072}">
      <text>
        <r>
          <rPr>
            <b/>
            <sz val="9"/>
            <color indexed="81"/>
            <rFont val="Tahoma"/>
            <family val="2"/>
          </rPr>
          <t>Sultan, Awais:</t>
        </r>
        <r>
          <rPr>
            <sz val="9"/>
            <color indexed="81"/>
            <rFont val="Tahoma"/>
            <family val="2"/>
          </rPr>
          <t xml:space="preserve">
IL DEPT EMPL SEC
on 08/01 </t>
        </r>
      </text>
    </comment>
  </commentList>
</comments>
</file>

<file path=xl/sharedStrings.xml><?xml version="1.0" encoding="utf-8"?>
<sst xmlns="http://schemas.openxmlformats.org/spreadsheetml/2006/main" count="154" uniqueCount="110">
  <si>
    <t>August</t>
  </si>
  <si>
    <t>September</t>
  </si>
  <si>
    <t>October</t>
  </si>
  <si>
    <t>November</t>
  </si>
  <si>
    <t>December</t>
  </si>
  <si>
    <t>Jan</t>
  </si>
  <si>
    <t>Feb</t>
  </si>
  <si>
    <t>Mar</t>
  </si>
  <si>
    <t>April</t>
  </si>
  <si>
    <t>May</t>
  </si>
  <si>
    <t>Jun</t>
  </si>
  <si>
    <t>State Tax</t>
  </si>
  <si>
    <t>Federal Tax (+FICA)</t>
  </si>
  <si>
    <t>Other Business Taxes</t>
  </si>
  <si>
    <t>Bus Income</t>
  </si>
  <si>
    <t>Monthly Pay</t>
  </si>
  <si>
    <t>July</t>
  </si>
  <si>
    <t>Total</t>
  </si>
  <si>
    <t>FedTax</t>
  </si>
  <si>
    <t>Should be</t>
  </si>
  <si>
    <t>FICA</t>
  </si>
  <si>
    <t>State</t>
  </si>
  <si>
    <t>Total Std Tax</t>
  </si>
  <si>
    <t>Single</t>
  </si>
  <si>
    <t>Single 401k+35k ded</t>
  </si>
  <si>
    <t>Tax rate</t>
  </si>
  <si>
    <t>Single filers</t>
  </si>
  <si>
    <t>Married filing jointly*</t>
  </si>
  <si>
    <t>$0 – $9,700</t>
  </si>
  <si>
    <t>$0 – $19,400</t>
  </si>
  <si>
    <t>$9,701 – $39,475</t>
  </si>
  <si>
    <t>$19,401 – $78,950</t>
  </si>
  <si>
    <t>$39,476 – $84,200</t>
  </si>
  <si>
    <t>$78,951 – $168,400</t>
  </si>
  <si>
    <t>$84,201 – $160,725</t>
  </si>
  <si>
    <t>$168,401 – $321,450</t>
  </si>
  <si>
    <t>Married Considering 104k.
22% and then 24% on top of 88</t>
  </si>
  <si>
    <t>Married Consider 104k
22% on all</t>
  </si>
  <si>
    <t>Married</t>
  </si>
  <si>
    <t>Married
15 401k</t>
  </si>
  <si>
    <t>Married
401k+35k ded</t>
  </si>
  <si>
    <t>Saliha</t>
  </si>
  <si>
    <t>Awais</t>
  </si>
  <si>
    <t>Single 
Deposit + 38k ded</t>
  </si>
  <si>
    <t>Married
Deposit + 38k ded</t>
  </si>
  <si>
    <t>Single 401k+35k+10k state tax ded</t>
  </si>
  <si>
    <t>Credit</t>
  </si>
  <si>
    <t>Tax to Pay</t>
  </si>
  <si>
    <t>Aw Total Tax</t>
  </si>
  <si>
    <t>Total Tax</t>
  </si>
  <si>
    <t>Single 132900 (SS Wages) - 6,155 401k</t>
  </si>
  <si>
    <t>Withheld</t>
  </si>
  <si>
    <t>Diff</t>
  </si>
  <si>
    <t>Saliha 
Monthly Income</t>
  </si>
  <si>
    <t xml:space="preserve">Notes: </t>
  </si>
  <si>
    <t>1. Didn't add FICA from employer side for Saliha since monthly employee pay was less than half of business earnings and FICA is applied on business earnings below.</t>
  </si>
  <si>
    <t>2. Didn't applied 20% deduction for business income. Not sure if it applies to net income or on income after other deductions.</t>
  </si>
  <si>
    <t>3. Didn't applied earning from Investments. Around 10k profit was deposited to bank account but some of it may have accounted in previous years.</t>
  </si>
  <si>
    <t>Awais Tot Deds</t>
  </si>
  <si>
    <t>Taxes</t>
  </si>
  <si>
    <t>MI</t>
  </si>
  <si>
    <t>Gifts to Charity.</t>
  </si>
  <si>
    <t>Bus Tot Deds</t>
  </si>
  <si>
    <t>Emp Fed</t>
  </si>
  <si>
    <t>Emp SST</t>
  </si>
  <si>
    <t>Emp MCT</t>
  </si>
  <si>
    <t>Emr SST</t>
  </si>
  <si>
    <t>Enr MCT</t>
  </si>
  <si>
    <t>Tot Income</t>
  </si>
  <si>
    <t>Awais Income</t>
  </si>
  <si>
    <t>Emp Income</t>
  </si>
  <si>
    <t>From my calc (Could be 42)</t>
  </si>
  <si>
    <t>FICA/FUTA/SUTA</t>
  </si>
  <si>
    <t>Bus Exp</t>
  </si>
  <si>
    <t>Total=</t>
  </si>
  <si>
    <t>Earned=</t>
  </si>
  <si>
    <t>Paid To emp</t>
  </si>
  <si>
    <t>Bus Ded</t>
  </si>
  <si>
    <t>Bus Profit</t>
  </si>
  <si>
    <t>Employee/Bus Taxes Paid</t>
  </si>
  <si>
    <t>Saliha Tax Inc=</t>
  </si>
  <si>
    <t>Ret (Roth IRA)</t>
  </si>
  <si>
    <t>is 29202031584194200</t>
  </si>
  <si>
    <t>Tot Inc=</t>
  </si>
  <si>
    <t>QBID=</t>
  </si>
  <si>
    <t>Total Bus Ded=</t>
  </si>
  <si>
    <t>Awais Inv Inc</t>
  </si>
  <si>
    <t>Sub Awais Ded</t>
  </si>
  <si>
    <t>22% app below 168400 for sal</t>
  </si>
  <si>
    <t>Married Considering 117993
22% and then 24% above 79742</t>
  </si>
  <si>
    <t>24% app above 168400 for Sal</t>
  </si>
  <si>
    <t>22% tax</t>
  </si>
  <si>
    <t>24% tax</t>
  </si>
  <si>
    <t>Fed tax to Pay</t>
  </si>
  <si>
    <t>Awais Fed Tax Withheld</t>
  </si>
  <si>
    <t>Add Creidt=</t>
  </si>
  <si>
    <t>ADD QBID=</t>
  </si>
  <si>
    <t>Total Tax Ret</t>
  </si>
  <si>
    <t>Ded</t>
  </si>
  <si>
    <t>Taxable Income</t>
  </si>
  <si>
    <t>Tax</t>
  </si>
  <si>
    <t>Rem Amount</t>
  </si>
  <si>
    <t>Prob Diff</t>
  </si>
  <si>
    <t>Tax Prob Diff</t>
  </si>
  <si>
    <t>Tot Ded All=</t>
  </si>
  <si>
    <t>Awais Only</t>
  </si>
  <si>
    <t>Evaluating Error of O68</t>
  </si>
  <si>
    <t>Somehow wrong value from another website smartAsset</t>
  </si>
  <si>
    <t>And same site giving tax inc QBID</t>
  </si>
  <si>
    <r>
      <t xml:space="preserve">Single 401k+35k+10k state tax ded
</t>
    </r>
    <r>
      <rPr>
        <sz val="11"/>
        <color rgb="FF0070C0"/>
        <rFont val="Calibri"/>
        <family val="2"/>
        <scheme val="minor"/>
      </rPr>
      <t>35k=20k and 10k=0 (as max 5 each is limit for married filing separately and 10k is already part of Awais)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</si>
</sst>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333333"/>
      <name val="Arial"/>
      <family val="2"/>
    </font>
    <font>
      <b/>
      <sz val="7"/>
      <color rgb="FF000000"/>
      <name val="Arial"/>
      <family val="2"/>
    </font>
    <font>
      <sz val="7"/>
      <color rgb="FF2222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BEBE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3" fontId="0" fillId="3" borderId="1" xfId="0" applyNumberFormat="1" applyFill="1" applyBorder="1"/>
    <xf numFmtId="3" fontId="3" fillId="3" borderId="1" xfId="0" applyNumberFormat="1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3" fontId="0" fillId="4" borderId="1" xfId="0" applyNumberForma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0" fontId="0" fillId="2" borderId="1" xfId="0" applyFill="1" applyBorder="1" applyAlignment="1">
      <alignment wrapText="1"/>
    </xf>
    <xf numFmtId="0" fontId="4" fillId="0" borderId="2" xfId="0" applyFont="1" applyBorder="1" applyAlignment="1">
      <alignment horizontal="left" vertical="top" wrapText="1"/>
    </xf>
    <xf numFmtId="9" fontId="5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3" fontId="0" fillId="7" borderId="0" xfId="0" applyNumberFormat="1" applyFill="1"/>
    <xf numFmtId="0" fontId="0" fillId="7" borderId="0" xfId="0" applyFill="1"/>
    <xf numFmtId="2" fontId="0" fillId="7" borderId="0" xfId="0" applyNumberFormat="1" applyFill="1"/>
    <xf numFmtId="0" fontId="0" fillId="0" borderId="0" xfId="0" applyFill="1"/>
    <xf numFmtId="3" fontId="0" fillId="0" borderId="0" xfId="0" applyNumberFormat="1" applyFill="1"/>
    <xf numFmtId="0" fontId="0" fillId="4" borderId="1" xfId="0" applyFill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/>
    <xf numFmtId="0" fontId="12" fillId="0" borderId="0" xfId="0" applyFont="1"/>
    <xf numFmtId="2" fontId="0" fillId="0" borderId="0" xfId="0" applyNumberFormat="1"/>
    <xf numFmtId="3" fontId="0" fillId="0" borderId="0" xfId="0" applyNumberFormat="1"/>
    <xf numFmtId="1" fontId="0" fillId="0" borderId="0" xfId="0" applyNumberFormat="1"/>
    <xf numFmtId="1" fontId="0" fillId="7" borderId="0" xfId="0" applyNumberFormat="1" applyFill="1"/>
    <xf numFmtId="3" fontId="8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0"/>
  <sheetViews>
    <sheetView tabSelected="1" topLeftCell="N19" workbookViewId="0">
      <selection activeCell="W28" sqref="W28"/>
    </sheetView>
  </sheetViews>
  <sheetFormatPr defaultRowHeight="14.5" x14ac:dyDescent="0.35"/>
  <cols>
    <col min="1" max="1" width="26.54296875" bestFit="1" customWidth="1"/>
    <col min="2" max="7" width="24.26953125" customWidth="1"/>
    <col min="9" max="9" width="12.26953125" bestFit="1" customWidth="1"/>
    <col min="13" max="13" width="14.6328125" customWidth="1"/>
    <col min="14" max="14" width="9.81640625" bestFit="1" customWidth="1"/>
    <col min="15" max="15" width="9.81640625" customWidth="1"/>
    <col min="16" max="16" width="13.81640625" bestFit="1" customWidth="1"/>
    <col min="17" max="17" width="20.54296875" customWidth="1"/>
    <col min="18" max="18" width="27" bestFit="1" customWidth="1"/>
    <col min="19" max="19" width="20.1796875" customWidth="1"/>
    <col min="20" max="20" width="16.90625" customWidth="1"/>
    <col min="21" max="21" width="20.81640625" customWidth="1"/>
    <col min="23" max="23" width="14.08984375" customWidth="1"/>
    <col min="24" max="24" width="15.90625" customWidth="1"/>
  </cols>
  <sheetData>
    <row r="1" spans="1:25" x14ac:dyDescent="0.35">
      <c r="A1" s="10"/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0" t="s">
        <v>16</v>
      </c>
      <c r="I1" s="10" t="s">
        <v>0</v>
      </c>
      <c r="J1" s="10" t="s">
        <v>1</v>
      </c>
      <c r="K1" s="10" t="s">
        <v>2</v>
      </c>
      <c r="L1" s="10" t="s">
        <v>3</v>
      </c>
      <c r="M1" s="10" t="s">
        <v>4</v>
      </c>
      <c r="N1" s="10" t="s">
        <v>17</v>
      </c>
    </row>
    <row r="2" spans="1:25" x14ac:dyDescent="0.35">
      <c r="A2" s="5" t="s">
        <v>14</v>
      </c>
      <c r="B2" s="6">
        <v>5849.4</v>
      </c>
      <c r="C2" s="6"/>
      <c r="D2" s="6">
        <v>7637.73</v>
      </c>
      <c r="E2" s="6">
        <v>13605.62</v>
      </c>
      <c r="F2" s="6">
        <v>6077.81</v>
      </c>
      <c r="G2" s="6">
        <v>16265.98</v>
      </c>
      <c r="H2" s="6">
        <v>12000</v>
      </c>
      <c r="I2" s="6">
        <v>15746</v>
      </c>
      <c r="J2" s="6">
        <v>13800</v>
      </c>
      <c r="K2" s="6">
        <f>12600</f>
        <v>12600</v>
      </c>
      <c r="L2" s="6">
        <f>20113.1+6528.24+3884.08+2705.05+1248.62</f>
        <v>34479.090000000004</v>
      </c>
      <c r="M2" s="6">
        <v>15659.95</v>
      </c>
      <c r="N2" s="9">
        <f>SUM(B2:M2)</f>
        <v>153721.58000000002</v>
      </c>
      <c r="Q2" t="s">
        <v>54</v>
      </c>
    </row>
    <row r="3" spans="1:25" x14ac:dyDescent="0.35">
      <c r="A3" s="5" t="s">
        <v>15</v>
      </c>
      <c r="B3" s="6"/>
      <c r="C3" s="6"/>
      <c r="D3" s="6"/>
      <c r="E3" s="6">
        <v>4200</v>
      </c>
      <c r="F3" s="6">
        <v>4200</v>
      </c>
      <c r="G3" s="6">
        <v>4200</v>
      </c>
      <c r="H3" s="6">
        <v>4200</v>
      </c>
      <c r="I3" s="6">
        <v>4200</v>
      </c>
      <c r="J3" s="6">
        <v>4200</v>
      </c>
      <c r="K3" s="6">
        <v>4200</v>
      </c>
      <c r="L3" s="6">
        <v>4200</v>
      </c>
      <c r="M3" s="6">
        <v>4200</v>
      </c>
      <c r="N3" s="9">
        <f>SUM(B3:M3)</f>
        <v>37800</v>
      </c>
      <c r="Q3" t="s">
        <v>55</v>
      </c>
    </row>
    <row r="4" spans="1:25" x14ac:dyDescent="0.35">
      <c r="A4" s="5" t="s">
        <v>11</v>
      </c>
      <c r="B4" s="6">
        <f>495.5</f>
        <v>495.5</v>
      </c>
      <c r="C4" s="6">
        <v>149</v>
      </c>
      <c r="D4" s="6"/>
      <c r="E4" s="6"/>
      <c r="F4" s="6">
        <v>495.5</v>
      </c>
      <c r="G4" s="6">
        <v>495.5</v>
      </c>
      <c r="H4" s="6">
        <v>495.5</v>
      </c>
      <c r="I4" s="6">
        <v>495.5</v>
      </c>
      <c r="J4" s="6">
        <v>495.5</v>
      </c>
      <c r="K4" s="6">
        <v>495.5</v>
      </c>
      <c r="L4" s="6">
        <v>495.5</v>
      </c>
      <c r="M4" s="6">
        <v>495.5</v>
      </c>
      <c r="N4" s="9">
        <f>SUM(B4:M4)</f>
        <v>4608.5</v>
      </c>
      <c r="Q4" t="s">
        <v>56</v>
      </c>
    </row>
    <row r="5" spans="1:25" x14ac:dyDescent="0.35">
      <c r="A5" s="5" t="s">
        <v>12</v>
      </c>
      <c r="B5" s="6">
        <f>2838+42</f>
        <v>2880</v>
      </c>
      <c r="C5" s="6"/>
      <c r="D5" s="6"/>
      <c r="E5" s="6"/>
      <c r="F5" s="6">
        <v>2838</v>
      </c>
      <c r="G5" s="6">
        <v>2838</v>
      </c>
      <c r="H5" s="6">
        <v>2838</v>
      </c>
      <c r="I5" s="6">
        <v>2838</v>
      </c>
      <c r="J5" s="6">
        <v>2838</v>
      </c>
      <c r="K5" s="6">
        <v>2838</v>
      </c>
      <c r="L5" s="6">
        <v>2838</v>
      </c>
      <c r="M5" s="6">
        <v>2838</v>
      </c>
      <c r="N5" s="9">
        <f>SUM(B5:M5)</f>
        <v>25584</v>
      </c>
      <c r="Q5" t="s">
        <v>57</v>
      </c>
    </row>
    <row r="6" spans="1:25" x14ac:dyDescent="0.35">
      <c r="A6" s="5" t="s">
        <v>13</v>
      </c>
      <c r="B6" s="6"/>
      <c r="C6" s="5">
        <v>417.96</v>
      </c>
      <c r="D6" s="6"/>
      <c r="E6" s="6">
        <v>222.25</v>
      </c>
      <c r="F6" s="6"/>
      <c r="G6" s="6"/>
      <c r="H6" s="6"/>
      <c r="I6" s="6">
        <v>189.23</v>
      </c>
      <c r="J6" s="6"/>
      <c r="K6" s="6"/>
      <c r="L6" s="6"/>
      <c r="M6" s="6"/>
      <c r="N6" s="9">
        <f>SUM(B6:M6)</f>
        <v>829.44</v>
      </c>
    </row>
    <row r="7" spans="1:25" x14ac:dyDescent="0.35">
      <c r="A7" s="5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8"/>
      <c r="P7" t="s">
        <v>41</v>
      </c>
    </row>
    <row r="8" spans="1:25" x14ac:dyDescent="0.35">
      <c r="A8" s="5"/>
      <c r="B8" s="7"/>
      <c r="C8" s="5"/>
      <c r="D8" s="7"/>
      <c r="E8" s="7"/>
      <c r="F8" s="7"/>
      <c r="G8" s="7"/>
      <c r="H8" s="5"/>
      <c r="I8" s="5"/>
      <c r="J8" s="5"/>
      <c r="K8" s="5"/>
      <c r="L8" s="5"/>
      <c r="M8" s="5"/>
      <c r="N8" s="8"/>
    </row>
    <row r="9" spans="1:25" ht="29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20" t="s">
        <v>53</v>
      </c>
      <c r="N9" s="8">
        <v>63000</v>
      </c>
      <c r="P9" s="1" t="s">
        <v>19</v>
      </c>
      <c r="Q9" s="11" t="s">
        <v>37</v>
      </c>
      <c r="R9" s="11" t="s">
        <v>36</v>
      </c>
      <c r="S9" s="1" t="s">
        <v>23</v>
      </c>
      <c r="T9" s="11" t="s">
        <v>24</v>
      </c>
      <c r="U9" s="11" t="s">
        <v>45</v>
      </c>
      <c r="V9" s="1" t="s">
        <v>38</v>
      </c>
      <c r="W9" s="11" t="s">
        <v>39</v>
      </c>
      <c r="X9" s="11" t="s">
        <v>40</v>
      </c>
      <c r="Y9" s="2"/>
    </row>
    <row r="10" spans="1:25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10" t="s">
        <v>22</v>
      </c>
      <c r="N10" s="9">
        <f>SUM(N4:N5)</f>
        <v>30192.5</v>
      </c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 t="s">
        <v>48</v>
      </c>
      <c r="N11" s="5">
        <f>21065.36+10170.69+6157.95</f>
        <v>37394</v>
      </c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 t="s">
        <v>49</v>
      </c>
      <c r="N12" s="6">
        <f>SUM(N10,N11)</f>
        <v>67586.5</v>
      </c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P13" s="2"/>
      <c r="Q13" s="3">
        <v>10469</v>
      </c>
      <c r="R13" s="3">
        <v>10469</v>
      </c>
      <c r="S13" s="3">
        <v>10469</v>
      </c>
      <c r="T13" s="3">
        <v>10469</v>
      </c>
      <c r="U13" s="3">
        <v>10469</v>
      </c>
      <c r="V13" s="3">
        <v>10469</v>
      </c>
      <c r="W13" s="3">
        <v>10469</v>
      </c>
      <c r="X13" s="3">
        <v>10469</v>
      </c>
      <c r="Y13" s="1" t="s">
        <v>20</v>
      </c>
    </row>
    <row r="14" spans="1:25" x14ac:dyDescent="0.35">
      <c r="P14" s="2"/>
      <c r="Q14" s="2">
        <v>6641</v>
      </c>
      <c r="R14" s="2">
        <v>6641</v>
      </c>
      <c r="S14" s="3">
        <v>7497</v>
      </c>
      <c r="T14" s="3">
        <v>6754</v>
      </c>
      <c r="U14" s="3">
        <v>6641</v>
      </c>
      <c r="V14" s="4">
        <v>7384</v>
      </c>
      <c r="W14" s="4">
        <v>6641</v>
      </c>
      <c r="X14" s="3">
        <v>6641</v>
      </c>
      <c r="Y14" s="1" t="s">
        <v>21</v>
      </c>
    </row>
    <row r="15" spans="1:25" x14ac:dyDescent="0.35">
      <c r="P15" s="2"/>
      <c r="Q15" s="2">
        <v>22880</v>
      </c>
      <c r="R15" s="2">
        <f>17688+5664</f>
        <v>23352</v>
      </c>
      <c r="S15" s="3">
        <v>28140</v>
      </c>
      <c r="T15" s="3">
        <v>17446</v>
      </c>
      <c r="U15" s="3">
        <v>15073</v>
      </c>
      <c r="V15" s="3">
        <v>20168</v>
      </c>
      <c r="W15" s="3">
        <v>16868</v>
      </c>
      <c r="X15" s="3">
        <v>13074</v>
      </c>
      <c r="Y15" s="1" t="s">
        <v>18</v>
      </c>
    </row>
    <row r="16" spans="1:25" ht="15" thickBot="1" x14ac:dyDescent="0.4">
      <c r="C16" s="12" t="s">
        <v>27</v>
      </c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" thickBot="1" x14ac:dyDescent="0.4">
      <c r="A17" s="12" t="s">
        <v>25</v>
      </c>
      <c r="B17" s="12" t="s">
        <v>26</v>
      </c>
      <c r="C17" s="12" t="s">
        <v>27</v>
      </c>
      <c r="P17" s="2"/>
      <c r="Q17" s="3">
        <f t="shared" ref="Q17:X17" si="0">SUM(Q13:Q15)</f>
        <v>39990</v>
      </c>
      <c r="R17" s="3">
        <f t="shared" si="0"/>
        <v>40462</v>
      </c>
      <c r="S17" s="3">
        <f t="shared" si="0"/>
        <v>46106</v>
      </c>
      <c r="T17" s="3">
        <f t="shared" si="0"/>
        <v>34669</v>
      </c>
      <c r="U17" s="3">
        <f t="shared" si="0"/>
        <v>32183</v>
      </c>
      <c r="V17" s="3">
        <f t="shared" si="0"/>
        <v>38021</v>
      </c>
      <c r="W17" s="3">
        <f t="shared" si="0"/>
        <v>33978</v>
      </c>
      <c r="X17" s="3">
        <f t="shared" si="0"/>
        <v>30184</v>
      </c>
      <c r="Y17" s="2"/>
    </row>
    <row r="18" spans="1:25" ht="15" thickBot="1" x14ac:dyDescent="0.4">
      <c r="A18" s="13">
        <v>0.1</v>
      </c>
      <c r="B18" s="14" t="s">
        <v>28</v>
      </c>
      <c r="C18" s="14" t="s">
        <v>29</v>
      </c>
    </row>
    <row r="19" spans="1:25" ht="15" thickBot="1" x14ac:dyDescent="0.4">
      <c r="A19" s="13">
        <v>0.12</v>
      </c>
      <c r="B19" s="14" t="s">
        <v>30</v>
      </c>
      <c r="C19" s="14" t="s">
        <v>31</v>
      </c>
      <c r="P19" t="s">
        <v>42</v>
      </c>
      <c r="Q19" t="s">
        <v>82</v>
      </c>
    </row>
    <row r="20" spans="1:25" ht="15" thickBot="1" x14ac:dyDescent="0.4">
      <c r="A20" s="13">
        <v>0.22</v>
      </c>
      <c r="B20" s="14" t="s">
        <v>32</v>
      </c>
      <c r="C20" s="14" t="s">
        <v>33</v>
      </c>
    </row>
    <row r="21" spans="1:25" ht="29.5" thickBot="1" x14ac:dyDescent="0.4">
      <c r="A21" s="13">
        <v>0.24</v>
      </c>
      <c r="B21" s="14" t="s">
        <v>34</v>
      </c>
      <c r="C21" s="14" t="s">
        <v>35</v>
      </c>
      <c r="P21" s="1" t="s">
        <v>19</v>
      </c>
      <c r="Q21" s="11"/>
      <c r="R21" s="11" t="s">
        <v>44</v>
      </c>
      <c r="S21" s="11" t="s">
        <v>50</v>
      </c>
      <c r="T21" s="11"/>
      <c r="U21" s="11" t="s">
        <v>43</v>
      </c>
      <c r="V21" s="1"/>
      <c r="W21" s="11"/>
      <c r="X21" s="11"/>
      <c r="Y21" s="2"/>
    </row>
    <row r="22" spans="1:25" x14ac:dyDescent="0.35"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P23" s="2"/>
      <c r="Q23" s="3"/>
      <c r="R23" s="3">
        <v>9639</v>
      </c>
      <c r="S23" s="3">
        <v>10167</v>
      </c>
      <c r="T23" s="3"/>
      <c r="U23" s="3">
        <v>9639</v>
      </c>
      <c r="V23" s="3"/>
      <c r="W23" s="3"/>
      <c r="X23" s="3"/>
      <c r="Y23" s="1" t="s">
        <v>20</v>
      </c>
    </row>
    <row r="24" spans="1:25" x14ac:dyDescent="0.35">
      <c r="P24" s="2"/>
      <c r="Q24" s="2"/>
      <c r="R24" s="3">
        <v>6012</v>
      </c>
      <c r="S24" s="3">
        <v>6161</v>
      </c>
      <c r="T24" s="3"/>
      <c r="U24" s="3">
        <v>6124</v>
      </c>
      <c r="V24" s="4"/>
      <c r="W24" s="4"/>
      <c r="X24" s="3"/>
      <c r="Y24" s="1" t="s">
        <v>21</v>
      </c>
    </row>
    <row r="25" spans="1:25" x14ac:dyDescent="0.35">
      <c r="P25" s="2"/>
      <c r="Q25" s="2"/>
      <c r="R25" s="3">
        <v>9754</v>
      </c>
      <c r="S25" s="3">
        <v>21665</v>
      </c>
      <c r="T25" s="3"/>
      <c r="U25" s="3">
        <v>13871</v>
      </c>
      <c r="V25" s="3"/>
      <c r="W25" s="3"/>
      <c r="X25" s="3"/>
      <c r="Y25" s="1" t="s">
        <v>18</v>
      </c>
    </row>
    <row r="26" spans="1:25" x14ac:dyDescent="0.35"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P27" s="2"/>
      <c r="Q27" s="3"/>
      <c r="R27" s="3">
        <f>SUM(R23:R25)</f>
        <v>25405</v>
      </c>
      <c r="S27" s="3">
        <f>SUM(S23:S25)</f>
        <v>37993</v>
      </c>
      <c r="T27" s="3"/>
      <c r="U27" s="3">
        <f>SUM(U23:U25)</f>
        <v>29634</v>
      </c>
      <c r="V27" s="3"/>
      <c r="W27" s="3"/>
      <c r="X27" s="3"/>
      <c r="Y27" s="2"/>
    </row>
    <row r="28" spans="1:25" x14ac:dyDescent="0.35">
      <c r="Q28" s="15" t="s">
        <v>46</v>
      </c>
      <c r="R28" s="15">
        <v>7200</v>
      </c>
      <c r="U28" s="15">
        <v>7200</v>
      </c>
      <c r="V28" s="19"/>
    </row>
    <row r="29" spans="1:25" x14ac:dyDescent="0.35">
      <c r="Q29" s="16" t="s">
        <v>47</v>
      </c>
      <c r="R29" s="15">
        <f>SUM(R17,R27)-R28</f>
        <v>58667</v>
      </c>
      <c r="U29" s="15">
        <f>SUM(U17,U27)-U28</f>
        <v>54617</v>
      </c>
      <c r="V29" s="18"/>
    </row>
    <row r="30" spans="1:25" x14ac:dyDescent="0.35">
      <c r="Q30" s="16" t="s">
        <v>51</v>
      </c>
      <c r="R30" s="17">
        <f>N12</f>
        <v>67586.5</v>
      </c>
      <c r="U30" s="17">
        <f>N12</f>
        <v>67586.5</v>
      </c>
    </row>
    <row r="31" spans="1:25" x14ac:dyDescent="0.35">
      <c r="Q31" s="16" t="s">
        <v>52</v>
      </c>
      <c r="R31" s="17">
        <f>R30-R29</f>
        <v>8919.5</v>
      </c>
      <c r="U31" s="17">
        <f>U30-U29</f>
        <v>12969.5</v>
      </c>
    </row>
    <row r="34" spans="16:25" x14ac:dyDescent="0.35">
      <c r="P34" s="22" t="s">
        <v>58</v>
      </c>
      <c r="S34" s="22" t="s">
        <v>62</v>
      </c>
      <c r="V34" s="22" t="s">
        <v>79</v>
      </c>
    </row>
    <row r="35" spans="16:25" x14ac:dyDescent="0.35">
      <c r="P35" t="s">
        <v>59</v>
      </c>
      <c r="Q35">
        <v>10000</v>
      </c>
      <c r="S35" t="s">
        <v>72</v>
      </c>
      <c r="T35">
        <v>5280</v>
      </c>
      <c r="V35" t="s">
        <v>63</v>
      </c>
      <c r="W35">
        <v>15903</v>
      </c>
    </row>
    <row r="36" spans="16:25" x14ac:dyDescent="0.35">
      <c r="P36" t="s">
        <v>60</v>
      </c>
      <c r="Q36">
        <v>11901</v>
      </c>
      <c r="S36" t="s">
        <v>73</v>
      </c>
      <c r="T36">
        <v>14871</v>
      </c>
      <c r="V36" t="s">
        <v>64</v>
      </c>
      <c r="W36">
        <v>3906</v>
      </c>
    </row>
    <row r="37" spans="16:25" x14ac:dyDescent="0.35">
      <c r="P37" t="s">
        <v>61</v>
      </c>
      <c r="Q37">
        <v>16715</v>
      </c>
      <c r="S37" t="s">
        <v>81</v>
      </c>
      <c r="T37" s="25">
        <v>15750</v>
      </c>
      <c r="U37" s="24"/>
      <c r="V37" t="s">
        <v>65</v>
      </c>
      <c r="W37">
        <v>914</v>
      </c>
    </row>
    <row r="38" spans="16:25" x14ac:dyDescent="0.35">
      <c r="Q38" s="16">
        <f>SUM(Q35:Q37)</f>
        <v>38616</v>
      </c>
      <c r="S38" t="s">
        <v>74</v>
      </c>
      <c r="T38" s="16">
        <f>SUM(T35:T37)</f>
        <v>35901</v>
      </c>
      <c r="V38" t="s">
        <v>66</v>
      </c>
      <c r="W38">
        <f>4820-W39</f>
        <v>3906</v>
      </c>
    </row>
    <row r="39" spans="16:25" x14ac:dyDescent="0.35">
      <c r="S39" t="s">
        <v>84</v>
      </c>
      <c r="T39">
        <f>(20*T46)/100</f>
        <v>10998.6</v>
      </c>
      <c r="V39" t="s">
        <v>67</v>
      </c>
      <c r="W39">
        <v>914</v>
      </c>
    </row>
    <row r="40" spans="16:25" x14ac:dyDescent="0.35">
      <c r="P40" s="22" t="s">
        <v>68</v>
      </c>
      <c r="S40" t="s">
        <v>85</v>
      </c>
      <c r="T40" s="16">
        <f>SUM(T38:T39)</f>
        <v>46899.6</v>
      </c>
      <c r="W40" s="16">
        <f>SUM(W35:W39)</f>
        <v>25543</v>
      </c>
      <c r="X40">
        <v>25584</v>
      </c>
      <c r="Y40" s="23" t="s">
        <v>71</v>
      </c>
    </row>
    <row r="41" spans="16:25" x14ac:dyDescent="0.35">
      <c r="P41" t="s">
        <v>69</v>
      </c>
      <c r="Q41">
        <v>126745.37</v>
      </c>
      <c r="U41">
        <v>153721.57999999999</v>
      </c>
    </row>
    <row r="42" spans="16:25" x14ac:dyDescent="0.35">
      <c r="P42" t="s">
        <v>70</v>
      </c>
      <c r="Q42">
        <v>63000</v>
      </c>
      <c r="S42" s="22" t="s">
        <v>78</v>
      </c>
    </row>
    <row r="43" spans="16:25" x14ac:dyDescent="0.35">
      <c r="P43" t="s">
        <v>17</v>
      </c>
      <c r="Q43" s="16">
        <f>SUM(Q41:Q42)</f>
        <v>189745.37</v>
      </c>
      <c r="S43" t="s">
        <v>75</v>
      </c>
      <c r="T43">
        <v>153894</v>
      </c>
    </row>
    <row r="44" spans="16:25" x14ac:dyDescent="0.35">
      <c r="P44" t="s">
        <v>86</v>
      </c>
      <c r="Q44">
        <f>374+155</f>
        <v>529</v>
      </c>
      <c r="S44" t="s">
        <v>76</v>
      </c>
      <c r="T44">
        <v>63000</v>
      </c>
    </row>
    <row r="45" spans="16:25" x14ac:dyDescent="0.35">
      <c r="P45" t="s">
        <v>78</v>
      </c>
      <c r="Q45">
        <f>T46</f>
        <v>54993</v>
      </c>
      <c r="S45" t="s">
        <v>77</v>
      </c>
      <c r="T45">
        <f>T38</f>
        <v>35901</v>
      </c>
    </row>
    <row r="46" spans="16:25" x14ac:dyDescent="0.35">
      <c r="P46" t="s">
        <v>83</v>
      </c>
      <c r="Q46" s="29">
        <f>SUM(Q43:Q45)</f>
        <v>245267.37</v>
      </c>
      <c r="S46" t="s">
        <v>74</v>
      </c>
      <c r="T46" s="16">
        <f>T43-T44-T45</f>
        <v>54993</v>
      </c>
    </row>
    <row r="47" spans="16:25" x14ac:dyDescent="0.35">
      <c r="S47" t="s">
        <v>80</v>
      </c>
      <c r="T47" s="16">
        <f>SUM(T44,T46)</f>
        <v>117993</v>
      </c>
    </row>
    <row r="48" spans="16:25" x14ac:dyDescent="0.35">
      <c r="P48" t="s">
        <v>104</v>
      </c>
      <c r="Q48" s="29">
        <f>Q38+T39</f>
        <v>49614.6</v>
      </c>
    </row>
    <row r="49" spans="16:25" x14ac:dyDescent="0.35">
      <c r="Q49" t="s">
        <v>69</v>
      </c>
      <c r="R49" s="21">
        <v>127274</v>
      </c>
      <c r="S49" t="s">
        <v>87</v>
      </c>
      <c r="T49" s="21">
        <f>R49-Q38</f>
        <v>88658</v>
      </c>
      <c r="U49" t="s">
        <v>88</v>
      </c>
      <c r="V49" s="21">
        <f>168400-T49</f>
        <v>79742</v>
      </c>
      <c r="W49" t="s">
        <v>90</v>
      </c>
      <c r="X49" s="21">
        <v>38251</v>
      </c>
    </row>
    <row r="50" spans="16:25" x14ac:dyDescent="0.35">
      <c r="Q50" t="s">
        <v>94</v>
      </c>
      <c r="R50">
        <v>21065.360000000001</v>
      </c>
      <c r="U50" t="s">
        <v>91</v>
      </c>
      <c r="V50" s="21">
        <v>17543.240000000002</v>
      </c>
      <c r="W50" t="s">
        <v>92</v>
      </c>
      <c r="X50" s="21">
        <v>9180.24</v>
      </c>
    </row>
    <row r="51" spans="16:25" x14ac:dyDescent="0.35">
      <c r="P51" t="s">
        <v>41</v>
      </c>
    </row>
    <row r="52" spans="16:25" ht="101.5" x14ac:dyDescent="0.35">
      <c r="P52" s="1" t="s">
        <v>19</v>
      </c>
      <c r="Q52" s="11" t="s">
        <v>37</v>
      </c>
      <c r="R52" s="11" t="s">
        <v>89</v>
      </c>
      <c r="S52" s="1" t="s">
        <v>23</v>
      </c>
      <c r="T52" s="11" t="s">
        <v>24</v>
      </c>
      <c r="U52" s="11" t="s">
        <v>109</v>
      </c>
      <c r="V52" s="1" t="s">
        <v>38</v>
      </c>
      <c r="W52" s="11" t="s">
        <v>39</v>
      </c>
      <c r="X52" s="11" t="s">
        <v>40</v>
      </c>
      <c r="Y52" s="2"/>
    </row>
    <row r="53" spans="16:25" x14ac:dyDescent="0.35"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6:25" x14ac:dyDescent="0.35"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6:25" x14ac:dyDescent="0.35"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6:25" x14ac:dyDescent="0.35">
      <c r="P56" s="2"/>
      <c r="Q56" s="3">
        <v>10469</v>
      </c>
      <c r="R56" s="3"/>
      <c r="S56" s="3">
        <v>10469</v>
      </c>
      <c r="T56" s="3">
        <v>10469</v>
      </c>
      <c r="U56" s="3"/>
      <c r="V56" s="3">
        <v>10469</v>
      </c>
      <c r="W56" s="3">
        <v>10469</v>
      </c>
      <c r="X56" s="3">
        <v>10469</v>
      </c>
      <c r="Y56" s="1" t="s">
        <v>20</v>
      </c>
    </row>
    <row r="57" spans="16:25" x14ac:dyDescent="0.35">
      <c r="P57" s="2"/>
      <c r="Q57" s="2">
        <v>6641</v>
      </c>
      <c r="R57" s="2"/>
      <c r="S57" s="3">
        <v>7497</v>
      </c>
      <c r="T57" s="3">
        <v>6754</v>
      </c>
      <c r="U57" s="3"/>
      <c r="V57" s="4">
        <v>7384</v>
      </c>
      <c r="W57" s="4">
        <v>6641</v>
      </c>
      <c r="X57" s="3">
        <v>6641</v>
      </c>
      <c r="Y57" s="1" t="s">
        <v>21</v>
      </c>
    </row>
    <row r="58" spans="16:25" x14ac:dyDescent="0.35">
      <c r="P58" s="2"/>
      <c r="Q58" s="2">
        <v>22880</v>
      </c>
      <c r="R58" s="2">
        <f>SUM(V50,X50)</f>
        <v>26723.480000000003</v>
      </c>
      <c r="S58" s="3">
        <v>28140</v>
      </c>
      <c r="T58" s="3">
        <v>17446</v>
      </c>
      <c r="U58" s="3">
        <v>22488</v>
      </c>
      <c r="V58" s="3">
        <v>20168</v>
      </c>
      <c r="W58" s="3">
        <v>16868</v>
      </c>
      <c r="X58" s="3">
        <v>13074</v>
      </c>
      <c r="Y58" s="1" t="s">
        <v>18</v>
      </c>
    </row>
    <row r="59" spans="16:25" x14ac:dyDescent="0.35"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6:25" x14ac:dyDescent="0.35">
      <c r="P60" s="2"/>
      <c r="Q60" s="3">
        <f t="shared" ref="Q60:X60" si="1">SUM(Q56:Q58)</f>
        <v>39990</v>
      </c>
      <c r="R60" s="3">
        <f t="shared" si="1"/>
        <v>26723.480000000003</v>
      </c>
      <c r="S60" s="3">
        <f t="shared" si="1"/>
        <v>46106</v>
      </c>
      <c r="T60" s="3">
        <f t="shared" si="1"/>
        <v>34669</v>
      </c>
      <c r="U60" s="3">
        <f t="shared" si="1"/>
        <v>22488</v>
      </c>
      <c r="V60" s="3">
        <f t="shared" si="1"/>
        <v>38021</v>
      </c>
      <c r="W60" s="3">
        <f t="shared" si="1"/>
        <v>33978</v>
      </c>
      <c r="X60" s="3">
        <f t="shared" si="1"/>
        <v>30184</v>
      </c>
      <c r="Y60" s="2"/>
    </row>
    <row r="62" spans="16:25" x14ac:dyDescent="0.35">
      <c r="P62" t="s">
        <v>42</v>
      </c>
      <c r="Q62">
        <v>2.92020315841942E+16</v>
      </c>
    </row>
    <row r="64" spans="16:25" ht="29" x14ac:dyDescent="0.35">
      <c r="P64" s="1" t="s">
        <v>19</v>
      </c>
      <c r="Q64" s="11"/>
      <c r="R64" s="11" t="s">
        <v>44</v>
      </c>
      <c r="S64" s="11" t="s">
        <v>50</v>
      </c>
      <c r="T64" s="11"/>
      <c r="U64" s="11" t="s">
        <v>43</v>
      </c>
      <c r="V64" s="1"/>
      <c r="W64" s="11"/>
      <c r="X64" s="11"/>
      <c r="Y64" s="2"/>
    </row>
    <row r="65" spans="12:25" x14ac:dyDescent="0.35"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2:25" x14ac:dyDescent="0.35">
      <c r="P66" s="2"/>
      <c r="Q66" s="3"/>
      <c r="R66" s="3">
        <v>9736</v>
      </c>
      <c r="S66" s="3">
        <v>10167</v>
      </c>
      <c r="T66" s="3"/>
      <c r="U66" s="3">
        <v>9639</v>
      </c>
      <c r="V66" s="3"/>
      <c r="W66" s="3"/>
      <c r="X66" s="3"/>
      <c r="Y66" s="1" t="s">
        <v>20</v>
      </c>
    </row>
    <row r="67" spans="12:25" x14ac:dyDescent="0.35">
      <c r="P67" s="2"/>
      <c r="Q67" s="2"/>
      <c r="R67" s="3">
        <v>6075</v>
      </c>
      <c r="S67" s="3">
        <v>6161</v>
      </c>
      <c r="T67" s="3"/>
      <c r="U67" s="3">
        <v>6124</v>
      </c>
      <c r="V67" s="4"/>
      <c r="W67" s="4"/>
      <c r="X67" s="3"/>
      <c r="Y67" s="1" t="s">
        <v>21</v>
      </c>
    </row>
    <row r="68" spans="12:25" x14ac:dyDescent="0.35">
      <c r="L68" t="s">
        <v>107</v>
      </c>
      <c r="O68" s="30">
        <v>9885</v>
      </c>
      <c r="P68" s="2"/>
      <c r="Q68" s="2"/>
      <c r="R68" s="3">
        <v>11225</v>
      </c>
      <c r="S68" s="3">
        <v>21665</v>
      </c>
      <c r="T68" s="3"/>
      <c r="U68" s="3">
        <v>15456</v>
      </c>
      <c r="V68" s="3"/>
      <c r="W68" s="3"/>
      <c r="X68" s="3"/>
      <c r="Y68" s="1" t="s">
        <v>18</v>
      </c>
    </row>
    <row r="69" spans="12:25" x14ac:dyDescent="0.35"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2:25" x14ac:dyDescent="0.35">
      <c r="P70" s="2"/>
      <c r="Q70" s="3"/>
      <c r="R70" s="3">
        <f>SUM(R66:R68)</f>
        <v>27036</v>
      </c>
      <c r="S70" s="3">
        <f>SUM(S66:S68)</f>
        <v>37993</v>
      </c>
      <c r="T70" s="3"/>
      <c r="U70" s="3">
        <f>SUM(U66:U68)</f>
        <v>31219</v>
      </c>
      <c r="V70" s="3"/>
      <c r="W70" s="3"/>
      <c r="X70" s="3"/>
      <c r="Y70" s="2"/>
    </row>
    <row r="71" spans="12:25" x14ac:dyDescent="0.35">
      <c r="Q71" s="15" t="s">
        <v>46</v>
      </c>
      <c r="R71" s="15">
        <v>7200</v>
      </c>
      <c r="U71" s="15">
        <v>7200</v>
      </c>
      <c r="V71" s="19"/>
    </row>
    <row r="72" spans="12:25" x14ac:dyDescent="0.35">
      <c r="Q72" s="16" t="s">
        <v>47</v>
      </c>
      <c r="R72" s="15">
        <f>SUM(R60,R70)-R71</f>
        <v>46559.48</v>
      </c>
      <c r="U72" s="15">
        <f>SUM(U60,U70)-U71</f>
        <v>46507</v>
      </c>
      <c r="V72" s="18"/>
    </row>
    <row r="73" spans="12:25" x14ac:dyDescent="0.35">
      <c r="M73" t="s">
        <v>107</v>
      </c>
      <c r="N73" t="s">
        <v>107</v>
      </c>
      <c r="O73" t="s">
        <v>107</v>
      </c>
      <c r="P73" s="24">
        <v>35545</v>
      </c>
      <c r="Q73" s="16" t="s">
        <v>93</v>
      </c>
      <c r="R73" s="15">
        <f>R68+R58</f>
        <v>37948.480000000003</v>
      </c>
      <c r="S73" s="27">
        <f>R73-R77</f>
        <v>35308.816000000006</v>
      </c>
      <c r="U73" s="15">
        <f>U68+U58</f>
        <v>37944</v>
      </c>
      <c r="V73" s="19">
        <f>U73-U77</f>
        <v>35304.336000000003</v>
      </c>
    </row>
    <row r="74" spans="12:25" x14ac:dyDescent="0.35">
      <c r="M74" t="s">
        <v>108</v>
      </c>
      <c r="P74" s="24">
        <v>32905</v>
      </c>
      <c r="Q74" s="16" t="s">
        <v>51</v>
      </c>
      <c r="R74" s="17">
        <f>R50+W35</f>
        <v>36968.36</v>
      </c>
      <c r="U74" s="17">
        <f>R74</f>
        <v>36968.36</v>
      </c>
    </row>
    <row r="75" spans="12:25" x14ac:dyDescent="0.35">
      <c r="Q75" s="16" t="s">
        <v>52</v>
      </c>
      <c r="R75" s="17">
        <f>R74-R73</f>
        <v>-980.12000000000262</v>
      </c>
      <c r="U75" s="17">
        <f>U74-U73</f>
        <v>-975.63999999999942</v>
      </c>
    </row>
    <row r="76" spans="12:25" x14ac:dyDescent="0.35">
      <c r="Q76" s="16" t="s">
        <v>95</v>
      </c>
      <c r="R76" s="17">
        <f>R75+R71</f>
        <v>6219.8799999999974</v>
      </c>
      <c r="U76" s="17">
        <f>U75+U71</f>
        <v>6224.3600000000006</v>
      </c>
    </row>
    <row r="77" spans="12:25" x14ac:dyDescent="0.35">
      <c r="Q77" s="16" t="s">
        <v>96</v>
      </c>
      <c r="R77" s="16">
        <f>(T39*24)/100</f>
        <v>2639.6640000000002</v>
      </c>
      <c r="U77" s="16">
        <f>(T39*24)/100</f>
        <v>2639.6640000000002</v>
      </c>
    </row>
    <row r="78" spans="12:25" x14ac:dyDescent="0.35">
      <c r="Q78" s="16" t="s">
        <v>97</v>
      </c>
      <c r="R78" s="17">
        <f>SUM(R76,R77)</f>
        <v>8859.5439999999981</v>
      </c>
      <c r="U78" s="17">
        <f>SUM(U76,U77)</f>
        <v>8864.0240000000013</v>
      </c>
    </row>
    <row r="81" spans="17:20" x14ac:dyDescent="0.35">
      <c r="Q81" s="16" t="s">
        <v>68</v>
      </c>
      <c r="R81">
        <f>R49+T47</f>
        <v>245267</v>
      </c>
    </row>
    <row r="82" spans="17:20" x14ac:dyDescent="0.35">
      <c r="Q82" s="16" t="s">
        <v>98</v>
      </c>
      <c r="R82" s="28">
        <f>T39+Q38</f>
        <v>49614.6</v>
      </c>
    </row>
    <row r="83" spans="17:20" x14ac:dyDescent="0.35">
      <c r="Q83" s="16" t="s">
        <v>99</v>
      </c>
      <c r="R83" s="28">
        <f>R81-R82</f>
        <v>195652.4</v>
      </c>
    </row>
    <row r="84" spans="17:20" x14ac:dyDescent="0.35">
      <c r="S84" t="s">
        <v>100</v>
      </c>
      <c r="T84" t="s">
        <v>101</v>
      </c>
    </row>
    <row r="85" spans="17:20" ht="15" thickBot="1" x14ac:dyDescent="0.4">
      <c r="Q85" s="14"/>
      <c r="R85" s="14">
        <v>0</v>
      </c>
      <c r="T85" s="28"/>
    </row>
    <row r="86" spans="17:20" ht="15" thickBot="1" x14ac:dyDescent="0.4">
      <c r="Q86" s="14">
        <v>10</v>
      </c>
      <c r="R86" s="14">
        <v>19400</v>
      </c>
      <c r="S86">
        <f>((R86-R85)*Q86)/100</f>
        <v>1940</v>
      </c>
      <c r="T86" s="28">
        <f>R83-R86</f>
        <v>176252.4</v>
      </c>
    </row>
    <row r="87" spans="17:20" ht="15" thickBot="1" x14ac:dyDescent="0.4">
      <c r="Q87" s="14">
        <v>12</v>
      </c>
      <c r="R87" s="14">
        <v>78950</v>
      </c>
      <c r="S87">
        <f>((R87-R86)*Q87)/100</f>
        <v>7146</v>
      </c>
      <c r="T87" s="28">
        <f>R83-R87</f>
        <v>116702.39999999999</v>
      </c>
    </row>
    <row r="88" spans="17:20" ht="15" thickBot="1" x14ac:dyDescent="0.4">
      <c r="Q88" s="14">
        <v>22</v>
      </c>
      <c r="R88" s="14">
        <v>168400</v>
      </c>
      <c r="S88">
        <f>((R88-R87)*Q88)/100</f>
        <v>19679</v>
      </c>
      <c r="T88" s="28">
        <f>R83-R88</f>
        <v>27252.399999999994</v>
      </c>
    </row>
    <row r="89" spans="17:20" ht="15" thickBot="1" x14ac:dyDescent="0.4">
      <c r="Q89" s="14">
        <v>24</v>
      </c>
      <c r="R89" s="14">
        <v>321450</v>
      </c>
      <c r="S89">
        <f>(T88*Q89)/100</f>
        <v>6540.5759999999982</v>
      </c>
    </row>
    <row r="90" spans="17:20" x14ac:dyDescent="0.35">
      <c r="R90" t="s">
        <v>17</v>
      </c>
      <c r="S90">
        <f>SUM(S86:S89)</f>
        <v>35305.576000000001</v>
      </c>
    </row>
    <row r="92" spans="17:20" x14ac:dyDescent="0.35">
      <c r="Q92" t="s">
        <v>105</v>
      </c>
      <c r="S92" t="s">
        <v>100</v>
      </c>
      <c r="T92" t="s">
        <v>101</v>
      </c>
    </row>
    <row r="93" spans="17:20" ht="15" thickBot="1" x14ac:dyDescent="0.4">
      <c r="Q93" s="14"/>
      <c r="R93" s="14">
        <v>0</v>
      </c>
      <c r="T93" s="28"/>
    </row>
    <row r="94" spans="17:20" ht="15" thickBot="1" x14ac:dyDescent="0.4">
      <c r="Q94" s="14">
        <v>10</v>
      </c>
      <c r="R94" s="14">
        <v>19400</v>
      </c>
      <c r="S94">
        <f>((R94-R93)*Q94)/100</f>
        <v>1940</v>
      </c>
      <c r="T94" s="28">
        <f>T49-R94</f>
        <v>69258</v>
      </c>
    </row>
    <row r="95" spans="17:20" ht="15" thickBot="1" x14ac:dyDescent="0.4">
      <c r="Q95" s="14">
        <v>12</v>
      </c>
      <c r="R95" s="14">
        <v>78950</v>
      </c>
      <c r="S95">
        <f>((R95-R94)*Q95)/100</f>
        <v>7146</v>
      </c>
      <c r="T95" s="28">
        <f>T49-R95</f>
        <v>9708</v>
      </c>
    </row>
    <row r="96" spans="17:20" ht="15" thickBot="1" x14ac:dyDescent="0.4">
      <c r="Q96" s="14">
        <v>22</v>
      </c>
      <c r="R96" s="14">
        <v>168400</v>
      </c>
      <c r="S96">
        <f>(T95*Q96)/100</f>
        <v>2135.7600000000002</v>
      </c>
      <c r="T96" s="28">
        <v>0</v>
      </c>
    </row>
    <row r="97" spans="17:21" ht="15" thickBot="1" x14ac:dyDescent="0.4">
      <c r="Q97" s="14">
        <v>24</v>
      </c>
      <c r="R97" s="14">
        <v>321450</v>
      </c>
      <c r="S97">
        <v>0</v>
      </c>
    </row>
    <row r="98" spans="17:21" x14ac:dyDescent="0.35">
      <c r="R98" t="s">
        <v>17</v>
      </c>
      <c r="S98">
        <f>SUM(S94:S97)</f>
        <v>11221.76</v>
      </c>
    </row>
    <row r="100" spans="17:21" x14ac:dyDescent="0.35">
      <c r="Q100" t="s">
        <v>106</v>
      </c>
      <c r="S100" t="s">
        <v>100</v>
      </c>
      <c r="T100" t="s">
        <v>101</v>
      </c>
      <c r="U100" s="28">
        <f>R83-12200</f>
        <v>183452.4</v>
      </c>
    </row>
    <row r="101" spans="17:21" ht="15" thickBot="1" x14ac:dyDescent="0.4">
      <c r="Q101" s="14"/>
      <c r="R101" s="14">
        <v>0</v>
      </c>
      <c r="T101" s="28"/>
    </row>
    <row r="102" spans="17:21" ht="15" thickBot="1" x14ac:dyDescent="0.4">
      <c r="Q102" s="14">
        <v>10</v>
      </c>
      <c r="R102" s="14">
        <v>19400</v>
      </c>
      <c r="S102">
        <f>((R102-R101)*Q102)/100</f>
        <v>1940</v>
      </c>
      <c r="T102" s="28">
        <f>U100-R102</f>
        <v>164052.4</v>
      </c>
    </row>
    <row r="103" spans="17:21" ht="15" thickBot="1" x14ac:dyDescent="0.4">
      <c r="Q103" s="14">
        <v>12</v>
      </c>
      <c r="R103" s="14">
        <v>78950</v>
      </c>
      <c r="S103">
        <f>((R103-R102)*Q103)/100</f>
        <v>7146</v>
      </c>
      <c r="T103" s="28">
        <f>U100-R103</f>
        <v>104502.39999999999</v>
      </c>
    </row>
    <row r="104" spans="17:21" ht="15" thickBot="1" x14ac:dyDescent="0.4">
      <c r="Q104" s="14">
        <v>22</v>
      </c>
      <c r="R104" s="14">
        <v>168400</v>
      </c>
      <c r="S104">
        <f>((R104-R103)*Q104)/100</f>
        <v>19679</v>
      </c>
      <c r="T104" s="28">
        <f>U100-R104</f>
        <v>15052.399999999994</v>
      </c>
    </row>
    <row r="105" spans="17:21" ht="15" thickBot="1" x14ac:dyDescent="0.4">
      <c r="Q105" s="14">
        <v>24</v>
      </c>
      <c r="R105" s="14">
        <v>321450</v>
      </c>
      <c r="S105">
        <f>(T104*Q105)/100</f>
        <v>3612.5759999999987</v>
      </c>
    </row>
    <row r="106" spans="17:21" x14ac:dyDescent="0.35">
      <c r="R106" t="s">
        <v>17</v>
      </c>
      <c r="S106">
        <f>SUM(S102:S105)</f>
        <v>32377.575999999997</v>
      </c>
    </row>
    <row r="108" spans="17:21" x14ac:dyDescent="0.35">
      <c r="R108" t="s">
        <v>17</v>
      </c>
      <c r="S108">
        <f>SUM(S94:S97)</f>
        <v>11221.76</v>
      </c>
    </row>
    <row r="109" spans="17:21" x14ac:dyDescent="0.35">
      <c r="R109" t="s">
        <v>102</v>
      </c>
      <c r="S109" s="27">
        <f>S108-R68</f>
        <v>-3.2399999999997817</v>
      </c>
    </row>
    <row r="110" spans="17:21" x14ac:dyDescent="0.35">
      <c r="R110" t="s">
        <v>103</v>
      </c>
      <c r="S110" s="26">
        <f>R78-S109</f>
        <v>8862.7839999999978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 Bancorp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Awais</dc:creator>
  <cp:lastModifiedBy>Sultan, Awais</cp:lastModifiedBy>
  <dcterms:created xsi:type="dcterms:W3CDTF">2019-02-04T06:02:17Z</dcterms:created>
  <dcterms:modified xsi:type="dcterms:W3CDTF">2020-03-09T08:54:19Z</dcterms:modified>
</cp:coreProperties>
</file>