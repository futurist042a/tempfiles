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XSULT1\Documents\AXSULT1-Workspace\Personal-Documents\CarryForward\Budget\2019 Tax Return Docs\eval\"/>
    </mc:Choice>
  </mc:AlternateContent>
  <xr:revisionPtr revIDLastSave="0" documentId="13_ncr:1_{46D8216D-7E80-49EE-9947-DE2C6B8E677C}" xr6:coauthVersionLast="36" xr6:coauthVersionMax="36" xr10:uidLastSave="{00000000-0000-0000-0000-000000000000}"/>
  <bookViews>
    <workbookView xWindow="0" yWindow="0" windowWidth="23040" windowHeight="1067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17" i="2" l="1"/>
  <c r="C25" i="2"/>
  <c r="D17" i="2" l="1"/>
  <c r="C5" i="2"/>
  <c r="C4" i="2"/>
  <c r="C10" i="2"/>
  <c r="B23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B5" i="1" l="1"/>
  <c r="B7" i="1"/>
  <c r="B3" i="1"/>
  <c r="B12" i="1"/>
  <c r="B4" i="1"/>
  <c r="B6" i="1"/>
  <c r="B2" i="1"/>
  <c r="B9" i="1" l="1"/>
</calcChain>
</file>

<file path=xl/sharedStrings.xml><?xml version="1.0" encoding="utf-8"?>
<sst xmlns="http://schemas.openxmlformats.org/spreadsheetml/2006/main" count="58" uniqueCount="57">
  <si>
    <t>Holiday Presents for Office staff</t>
  </si>
  <si>
    <t>Babysitter</t>
  </si>
  <si>
    <t>Total=</t>
  </si>
  <si>
    <t>Category Total</t>
  </si>
  <si>
    <t>Business - Food</t>
  </si>
  <si>
    <t>Business - Travel, Gas, Lodging</t>
  </si>
  <si>
    <t>Business/Family - Food</t>
  </si>
  <si>
    <t>Business - Bills</t>
  </si>
  <si>
    <t>Business - Office Expenses/ Licensing/ Training</t>
  </si>
  <si>
    <t>Business/Family - Travel, Gas, Lodging</t>
  </si>
  <si>
    <t>What About:</t>
  </si>
  <si>
    <t>Grocery</t>
  </si>
  <si>
    <t>Medical</t>
  </si>
  <si>
    <t>Clothes for official work.</t>
  </si>
  <si>
    <t>Kids daycare</t>
  </si>
  <si>
    <t>Business - Periodic Taxes</t>
  </si>
  <si>
    <t>Hairs/Makeup (Self Grooming)</t>
  </si>
  <si>
    <t>Parents ticket to take care of kids is in Family Lodging category.</t>
  </si>
  <si>
    <t>Instead of adding Home Insurance I keep the other house bills sine they are almost equal.</t>
  </si>
  <si>
    <t>Donation (for both Awais &amp; Saliha)</t>
  </si>
  <si>
    <t>Loan (taken for Saliha University) - Interest Payment (Mohela)</t>
  </si>
  <si>
    <t>Automobile and truck Expense</t>
  </si>
  <si>
    <t>(Uber, Car Maint, Gas)</t>
  </si>
  <si>
    <t>Internet</t>
  </si>
  <si>
    <t>Legal and Professional</t>
  </si>
  <si>
    <t>50% Meals</t>
  </si>
  <si>
    <t>Office Expense</t>
  </si>
  <si>
    <t>Parking Fees And Tolls</t>
  </si>
  <si>
    <t>Permits and fees</t>
  </si>
  <si>
    <t>Postage and Shipping</t>
  </si>
  <si>
    <t>Utilities</t>
  </si>
  <si>
    <t>Ins-Auto</t>
  </si>
  <si>
    <t>Annual Report</t>
  </si>
  <si>
    <t>Cell Phone</t>
  </si>
  <si>
    <t>Cell Phone Xfinity downpmt</t>
  </si>
  <si>
    <t>ID Protection</t>
  </si>
  <si>
    <t>Ins Malpractice</t>
  </si>
  <si>
    <t>Utility-GAS</t>
  </si>
  <si>
    <t>Utility-Electric</t>
  </si>
  <si>
    <t>Utility-Water</t>
  </si>
  <si>
    <t>Utility-BuildingProtAndMaint</t>
  </si>
  <si>
    <t>Paid to labs</t>
  </si>
  <si>
    <t>Meals after work with or without family.</t>
  </si>
  <si>
    <t>Category</t>
  </si>
  <si>
    <t>Desc</t>
  </si>
  <si>
    <t>Only Gas bills are included.</t>
  </si>
  <si>
    <t>?</t>
  </si>
  <si>
    <t>Addl. expenses that can be included or some percentage of them can be included:</t>
  </si>
  <si>
    <t>Gap</t>
  </si>
  <si>
    <t>Rental Cars and Air travel</t>
  </si>
  <si>
    <t>Amount With all assoc trans added</t>
  </si>
  <si>
    <t xml:space="preserve">In Preliminary Tax Return </t>
  </si>
  <si>
    <t xml:space="preserve">                                    Total(Incl Bldng Ins)</t>
  </si>
  <si>
    <t>(Tax prep, lic, dental memberships, gifts to colleagues)</t>
  </si>
  <si>
    <t>What it includes?</t>
  </si>
  <si>
    <t>Why Gap</t>
  </si>
  <si>
    <t>Gifts to colleague not added (starbucks gift cards)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</si>
</sst>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0" fillId="0" borderId="0" xfId="0" applyNumberForma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workbookViewId="0">
      <selection activeCell="H15" sqref="H15"/>
    </sheetView>
  </sheetViews>
  <sheetFormatPr defaultRowHeight="14.5" x14ac:dyDescent="0.35"/>
  <cols>
    <col min="1" max="1" width="53.453125" bestFit="1" customWidth="1"/>
    <col min="2" max="2" width="13.08984375" bestFit="1" customWidth="1"/>
    <col min="9" max="9" width="12.90625" bestFit="1" customWidth="1"/>
  </cols>
  <sheetData>
    <row r="1" spans="1:10" x14ac:dyDescent="0.35">
      <c r="B1" t="s">
        <v>3</v>
      </c>
    </row>
    <row r="2" spans="1:10" x14ac:dyDescent="0.35">
      <c r="A2" t="s">
        <v>4</v>
      </c>
      <c r="B2">
        <f>4806.11-B4</f>
        <v>1702.7999999999997</v>
      </c>
    </row>
    <row r="3" spans="1:10" x14ac:dyDescent="0.35">
      <c r="A3" t="s">
        <v>5</v>
      </c>
      <c r="B3">
        <f>14117.78-B6+36.64</f>
        <v>3782.3000000000015</v>
      </c>
    </row>
    <row r="4" spans="1:10" x14ac:dyDescent="0.35">
      <c r="A4" t="s">
        <v>6</v>
      </c>
      <c r="B4">
        <f>3002.44+100.87</f>
        <v>3103.31</v>
      </c>
    </row>
    <row r="5" spans="1:10" x14ac:dyDescent="0.35">
      <c r="A5" t="s">
        <v>7</v>
      </c>
      <c r="B5">
        <f>16750.85+340.25</f>
        <v>17091.099999999999</v>
      </c>
    </row>
    <row r="6" spans="1:10" x14ac:dyDescent="0.35">
      <c r="A6" t="s">
        <v>9</v>
      </c>
      <c r="B6">
        <f>56+2272.48+47+5587.1+2409.54</f>
        <v>10372.119999999999</v>
      </c>
    </row>
    <row r="7" spans="1:10" x14ac:dyDescent="0.35">
      <c r="A7" t="s">
        <v>8</v>
      </c>
      <c r="B7">
        <f>3645.33+1200-B14</f>
        <v>4015.89</v>
      </c>
    </row>
    <row r="8" spans="1:10" x14ac:dyDescent="0.35">
      <c r="A8" t="s">
        <v>0</v>
      </c>
      <c r="B8">
        <v>0</v>
      </c>
    </row>
    <row r="9" spans="1:10" x14ac:dyDescent="0.35">
      <c r="A9" s="3" t="s">
        <v>2</v>
      </c>
      <c r="B9">
        <f>SUM(B2:B8)</f>
        <v>40067.520000000004</v>
      </c>
    </row>
    <row r="12" spans="1:10" x14ac:dyDescent="0.35">
      <c r="A12" t="s">
        <v>19</v>
      </c>
      <c r="B12">
        <f>215.13+16500</f>
        <v>16715.13</v>
      </c>
    </row>
    <row r="13" spans="1:10" x14ac:dyDescent="0.35">
      <c r="A13" t="s">
        <v>20</v>
      </c>
      <c r="B13">
        <v>22276.1</v>
      </c>
    </row>
    <row r="14" spans="1:10" x14ac:dyDescent="0.35">
      <c r="A14" t="s">
        <v>15</v>
      </c>
      <c r="B14">
        <v>829.44</v>
      </c>
    </row>
    <row r="15" spans="1:10" x14ac:dyDescent="0.35">
      <c r="A15" t="s">
        <v>14</v>
      </c>
      <c r="B15">
        <v>707.25</v>
      </c>
    </row>
    <row r="16" spans="1:10" x14ac:dyDescent="0.35">
      <c r="A16" t="s">
        <v>1</v>
      </c>
      <c r="B16">
        <v>11086</v>
      </c>
      <c r="I16" s="1"/>
      <c r="J16" s="2"/>
    </row>
    <row r="20" spans="1:1" x14ac:dyDescent="0.35">
      <c r="A20" s="4" t="s">
        <v>10</v>
      </c>
    </row>
    <row r="21" spans="1:1" x14ac:dyDescent="0.35">
      <c r="A21" t="s">
        <v>11</v>
      </c>
    </row>
    <row r="22" spans="1:1" x14ac:dyDescent="0.35">
      <c r="A22" t="s">
        <v>12</v>
      </c>
    </row>
    <row r="23" spans="1:1" x14ac:dyDescent="0.35">
      <c r="A23" t="s">
        <v>13</v>
      </c>
    </row>
    <row r="24" spans="1:1" x14ac:dyDescent="0.35">
      <c r="A24" t="s">
        <v>16</v>
      </c>
    </row>
    <row r="25" spans="1:1" x14ac:dyDescent="0.35">
      <c r="A25" t="s">
        <v>17</v>
      </c>
    </row>
    <row r="26" spans="1:1" x14ac:dyDescent="0.35">
      <c r="A26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990F1-131F-4BB5-B193-FFAD110A3891}">
  <dimension ref="A1:F26"/>
  <sheetViews>
    <sheetView tabSelected="1" workbookViewId="0">
      <selection activeCell="C17" sqref="C17"/>
    </sheetView>
  </sheetViews>
  <sheetFormatPr defaultRowHeight="14.5" x14ac:dyDescent="0.35"/>
  <cols>
    <col min="1" max="1" width="34.81640625" bestFit="1" customWidth="1"/>
    <col min="2" max="2" width="34.81640625" customWidth="1"/>
    <col min="3" max="3" width="30.453125" bestFit="1" customWidth="1"/>
    <col min="4" max="4" width="30.453125" customWidth="1"/>
    <col min="5" max="5" width="46.453125" bestFit="1" customWidth="1"/>
    <col min="6" max="6" width="42.453125" bestFit="1" customWidth="1"/>
  </cols>
  <sheetData>
    <row r="1" spans="1:6" x14ac:dyDescent="0.35">
      <c r="A1" s="3" t="s">
        <v>43</v>
      </c>
      <c r="B1" s="3" t="s">
        <v>51</v>
      </c>
      <c r="C1" s="3" t="s">
        <v>50</v>
      </c>
      <c r="D1" s="3" t="s">
        <v>48</v>
      </c>
      <c r="E1" s="3" t="s">
        <v>44</v>
      </c>
      <c r="F1" s="3" t="s">
        <v>55</v>
      </c>
    </row>
    <row r="2" spans="1:6" x14ac:dyDescent="0.35">
      <c r="A2" t="s">
        <v>21</v>
      </c>
      <c r="B2">
        <v>4165</v>
      </c>
      <c r="C2">
        <v>5045.92</v>
      </c>
      <c r="D2" s="6">
        <f>C2-B2</f>
        <v>880.92000000000007</v>
      </c>
      <c r="E2" t="s">
        <v>22</v>
      </c>
    </row>
    <row r="3" spans="1:6" x14ac:dyDescent="0.35">
      <c r="A3" t="s">
        <v>23</v>
      </c>
      <c r="B3">
        <v>2173</v>
      </c>
      <c r="C3">
        <v>2173.44</v>
      </c>
      <c r="D3" s="6">
        <f>C3-B3</f>
        <v>0.44000000000005457</v>
      </c>
    </row>
    <row r="4" spans="1:6" x14ac:dyDescent="0.35">
      <c r="A4" t="s">
        <v>24</v>
      </c>
      <c r="B4">
        <v>1200</v>
      </c>
      <c r="C4">
        <f>1200+225</f>
        <v>1425</v>
      </c>
      <c r="D4" s="6">
        <f t="shared" ref="D4:D16" si="0">C4-B4</f>
        <v>225</v>
      </c>
      <c r="E4" t="s">
        <v>53</v>
      </c>
      <c r="F4" t="s">
        <v>56</v>
      </c>
    </row>
    <row r="5" spans="1:6" x14ac:dyDescent="0.35">
      <c r="A5" t="s">
        <v>25</v>
      </c>
      <c r="B5">
        <v>852</v>
      </c>
      <c r="C5">
        <f>1552.7-225</f>
        <v>1327.7</v>
      </c>
      <c r="D5" s="6">
        <f t="shared" si="0"/>
        <v>475.70000000000005</v>
      </c>
    </row>
    <row r="6" spans="1:6" x14ac:dyDescent="0.35">
      <c r="A6" s="1" t="s">
        <v>26</v>
      </c>
      <c r="B6" s="1">
        <v>673</v>
      </c>
      <c r="C6" s="1">
        <v>0</v>
      </c>
      <c r="D6" s="7">
        <f t="shared" si="0"/>
        <v>-673</v>
      </c>
      <c r="E6" s="1" t="s">
        <v>54</v>
      </c>
    </row>
    <row r="7" spans="1:6" x14ac:dyDescent="0.35">
      <c r="A7" t="s">
        <v>27</v>
      </c>
      <c r="B7">
        <v>29</v>
      </c>
      <c r="C7">
        <v>422.89</v>
      </c>
      <c r="D7" s="6">
        <f t="shared" si="0"/>
        <v>393.89</v>
      </c>
    </row>
    <row r="8" spans="1:6" x14ac:dyDescent="0.35">
      <c r="A8" t="s">
        <v>28</v>
      </c>
      <c r="B8">
        <v>600</v>
      </c>
      <c r="C8">
        <v>600</v>
      </c>
      <c r="D8" s="6">
        <f t="shared" si="0"/>
        <v>0</v>
      </c>
    </row>
    <row r="9" spans="1:6" x14ac:dyDescent="0.35">
      <c r="A9" t="s">
        <v>29</v>
      </c>
      <c r="B9">
        <v>269</v>
      </c>
      <c r="C9">
        <v>425.37</v>
      </c>
      <c r="D9" s="6">
        <f t="shared" si="0"/>
        <v>156.37</v>
      </c>
    </row>
    <row r="10" spans="1:6" x14ac:dyDescent="0.35">
      <c r="A10" t="s">
        <v>30</v>
      </c>
      <c r="B10">
        <v>1697</v>
      </c>
      <c r="C10">
        <f>B23</f>
        <v>11109.079999999998</v>
      </c>
      <c r="D10" s="6">
        <f t="shared" si="0"/>
        <v>9412.0799999999981</v>
      </c>
      <c r="E10" t="s">
        <v>45</v>
      </c>
    </row>
    <row r="11" spans="1:6" x14ac:dyDescent="0.35">
      <c r="A11" t="s">
        <v>31</v>
      </c>
      <c r="B11">
        <v>952</v>
      </c>
      <c r="C11">
        <v>942.53</v>
      </c>
      <c r="D11" s="6">
        <f t="shared" si="0"/>
        <v>-9.4700000000000273</v>
      </c>
    </row>
    <row r="12" spans="1:6" x14ac:dyDescent="0.35">
      <c r="A12" s="1" t="s">
        <v>32</v>
      </c>
      <c r="B12" s="1">
        <v>103</v>
      </c>
      <c r="C12" s="1"/>
      <c r="D12" s="7">
        <f t="shared" si="0"/>
        <v>-103</v>
      </c>
      <c r="E12" s="1" t="s">
        <v>46</v>
      </c>
    </row>
    <row r="13" spans="1:6" x14ac:dyDescent="0.35">
      <c r="A13" t="s">
        <v>33</v>
      </c>
      <c r="B13">
        <v>863</v>
      </c>
      <c r="C13">
        <v>978.92</v>
      </c>
      <c r="D13" s="6">
        <f t="shared" si="0"/>
        <v>115.91999999999996</v>
      </c>
    </row>
    <row r="14" spans="1:6" x14ac:dyDescent="0.35">
      <c r="A14" t="s">
        <v>34</v>
      </c>
      <c r="B14">
        <v>317</v>
      </c>
      <c r="C14">
        <v>317.16000000000003</v>
      </c>
      <c r="D14" s="6">
        <f t="shared" si="0"/>
        <v>0.16000000000002501</v>
      </c>
    </row>
    <row r="15" spans="1:6" x14ac:dyDescent="0.35">
      <c r="A15" t="s">
        <v>35</v>
      </c>
      <c r="B15">
        <v>98</v>
      </c>
      <c r="C15">
        <v>107.88</v>
      </c>
      <c r="D15" s="6">
        <f t="shared" si="0"/>
        <v>9.8799999999999955</v>
      </c>
    </row>
    <row r="16" spans="1:6" x14ac:dyDescent="0.35">
      <c r="A16" t="s">
        <v>36</v>
      </c>
      <c r="B16">
        <v>880</v>
      </c>
      <c r="C16">
        <v>850.5</v>
      </c>
      <c r="D16" s="6">
        <f t="shared" si="0"/>
        <v>-29.5</v>
      </c>
    </row>
    <row r="17" spans="1:4" x14ac:dyDescent="0.35">
      <c r="B17">
        <f>SUM(B2:B16)</f>
        <v>14871</v>
      </c>
      <c r="D17" s="6">
        <f>SUM(D2:D16)-D6-D11-D12-D16-D10</f>
        <v>2258.2799999999988</v>
      </c>
    </row>
    <row r="18" spans="1:4" x14ac:dyDescent="0.35">
      <c r="A18" s="4" t="s">
        <v>47</v>
      </c>
      <c r="B18" s="5"/>
    </row>
    <row r="19" spans="1:4" x14ac:dyDescent="0.35">
      <c r="A19" t="s">
        <v>37</v>
      </c>
      <c r="B19">
        <v>2811.2</v>
      </c>
    </row>
    <row r="20" spans="1:4" x14ac:dyDescent="0.35">
      <c r="A20" t="s">
        <v>38</v>
      </c>
      <c r="B20">
        <v>1697.61</v>
      </c>
    </row>
    <row r="21" spans="1:4" x14ac:dyDescent="0.35">
      <c r="A21" t="s">
        <v>39</v>
      </c>
      <c r="B21">
        <v>1117.74</v>
      </c>
    </row>
    <row r="22" spans="1:4" x14ac:dyDescent="0.35">
      <c r="A22" t="s">
        <v>40</v>
      </c>
      <c r="B22">
        <v>5482.53</v>
      </c>
    </row>
    <row r="23" spans="1:4" x14ac:dyDescent="0.35">
      <c r="A23" s="3" t="s">
        <v>52</v>
      </c>
      <c r="B23">
        <f>SUM(B19:B22)</f>
        <v>11109.079999999998</v>
      </c>
    </row>
    <row r="24" spans="1:4" x14ac:dyDescent="0.35">
      <c r="A24" s="1" t="s">
        <v>41</v>
      </c>
      <c r="B24" s="1" t="s">
        <v>46</v>
      </c>
    </row>
    <row r="25" spans="1:4" x14ac:dyDescent="0.35">
      <c r="A25" t="s">
        <v>42</v>
      </c>
      <c r="B25">
        <v>2615.38</v>
      </c>
      <c r="C25">
        <f>(1683+1328)/2</f>
        <v>1505.5</v>
      </c>
    </row>
    <row r="26" spans="1:4" x14ac:dyDescent="0.35">
      <c r="A26" t="s">
        <v>49</v>
      </c>
      <c r="B26">
        <v>1691.71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US Bancorp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Sultan, Awais</dc:creator>
  <cp:lastModifiedBy>Sultan, Awais</cp:lastModifiedBy>
  <dcterms:created xsi:type="dcterms:W3CDTF">2019-02-03T03:54:12Z</dcterms:created>
  <dcterms:modified xsi:type="dcterms:W3CDTF">2020-03-13T07:56:57Z</dcterms:modified>
</cp:coreProperties>
</file>