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9 Tax Return Docs\eval\"/>
    </mc:Choice>
  </mc:AlternateContent>
  <xr:revisionPtr revIDLastSave="0" documentId="13_ncr:1_{03DD0F04-D5AF-4F7F-9327-EF93866627CD}" xr6:coauthVersionLast="36" xr6:coauthVersionMax="36" xr10:uidLastSave="{00000000-0000-0000-0000-000000000000}"/>
  <bookViews>
    <workbookView xWindow="0" yWindow="0" windowWidth="23040" windowHeight="10670" xr2:uid="{00000000-000D-0000-FFFF-FFFF00000000}"/>
  </bookViews>
  <sheets>
    <sheet name="Ga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9" i="2" l="1"/>
  <c r="C4" i="2" l="1"/>
  <c r="D4" i="2" s="1"/>
  <c r="C3" i="2"/>
  <c r="D3" i="2" s="1"/>
  <c r="B15" i="2"/>
  <c r="D8" i="2"/>
  <c r="D7" i="2"/>
  <c r="D6" i="2"/>
  <c r="D5" i="2"/>
  <c r="D2" i="2"/>
</calcChain>
</file>

<file path=xl/sharedStrings.xml><?xml version="1.0" encoding="utf-8"?>
<sst xmlns="http://schemas.openxmlformats.org/spreadsheetml/2006/main" count="27" uniqueCount="27">
  <si>
    <t>Automobile and truck Expense</t>
  </si>
  <si>
    <t>Legal and Professional</t>
  </si>
  <si>
    <t>Parking Fees And Tolls</t>
  </si>
  <si>
    <t>Postage and Shipping</t>
  </si>
  <si>
    <t>Cell Phone</t>
  </si>
  <si>
    <t>ID Protection</t>
  </si>
  <si>
    <t>Utility-GAS</t>
  </si>
  <si>
    <t>Utility-Electric</t>
  </si>
  <si>
    <t>Utility-Water</t>
  </si>
  <si>
    <t>Utility-BuildingProtAndMaint</t>
  </si>
  <si>
    <t>Paid to labs</t>
  </si>
  <si>
    <t>Meals after work with or without family.</t>
  </si>
  <si>
    <t>Category</t>
  </si>
  <si>
    <t>Desc</t>
  </si>
  <si>
    <t>?</t>
  </si>
  <si>
    <t>Addl. expenses that can be included or some percentage of them can be included:</t>
  </si>
  <si>
    <t>Gap</t>
  </si>
  <si>
    <t>Rental Cars and Air travel</t>
  </si>
  <si>
    <t>Amount With all assoc trans added</t>
  </si>
  <si>
    <t xml:space="preserve">In Preliminary Tax Return </t>
  </si>
  <si>
    <t xml:space="preserve">                                    Total(Incl Bldng Ins)</t>
  </si>
  <si>
    <t>Why Gap</t>
  </si>
  <si>
    <t>Gifts to colleague not added (starbucks gift cards)</t>
  </si>
  <si>
    <t>Only Gas bills are included upto 1697</t>
  </si>
  <si>
    <t>Meals (lunch at work)</t>
  </si>
  <si>
    <t>(Uber, Car Maint, Gas, Car Registeration renewal.)</t>
  </si>
  <si>
    <t>(Tax prep, gifts to colleagues)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</si>
</sst>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90F1-131F-4BB5-B193-FFAD110A3891}">
  <dimension ref="A1:F18"/>
  <sheetViews>
    <sheetView tabSelected="1" workbookViewId="0">
      <selection activeCell="B3" sqref="B3"/>
    </sheetView>
  </sheetViews>
  <sheetFormatPr defaultRowHeight="14.5" x14ac:dyDescent="0.35"/>
  <cols>
    <col min="1" max="1" width="34.81640625" bestFit="1" customWidth="1"/>
    <col min="2" max="2" width="34.81640625" customWidth="1"/>
    <col min="3" max="3" width="30.453125" bestFit="1" customWidth="1"/>
    <col min="4" max="4" width="30.453125" customWidth="1"/>
    <col min="5" max="5" width="46.453125" bestFit="1" customWidth="1"/>
    <col min="6" max="6" width="42.453125" bestFit="1" customWidth="1"/>
  </cols>
  <sheetData>
    <row r="1" spans="1:6" x14ac:dyDescent="0.35">
      <c r="A1" s="2" t="s">
        <v>12</v>
      </c>
      <c r="B1" s="2" t="s">
        <v>19</v>
      </c>
      <c r="C1" s="2" t="s">
        <v>18</v>
      </c>
      <c r="D1" s="2" t="s">
        <v>16</v>
      </c>
      <c r="E1" s="2" t="s">
        <v>13</v>
      </c>
      <c r="F1" s="2" t="s">
        <v>21</v>
      </c>
    </row>
    <row r="2" spans="1:6" x14ac:dyDescent="0.35">
      <c r="A2" t="s">
        <v>0</v>
      </c>
      <c r="B2">
        <v>4165</v>
      </c>
      <c r="C2">
        <v>5045.92</v>
      </c>
      <c r="D2" s="5">
        <f>C2-B2</f>
        <v>880.92000000000007</v>
      </c>
      <c r="E2" t="s">
        <v>25</v>
      </c>
    </row>
    <row r="3" spans="1:6" x14ac:dyDescent="0.35">
      <c r="A3" t="s">
        <v>1</v>
      </c>
      <c r="B3">
        <v>1200</v>
      </c>
      <c r="C3">
        <f>1200+225</f>
        <v>1425</v>
      </c>
      <c r="D3" s="5">
        <f t="shared" ref="D3:D8" si="0">C3-B3</f>
        <v>225</v>
      </c>
      <c r="E3" t="s">
        <v>26</v>
      </c>
      <c r="F3" t="s">
        <v>22</v>
      </c>
    </row>
    <row r="4" spans="1:6" x14ac:dyDescent="0.35">
      <c r="A4" t="s">
        <v>24</v>
      </c>
      <c r="B4">
        <v>852</v>
      </c>
      <c r="C4">
        <f>1552.7-225</f>
        <v>1327.7</v>
      </c>
      <c r="D4" s="5">
        <f t="shared" si="0"/>
        <v>475.70000000000005</v>
      </c>
    </row>
    <row r="5" spans="1:6" x14ac:dyDescent="0.35">
      <c r="A5" t="s">
        <v>2</v>
      </c>
      <c r="B5">
        <v>29</v>
      </c>
      <c r="C5">
        <v>422.89</v>
      </c>
      <c r="D5" s="5">
        <f t="shared" si="0"/>
        <v>393.89</v>
      </c>
    </row>
    <row r="6" spans="1:6" x14ac:dyDescent="0.35">
      <c r="A6" t="s">
        <v>3</v>
      </c>
      <c r="B6">
        <v>269</v>
      </c>
      <c r="C6">
        <v>425.37</v>
      </c>
      <c r="D6" s="5">
        <f t="shared" si="0"/>
        <v>156.37</v>
      </c>
    </row>
    <row r="7" spans="1:6" x14ac:dyDescent="0.35">
      <c r="A7" t="s">
        <v>4</v>
      </c>
      <c r="B7">
        <v>863</v>
      </c>
      <c r="C7">
        <v>978.92</v>
      </c>
      <c r="D7" s="5">
        <f t="shared" si="0"/>
        <v>115.91999999999996</v>
      </c>
    </row>
    <row r="8" spans="1:6" x14ac:dyDescent="0.35">
      <c r="A8" t="s">
        <v>5</v>
      </c>
      <c r="B8">
        <v>98</v>
      </c>
      <c r="C8">
        <v>107.88</v>
      </c>
      <c r="D8" s="5">
        <f t="shared" si="0"/>
        <v>9.8799999999999955</v>
      </c>
    </row>
    <row r="9" spans="1:6" x14ac:dyDescent="0.35">
      <c r="D9" s="5">
        <f>SUM(D2:D8)</f>
        <v>2257.6800000000003</v>
      </c>
    </row>
    <row r="10" spans="1:6" x14ac:dyDescent="0.35">
      <c r="A10" s="3" t="s">
        <v>15</v>
      </c>
      <c r="B10" s="4"/>
    </row>
    <row r="11" spans="1:6" x14ac:dyDescent="0.35">
      <c r="A11" t="s">
        <v>6</v>
      </c>
      <c r="B11">
        <v>2811.2</v>
      </c>
    </row>
    <row r="12" spans="1:6" x14ac:dyDescent="0.35">
      <c r="A12" t="s">
        <v>7</v>
      </c>
      <c r="B12">
        <v>1697.61</v>
      </c>
    </row>
    <row r="13" spans="1:6" x14ac:dyDescent="0.35">
      <c r="A13" t="s">
        <v>8</v>
      </c>
      <c r="B13">
        <v>1117.74</v>
      </c>
    </row>
    <row r="14" spans="1:6" x14ac:dyDescent="0.35">
      <c r="A14" t="s">
        <v>9</v>
      </c>
      <c r="B14">
        <v>5482.53</v>
      </c>
    </row>
    <row r="15" spans="1:6" x14ac:dyDescent="0.35">
      <c r="A15" s="2" t="s">
        <v>20</v>
      </c>
      <c r="B15">
        <f>SUM(B11:B14)</f>
        <v>11109.079999999998</v>
      </c>
      <c r="C15" t="s">
        <v>23</v>
      </c>
    </row>
    <row r="16" spans="1:6" x14ac:dyDescent="0.35">
      <c r="A16" s="1" t="s">
        <v>10</v>
      </c>
      <c r="B16" s="1" t="s">
        <v>14</v>
      </c>
    </row>
    <row r="17" spans="1:2" x14ac:dyDescent="0.35">
      <c r="A17" t="s">
        <v>11</v>
      </c>
      <c r="B17">
        <v>2615.38</v>
      </c>
    </row>
    <row r="18" spans="1:2" x14ac:dyDescent="0.35">
      <c r="A18" t="s">
        <v>17</v>
      </c>
      <c r="B18">
        <v>1691.71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</vt:lpstr>
    </vt:vector>
  </TitlesOfParts>
  <Company>US Bancorp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2019-02-03T03:54:12Z</dcterms:created>
  <dcterms:modified xsi:type="dcterms:W3CDTF">2020-03-10T08:28:02Z</dcterms:modified>
</cp:coreProperties>
</file>