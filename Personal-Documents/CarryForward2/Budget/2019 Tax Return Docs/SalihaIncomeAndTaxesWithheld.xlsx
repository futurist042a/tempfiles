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9 Tax Return Docs\"/>
    </mc:Choice>
  </mc:AlternateContent>
  <xr:revisionPtr revIDLastSave="0" documentId="13_ncr:1_{A867D0A3-FB50-42C5-A96D-96A89CA98F8E}" xr6:coauthVersionLast="36" xr6:coauthVersionMax="36" xr10:uidLastSave="{00000000-0000-0000-0000-000000000000}"/>
  <bookViews>
    <workbookView xWindow="0" yWindow="0" windowWidth="23040" windowHeight="10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6" i="1" l="1"/>
  <c r="B5" i="1"/>
  <c r="B4" i="1"/>
  <c r="S27" i="1" l="1"/>
  <c r="N11" i="1"/>
  <c r="U29" i="1"/>
  <c r="R29" i="1"/>
  <c r="U27" i="1"/>
  <c r="U17" i="1"/>
  <c r="R27" i="1"/>
  <c r="R15" i="1"/>
  <c r="R17" i="1" s="1"/>
  <c r="Q17" i="1"/>
  <c r="T17" i="1"/>
  <c r="X17" i="1" l="1"/>
  <c r="W17" i="1"/>
  <c r="V17" i="1"/>
  <c r="S17" i="1"/>
  <c r="N5" i="1"/>
  <c r="N3" i="1"/>
  <c r="L2" i="1"/>
  <c r="K2" i="1"/>
  <c r="N4" i="1"/>
  <c r="N10" i="1" s="1"/>
  <c r="N12" i="1" s="1"/>
  <c r="N2" i="1" l="1"/>
  <c r="U30" i="1"/>
  <c r="U31" i="1" s="1"/>
  <c r="R30" i="1"/>
  <c r="R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Sultan, Awais</author>
  </authors>
  <commentList>
    <comment ref="B4" authorId="0" shapeId="0" xr:uid="{834D895C-3002-43F1-9EA3-9C2C66E590DC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" authorId="0" shapeId="0" xr:uid="{8D5471B5-ADD1-441A-B2AA-C25CA2B47730}">
      <text>
        <r>
          <rPr>
            <b/>
            <sz val="9"/>
            <color indexed="81"/>
            <rFont val="Tahoma"/>
            <charset val="1"/>
          </rPr>
          <t>Sultan, Awais:</t>
        </r>
        <r>
          <rPr>
            <sz val="9"/>
            <color indexed="81"/>
            <rFont val="Tahoma"/>
            <charset val="1"/>
          </rPr>
          <t xml:space="preserve">
Two Fed tax ded. in Jan: 2838 + 42</t>
        </r>
      </text>
    </comment>
    <comment ref="C6" authorId="0" shapeId="0" xr:uid="{B29E8135-50AD-413C-8F79-1E353FA2D80B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IL DEPT EMPL SEC UNEMPL TAX
On 02/01</t>
        </r>
      </text>
    </comment>
    <comment ref="E6" authorId="0" shapeId="0" xr:uid="{58D544EC-71FF-4B20-AA6A-A5302F7D590A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IL DEPT EMPL SEC UNEMPL TAX
on 04/23</t>
        </r>
      </text>
    </comment>
    <comment ref="I6" authorId="0" shapeId="0" xr:uid="{CAEE86FF-1DDB-4350-96BC-51A5013A5072}">
      <text>
        <r>
          <rPr>
            <b/>
            <sz val="9"/>
            <color indexed="81"/>
            <rFont val="Tahoma"/>
            <family val="2"/>
          </rPr>
          <t>Sultan, Awais:</t>
        </r>
        <r>
          <rPr>
            <sz val="9"/>
            <color indexed="81"/>
            <rFont val="Tahoma"/>
            <family val="2"/>
          </rPr>
          <t xml:space="preserve">
IL DEPT EMPL SEC
on 08/01 </t>
        </r>
      </text>
    </comment>
  </commentList>
</comments>
</file>

<file path=xl/sharedStrings.xml><?xml version="1.0" encoding="utf-8"?>
<sst xmlns="http://schemas.openxmlformats.org/spreadsheetml/2006/main" count="62" uniqueCount="58">
  <si>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</si>
  <si>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</si>
  <si>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</si>
  <si>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</si>
  <si>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</si>
  <si>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</si>
  <si>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</si>
  <si>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</si>
  <si>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April</t>
  </si>
  <si>
    <t>May</t>
  </si>
  <si>
    <t>Jun</t>
  </si>
  <si>
    <t>State Tax</t>
  </si>
  <si>
    <t>Federal Tax (+FICA)</t>
  </si>
  <si>
    <t>Other Business Taxes</t>
  </si>
  <si>
    <t>Bus Income</t>
  </si>
  <si>
    <t>Monthly Pay</t>
  </si>
  <si>
    <t>July</t>
  </si>
  <si>
    <t>Total</t>
  </si>
  <si>
    <t>FedTax</t>
  </si>
  <si>
    <t>Should be</t>
  </si>
  <si>
    <t>FICA</t>
  </si>
  <si>
    <t>State</t>
  </si>
  <si>
    <t>Total Std Tax</t>
  </si>
  <si>
    <t>Single</t>
  </si>
  <si>
    <t>Single 401k+35k ded</t>
  </si>
  <si>
    <t>Tax rate</t>
  </si>
  <si>
    <t>Single filers</t>
  </si>
  <si>
    <t>Married filing jointly*</t>
  </si>
  <si>
    <t>$0 – $9,700</t>
  </si>
  <si>
    <t>$0 – $19,400</t>
  </si>
  <si>
    <t>$9,701 – $39,475</t>
  </si>
  <si>
    <t>$19,401 – $78,950</t>
  </si>
  <si>
    <t>$39,476 – $84,200</t>
  </si>
  <si>
    <t>$78,951 – $168,400</t>
  </si>
  <si>
    <t>$84,201 – $160,725</t>
  </si>
  <si>
    <t>$168,401 – $321,450</t>
  </si>
  <si>
    <t>Married Considering 104k.
22% and then 24% on top of 88</t>
  </si>
  <si>
    <t>Married Consider 104k
22% on all</t>
  </si>
  <si>
    <t>Married</t>
  </si>
  <si>
    <t>Married
15 401k</t>
  </si>
  <si>
    <t>Married
401k+35k ded</t>
  </si>
  <si>
    <t>Saliha</t>
  </si>
  <si>
    <t>Awais</t>
  </si>
  <si>
    <t>Single 
Deposit + 38k ded</t>
  </si>
  <si>
    <t>Married
Deposit + 38k ded</t>
  </si>
  <si>
    <t>Single 401k+35k+10k state tax ded</t>
  </si>
  <si>
    <t>Credit</t>
  </si>
  <si>
    <t>Tax to Pay</t>
  </si>
  <si>
    <t>Aw Total Tax</t>
  </si>
  <si>
    <t>Total Tax</t>
  </si>
  <si>
    <t>Single 132900 (SS Wages) - 6,155 401k</t>
  </si>
  <si>
    <t>Withheld</t>
  </si>
  <si>
    <t>Diff</t>
  </si>
  <si>
    <t>Saliha 
Monthly Income</t>
  </si>
  <si>
    <t xml:space="preserve">Notes: </t>
  </si>
  <si>
    <t>1. Didn't add FICA from employer side for Saliha since monthly employee pay was less than half of business earnings and FICA is applied on business earnings below.</t>
  </si>
  <si>
    <t>2. Didn't applied 20% deduction for business income. Not sure if it applies to net income or on income after other deductions.</t>
  </si>
  <si>
    <t>3. Didn't applied earning from Investments. Around 10k profit was deposited to bank account but some of it may have accounted in previous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</si>
</sst>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33333"/>
      <name val="Arial"/>
      <family val="2"/>
    </font>
    <font>
      <b/>
      <sz val="7"/>
      <color rgb="FF000000"/>
      <name val="Arial"/>
      <family val="2"/>
    </font>
    <font>
      <sz val="7"/>
      <color rgb="FF2222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BEB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3" fontId="0" fillId="3" borderId="1" xfId="0" applyNumberFormat="1" applyFill="1" applyBorder="1"/>
    <xf numFmtId="3" fontId="3" fillId="3" borderId="1" xfId="0" applyNumberFormat="1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3" fontId="0" fillId="4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0" fontId="0" fillId="2" borderId="1" xfId="0" applyFill="1" applyBorder="1" applyAlignment="1">
      <alignment wrapText="1"/>
    </xf>
    <xf numFmtId="0" fontId="4" fillId="0" borderId="2" xfId="0" applyFont="1" applyBorder="1" applyAlignment="1">
      <alignment horizontal="left" vertical="top" wrapText="1"/>
    </xf>
    <xf numFmtId="9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3" fontId="0" fillId="7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0" borderId="0" xfId="0" applyFill="1"/>
    <xf numFmtId="3" fontId="0" fillId="0" borderId="0" xfId="0" applyNumberFormat="1" applyFill="1"/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workbookViewId="0">
      <selection activeCell="C8" sqref="C8"/>
    </sheetView>
  </sheetViews>
  <sheetFormatPr defaultRowHeight="14.5" x14ac:dyDescent="0.35"/>
  <cols>
    <col min="1" max="1" width="26.54296875" bestFit="1" customWidth="1"/>
    <col min="2" max="7" width="24.26953125" customWidth="1"/>
    <col min="9" max="9" width="12.26953125" bestFit="1" customWidth="1"/>
    <col min="13" max="13" width="14.6328125" customWidth="1"/>
    <col min="14" max="14" width="9.81640625" bestFit="1" customWidth="1"/>
    <col min="15" max="15" width="9.81640625" customWidth="1"/>
    <col min="17" max="17" width="20.54296875" customWidth="1"/>
    <col min="18" max="18" width="27" bestFit="1" customWidth="1"/>
    <col min="19" max="19" width="20.1796875" customWidth="1"/>
    <col min="20" max="20" width="16.90625" customWidth="1"/>
    <col min="21" max="21" width="20.81640625" customWidth="1"/>
    <col min="24" max="24" width="15.90625" customWidth="1"/>
  </cols>
  <sheetData>
    <row r="1" spans="1:25" x14ac:dyDescent="0.35">
      <c r="A1" s="10"/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16</v>
      </c>
      <c r="I1" s="10" t="s">
        <v>0</v>
      </c>
      <c r="J1" s="10" t="s">
        <v>1</v>
      </c>
      <c r="K1" s="10" t="s">
        <v>2</v>
      </c>
      <c r="L1" s="10" t="s">
        <v>3</v>
      </c>
      <c r="M1" s="10" t="s">
        <v>4</v>
      </c>
      <c r="N1" s="10" t="s">
        <v>17</v>
      </c>
    </row>
    <row r="2" spans="1:25" x14ac:dyDescent="0.35">
      <c r="A2" s="5" t="s">
        <v>14</v>
      </c>
      <c r="B2" s="6">
        <v>5849.4</v>
      </c>
      <c r="C2" s="6"/>
      <c r="D2" s="6">
        <v>7637.73</v>
      </c>
      <c r="E2" s="6">
        <v>13605.62</v>
      </c>
      <c r="F2" s="6">
        <v>6077.81</v>
      </c>
      <c r="G2" s="6">
        <v>16265.98</v>
      </c>
      <c r="H2" s="6">
        <v>12000</v>
      </c>
      <c r="I2" s="6">
        <v>15746</v>
      </c>
      <c r="J2" s="6">
        <v>13800</v>
      </c>
      <c r="K2" s="6">
        <f>12600</f>
        <v>12600</v>
      </c>
      <c r="L2" s="6">
        <f>20113.1+6528.24+3884.08+2705.05+1248.62</f>
        <v>34479.090000000004</v>
      </c>
      <c r="M2" s="6">
        <v>15659.95</v>
      </c>
      <c r="N2" s="9">
        <f>SUM(B2:M2)</f>
        <v>153721.58000000002</v>
      </c>
      <c r="P2" t="s">
        <v>54</v>
      </c>
    </row>
    <row r="3" spans="1:25" x14ac:dyDescent="0.35">
      <c r="A3" s="5" t="s">
        <v>15</v>
      </c>
      <c r="B3" s="6"/>
      <c r="C3" s="6"/>
      <c r="D3" s="6"/>
      <c r="E3" s="6">
        <v>4200</v>
      </c>
      <c r="F3" s="6">
        <v>4200</v>
      </c>
      <c r="G3" s="6">
        <v>4200</v>
      </c>
      <c r="H3" s="6">
        <v>4200</v>
      </c>
      <c r="I3" s="6">
        <v>4200</v>
      </c>
      <c r="J3" s="6">
        <v>4200</v>
      </c>
      <c r="K3" s="6">
        <v>4200</v>
      </c>
      <c r="L3" s="6">
        <v>4200</v>
      </c>
      <c r="M3" s="6">
        <v>4200</v>
      </c>
      <c r="N3" s="9">
        <f>SUM(B3:M3)</f>
        <v>37800</v>
      </c>
      <c r="P3" t="s">
        <v>55</v>
      </c>
    </row>
    <row r="4" spans="1:25" x14ac:dyDescent="0.35">
      <c r="A4" s="5" t="s">
        <v>11</v>
      </c>
      <c r="B4" s="6">
        <f>495.5</f>
        <v>495.5</v>
      </c>
      <c r="C4" s="6">
        <v>149</v>
      </c>
      <c r="D4" s="6"/>
      <c r="E4" s="6"/>
      <c r="F4" s="6">
        <v>495.5</v>
      </c>
      <c r="G4" s="6">
        <v>495.5</v>
      </c>
      <c r="H4" s="6">
        <v>495.5</v>
      </c>
      <c r="I4" s="6">
        <v>495.5</v>
      </c>
      <c r="J4" s="6">
        <v>495.5</v>
      </c>
      <c r="K4" s="6">
        <v>495.5</v>
      </c>
      <c r="L4" s="6">
        <v>495.5</v>
      </c>
      <c r="M4" s="6">
        <v>495.5</v>
      </c>
      <c r="N4" s="9">
        <f>SUM(B4:M4)</f>
        <v>4608.5</v>
      </c>
      <c r="P4" t="s">
        <v>56</v>
      </c>
    </row>
    <row r="5" spans="1:25" x14ac:dyDescent="0.35">
      <c r="A5" s="5" t="s">
        <v>12</v>
      </c>
      <c r="B5" s="6">
        <f>2838+42</f>
        <v>2880</v>
      </c>
      <c r="C5" s="6"/>
      <c r="D5" s="6"/>
      <c r="E5" s="6"/>
      <c r="F5" s="6">
        <v>2838</v>
      </c>
      <c r="G5" s="6">
        <v>2838</v>
      </c>
      <c r="H5" s="6">
        <v>2838</v>
      </c>
      <c r="I5" s="6">
        <v>2838</v>
      </c>
      <c r="J5" s="6">
        <v>2838</v>
      </c>
      <c r="K5" s="6">
        <v>2838</v>
      </c>
      <c r="L5" s="6">
        <v>2838</v>
      </c>
      <c r="M5" s="6">
        <v>2838</v>
      </c>
      <c r="N5" s="9">
        <f>SUM(B5:M5)</f>
        <v>25584</v>
      </c>
      <c r="P5" t="s">
        <v>57</v>
      </c>
    </row>
    <row r="6" spans="1:25" x14ac:dyDescent="0.35">
      <c r="A6" s="5" t="s">
        <v>13</v>
      </c>
      <c r="B6" s="6"/>
      <c r="C6" s="5">
        <v>417.96</v>
      </c>
      <c r="D6" s="6"/>
      <c r="E6" s="6">
        <v>222.25</v>
      </c>
      <c r="F6" s="6"/>
      <c r="G6" s="6"/>
      <c r="H6" s="6"/>
      <c r="I6" s="6">
        <v>189.23</v>
      </c>
      <c r="J6" s="6"/>
      <c r="K6" s="6"/>
      <c r="L6" s="6"/>
      <c r="M6" s="6"/>
      <c r="N6" s="9">
        <f>SUM(B6:M6)</f>
        <v>829.44</v>
      </c>
    </row>
    <row r="7" spans="1:25" x14ac:dyDescent="0.35">
      <c r="A7" s="5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8"/>
      <c r="P7" t="s">
        <v>41</v>
      </c>
    </row>
    <row r="8" spans="1:25" x14ac:dyDescent="0.35">
      <c r="A8" s="5"/>
      <c r="B8" s="7"/>
      <c r="C8" s="5"/>
      <c r="D8" s="7"/>
      <c r="E8" s="7"/>
      <c r="F8" s="7"/>
      <c r="G8" s="7"/>
      <c r="H8" s="5"/>
      <c r="I8" s="5"/>
      <c r="J8" s="5"/>
      <c r="K8" s="5"/>
      <c r="L8" s="5"/>
      <c r="M8" s="5"/>
      <c r="N8" s="8"/>
    </row>
    <row r="9" spans="1:25" ht="29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20" t="s">
        <v>53</v>
      </c>
      <c r="N9" s="8">
        <v>63000</v>
      </c>
      <c r="P9" s="1" t="s">
        <v>19</v>
      </c>
      <c r="Q9" s="11" t="s">
        <v>37</v>
      </c>
      <c r="R9" s="11" t="s">
        <v>36</v>
      </c>
      <c r="S9" s="1" t="s">
        <v>23</v>
      </c>
      <c r="T9" s="11" t="s">
        <v>24</v>
      </c>
      <c r="U9" s="11" t="s">
        <v>45</v>
      </c>
      <c r="V9" s="1" t="s">
        <v>38</v>
      </c>
      <c r="W9" s="11" t="s">
        <v>39</v>
      </c>
      <c r="X9" s="11" t="s">
        <v>40</v>
      </c>
      <c r="Y9" s="2"/>
    </row>
    <row r="10" spans="1:2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0" t="s">
        <v>22</v>
      </c>
      <c r="N10" s="9">
        <f>SUM(N4:N5)</f>
        <v>30192.5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48</v>
      </c>
      <c r="N11" s="5">
        <f>21065.36+10170.69+6157.95</f>
        <v>37394</v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49</v>
      </c>
      <c r="N12" s="6">
        <f>SUM(N10,N11)</f>
        <v>67586.5</v>
      </c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5">
      <c r="P13" s="2"/>
      <c r="Q13" s="3">
        <v>10469</v>
      </c>
      <c r="R13" s="3">
        <v>10469</v>
      </c>
      <c r="S13" s="3">
        <v>10469</v>
      </c>
      <c r="T13" s="3">
        <v>10469</v>
      </c>
      <c r="U13" s="3">
        <v>10469</v>
      </c>
      <c r="V13" s="3">
        <v>10469</v>
      </c>
      <c r="W13" s="3">
        <v>10469</v>
      </c>
      <c r="X13" s="3">
        <v>10469</v>
      </c>
      <c r="Y13" s="1" t="s">
        <v>20</v>
      </c>
    </row>
    <row r="14" spans="1:25" x14ac:dyDescent="0.35">
      <c r="P14" s="2"/>
      <c r="Q14" s="2">
        <v>6641</v>
      </c>
      <c r="R14" s="2">
        <v>6641</v>
      </c>
      <c r="S14" s="3">
        <v>7497</v>
      </c>
      <c r="T14" s="3">
        <v>6754</v>
      </c>
      <c r="U14" s="3">
        <v>6641</v>
      </c>
      <c r="V14" s="4">
        <v>7384</v>
      </c>
      <c r="W14" s="4">
        <v>6641</v>
      </c>
      <c r="X14" s="3">
        <v>6641</v>
      </c>
      <c r="Y14" s="1" t="s">
        <v>21</v>
      </c>
    </row>
    <row r="15" spans="1:25" x14ac:dyDescent="0.35">
      <c r="P15" s="2"/>
      <c r="Q15" s="2">
        <v>22880</v>
      </c>
      <c r="R15" s="2">
        <f>17688+5664</f>
        <v>23352</v>
      </c>
      <c r="S15" s="3">
        <v>28140</v>
      </c>
      <c r="T15" s="3">
        <v>17446</v>
      </c>
      <c r="U15" s="3">
        <v>15073</v>
      </c>
      <c r="V15" s="3">
        <v>20168</v>
      </c>
      <c r="W15" s="3">
        <v>16868</v>
      </c>
      <c r="X15" s="3">
        <v>13074</v>
      </c>
      <c r="Y15" s="1" t="s">
        <v>18</v>
      </c>
    </row>
    <row r="16" spans="1:25" ht="15" thickBot="1" x14ac:dyDescent="0.4">
      <c r="C16" s="12" t="s">
        <v>27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" thickBot="1" x14ac:dyDescent="0.4">
      <c r="A17" s="12" t="s">
        <v>25</v>
      </c>
      <c r="B17" s="12" t="s">
        <v>26</v>
      </c>
      <c r="C17" s="14" t="s">
        <v>29</v>
      </c>
      <c r="P17" s="2"/>
      <c r="Q17" s="3">
        <f t="shared" ref="Q17:X17" si="0">SUM(Q13:Q15)</f>
        <v>39990</v>
      </c>
      <c r="R17" s="3">
        <f t="shared" si="0"/>
        <v>40462</v>
      </c>
      <c r="S17" s="3">
        <f t="shared" si="0"/>
        <v>46106</v>
      </c>
      <c r="T17" s="3">
        <f t="shared" si="0"/>
        <v>34669</v>
      </c>
      <c r="U17" s="3">
        <f t="shared" si="0"/>
        <v>32183</v>
      </c>
      <c r="V17" s="3">
        <f t="shared" si="0"/>
        <v>38021</v>
      </c>
      <c r="W17" s="3">
        <f t="shared" si="0"/>
        <v>33978</v>
      </c>
      <c r="X17" s="3">
        <f t="shared" si="0"/>
        <v>30184</v>
      </c>
      <c r="Y17" s="2"/>
    </row>
    <row r="18" spans="1:25" ht="15" thickBot="1" x14ac:dyDescent="0.4">
      <c r="A18" s="13">
        <v>0.1</v>
      </c>
      <c r="B18" s="14" t="s">
        <v>28</v>
      </c>
      <c r="C18" s="14" t="s">
        <v>31</v>
      </c>
    </row>
    <row r="19" spans="1:25" ht="15" thickBot="1" x14ac:dyDescent="0.4">
      <c r="A19" s="13">
        <v>0.12</v>
      </c>
      <c r="B19" s="14" t="s">
        <v>30</v>
      </c>
      <c r="C19" s="14" t="s">
        <v>33</v>
      </c>
      <c r="P19" t="s">
        <v>42</v>
      </c>
    </row>
    <row r="20" spans="1:25" ht="15" thickBot="1" x14ac:dyDescent="0.4">
      <c r="A20" s="13">
        <v>0.22</v>
      </c>
      <c r="B20" s="14" t="s">
        <v>32</v>
      </c>
      <c r="C20" s="14" t="s">
        <v>35</v>
      </c>
    </row>
    <row r="21" spans="1:25" ht="29.5" thickBot="1" x14ac:dyDescent="0.4">
      <c r="A21" s="13">
        <v>0.24</v>
      </c>
      <c r="B21" s="14" t="s">
        <v>34</v>
      </c>
      <c r="P21" s="1" t="s">
        <v>19</v>
      </c>
      <c r="Q21" s="11"/>
      <c r="R21" s="11" t="s">
        <v>44</v>
      </c>
      <c r="S21" s="11" t="s">
        <v>50</v>
      </c>
      <c r="T21" s="11"/>
      <c r="U21" s="11" t="s">
        <v>43</v>
      </c>
      <c r="V21" s="1"/>
      <c r="W21" s="11"/>
      <c r="X21" s="11"/>
      <c r="Y21" s="2"/>
    </row>
    <row r="22" spans="1:25" x14ac:dyDescent="0.35"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35">
      <c r="P23" s="2"/>
      <c r="Q23" s="3"/>
      <c r="R23" s="3">
        <v>9639</v>
      </c>
      <c r="S23" s="3">
        <v>10167</v>
      </c>
      <c r="T23" s="3"/>
      <c r="U23" s="3">
        <v>9639</v>
      </c>
      <c r="V23" s="3"/>
      <c r="W23" s="3"/>
      <c r="X23" s="3"/>
      <c r="Y23" s="1" t="s">
        <v>20</v>
      </c>
    </row>
    <row r="24" spans="1:25" x14ac:dyDescent="0.35">
      <c r="P24" s="2"/>
      <c r="Q24" s="2"/>
      <c r="R24" s="3">
        <v>6012</v>
      </c>
      <c r="S24" s="3">
        <v>6161</v>
      </c>
      <c r="T24" s="3"/>
      <c r="U24" s="3">
        <v>6124</v>
      </c>
      <c r="V24" s="4"/>
      <c r="W24" s="4"/>
      <c r="X24" s="3"/>
      <c r="Y24" s="1" t="s">
        <v>21</v>
      </c>
    </row>
    <row r="25" spans="1:25" x14ac:dyDescent="0.35">
      <c r="P25" s="2"/>
      <c r="Q25" s="2"/>
      <c r="R25" s="3">
        <v>9754</v>
      </c>
      <c r="S25" s="3">
        <v>21665</v>
      </c>
      <c r="T25" s="3"/>
      <c r="U25" s="3">
        <v>13871</v>
      </c>
      <c r="V25" s="3"/>
      <c r="W25" s="3"/>
      <c r="X25" s="3"/>
      <c r="Y25" s="1" t="s">
        <v>18</v>
      </c>
    </row>
    <row r="26" spans="1:25" x14ac:dyDescent="0.35"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35">
      <c r="P27" s="2"/>
      <c r="Q27" s="3"/>
      <c r="R27" s="3">
        <f>SUM(R23:R25)</f>
        <v>25405</v>
      </c>
      <c r="S27" s="3">
        <f>SUM(S23:S25)</f>
        <v>37993</v>
      </c>
      <c r="T27" s="3"/>
      <c r="U27" s="3">
        <f>SUM(U23:U25)</f>
        <v>29634</v>
      </c>
      <c r="V27" s="3"/>
      <c r="W27" s="3"/>
      <c r="X27" s="3"/>
      <c r="Y27" s="2"/>
    </row>
    <row r="28" spans="1:25" x14ac:dyDescent="0.35">
      <c r="Q28" s="15" t="s">
        <v>46</v>
      </c>
      <c r="R28" s="15">
        <v>7200</v>
      </c>
      <c r="U28" s="15">
        <v>7200</v>
      </c>
      <c r="V28" s="19"/>
    </row>
    <row r="29" spans="1:25" x14ac:dyDescent="0.35">
      <c r="Q29" s="16" t="s">
        <v>47</v>
      </c>
      <c r="R29" s="15">
        <f>SUM(R17,R27)-R28</f>
        <v>58667</v>
      </c>
      <c r="U29" s="15">
        <f>SUM(U17,U27)-U28</f>
        <v>54617</v>
      </c>
      <c r="V29" s="18"/>
    </row>
    <row r="30" spans="1:25" x14ac:dyDescent="0.35">
      <c r="Q30" s="16" t="s">
        <v>51</v>
      </c>
      <c r="R30" s="17">
        <f>N12</f>
        <v>67586.5</v>
      </c>
      <c r="U30" s="17">
        <f>N12</f>
        <v>67586.5</v>
      </c>
    </row>
    <row r="31" spans="1:25" x14ac:dyDescent="0.35">
      <c r="Q31" s="16" t="s">
        <v>52</v>
      </c>
      <c r="R31" s="17">
        <f>R30-R29</f>
        <v>8919.5</v>
      </c>
      <c r="U31" s="17">
        <f>U30-U29</f>
        <v>12969.5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2019-02-04T06:02:17Z</dcterms:created>
  <dcterms:modified xsi:type="dcterms:W3CDTF">2020-02-29T02:35:20Z</dcterms:modified>
</cp:coreProperties>
</file>