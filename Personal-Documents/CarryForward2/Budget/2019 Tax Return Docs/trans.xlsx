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XSULT1\Documents\AXSULT1-Workspace\Java-Eclipse-Projects\workspace\ReadPDFToExcel\tmp\result\"/>
    </mc:Choice>
  </mc:AlternateContent>
  <xr:revisionPtr revIDLastSave="0" documentId="13_ncr:1_{8DA67842-3170-4E25-B69C-5985253830DE}" xr6:coauthVersionLast="36" xr6:coauthVersionMax="36" xr10:uidLastSave="{00000000-0000-0000-0000-000000000000}"/>
  <bookViews>
    <workbookView xWindow="0" yWindow="0" windowWidth="19200" windowHeight="6350" firstSheet="23" activeTab="27" xr2:uid="{00000000-000D-0000-FFFF-FFFF00000000}"/>
  </bookViews>
  <sheets>
    <sheet name="CreationInfo" sheetId="1" r:id="rId1"/>
    <sheet name="Ignore" sheetId="2" r:id="rId2"/>
    <sheet name="AllExpenses" sheetId="3" r:id="rId3"/>
    <sheet name="BusTax-TAX" sheetId="4" r:id="rId4"/>
    <sheet name="Medical-MayNotBus" sheetId="5" r:id="rId5"/>
    <sheet name="Grocery" sheetId="6" r:id="rId6"/>
    <sheet name="AwaisMSPAndOutsideChicagoOffice" sheetId="7" r:id="rId7"/>
    <sheet name="Entertainment" sheetId="8" r:id="rId8"/>
    <sheet name="BusTax-Food" sheetId="9" r:id="rId9"/>
    <sheet name="Awais-WorkMayNotBus" sheetId="10" r:id="rId10"/>
    <sheet name="Awais-MinVit" sheetId="11" r:id="rId11"/>
    <sheet name="EntertainmentMayNotBus" sheetId="12" r:id="rId12"/>
    <sheet name="KidsShopping" sheetId="13" r:id="rId13"/>
    <sheet name="MedicalPaidThruHSA" sheetId="14" r:id="rId14"/>
    <sheet name="SalihaPersonal" sheetId="15" r:id="rId15"/>
    <sheet name="RegMonthly" sheetId="16" r:id="rId16"/>
    <sheet name="BusTax-Bills" sheetId="17" r:id="rId17"/>
    <sheet name="Medical" sheetId="18" r:id="rId18"/>
    <sheet name="BusTax-TravelGasLodging" sheetId="19" r:id="rId19"/>
    <sheet name="Bills" sheetId="20" r:id="rId20"/>
    <sheet name="NotCategorizedExpenses" sheetId="21" r:id="rId21"/>
    <sheet name="Gas" sheetId="22" r:id="rId22"/>
    <sheet name="InvstHouse" sheetId="23" r:id="rId23"/>
    <sheet name="Mortgage" sheetId="24" r:id="rId24"/>
    <sheet name="AwaisPersonal" sheetId="25" r:id="rId25"/>
    <sheet name="MajorExpenses" sheetId="26" r:id="rId26"/>
    <sheet name="AwaisChicagoOffice" sheetId="27" r:id="rId27"/>
    <sheet name="Saliha-MonthlyPayments" sheetId="28" r:id="rId28"/>
    <sheet name="BusTax-OfficeExpLicTraining" sheetId="29" r:id="rId29"/>
    <sheet name="RegMonthly-MayNotBus" sheetId="30" r:id="rId30"/>
    <sheet name="Donation" sheetId="31" r:id="rId31"/>
    <sheet name="KidsSchool" sheetId="32" r:id="rId32"/>
    <sheet name="Shopping" sheetId="33" r:id="rId33"/>
    <sheet name="KidsDayCare" sheetId="34" r:id="rId34"/>
    <sheet name="RegMonthly-BusCommon" sheetId="35" r:id="rId35"/>
    <sheet name="MajorExpenses-MayNotBus" sheetId="36" r:id="rId36"/>
    <sheet name="SalihaPersonal-MayNotBus" sheetId="37" r:id="rId37"/>
    <sheet name="AwaisPersonal-MayNotBus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E3" i="38" l="1"/>
  <c r="E6" i="37"/>
  <c r="E4" i="37"/>
  <c r="D4" i="37"/>
  <c r="E22" i="36"/>
  <c r="E14" i="36"/>
  <c r="D14" i="36"/>
  <c r="E11" i="36"/>
  <c r="D11" i="36"/>
  <c r="E7" i="36"/>
  <c r="D7" i="36"/>
  <c r="E30" i="35"/>
  <c r="E28" i="35"/>
  <c r="D28" i="35"/>
  <c r="E22" i="35"/>
  <c r="D22" i="35"/>
  <c r="E18" i="35"/>
  <c r="D18" i="35"/>
  <c r="E12" i="35"/>
  <c r="D12" i="35"/>
  <c r="E8" i="35"/>
  <c r="D8" i="35"/>
  <c r="E4" i="35"/>
  <c r="D4" i="35"/>
  <c r="E14" i="34"/>
  <c r="E4" i="34"/>
  <c r="D4" i="34"/>
  <c r="E9" i="33"/>
  <c r="E7" i="33"/>
  <c r="D7" i="33"/>
  <c r="E26" i="32"/>
  <c r="E20" i="32"/>
  <c r="D20" i="32"/>
  <c r="E16" i="32"/>
  <c r="D16" i="32"/>
  <c r="E9" i="32"/>
  <c r="D9" i="32"/>
  <c r="E6" i="32"/>
  <c r="D6" i="32"/>
  <c r="E3" i="32"/>
  <c r="D3" i="32"/>
  <c r="E16" i="31"/>
  <c r="E13" i="31"/>
  <c r="D13" i="31"/>
  <c r="E5" i="31"/>
  <c r="D5" i="31"/>
  <c r="E11" i="30"/>
  <c r="E9" i="30"/>
  <c r="D9" i="30"/>
  <c r="E7" i="30"/>
  <c r="D7" i="30"/>
  <c r="E43" i="29"/>
  <c r="E41" i="29"/>
  <c r="D41" i="29"/>
  <c r="E35" i="29"/>
  <c r="D35" i="29"/>
  <c r="E31" i="29"/>
  <c r="D31" i="29"/>
  <c r="E27" i="29"/>
  <c r="D27" i="29"/>
  <c r="E10" i="29"/>
  <c r="D10" i="29"/>
  <c r="E5" i="29"/>
  <c r="D5" i="29"/>
  <c r="E67" i="28"/>
  <c r="E64" i="28"/>
  <c r="D64" i="28"/>
  <c r="E60" i="28"/>
  <c r="D60" i="28"/>
  <c r="E50" i="28"/>
  <c r="D50" i="28"/>
  <c r="E42" i="28"/>
  <c r="D42" i="28"/>
  <c r="E36" i="28"/>
  <c r="D36" i="28"/>
  <c r="E25" i="28"/>
  <c r="D25" i="28"/>
  <c r="E19" i="28"/>
  <c r="D19" i="28"/>
  <c r="E11" i="28"/>
  <c r="D11" i="28"/>
  <c r="E5" i="28"/>
  <c r="D5" i="28"/>
  <c r="E46" i="27"/>
  <c r="E44" i="27"/>
  <c r="D44" i="27"/>
  <c r="E41" i="27"/>
  <c r="D41" i="27"/>
  <c r="E37" i="27"/>
  <c r="D37" i="27"/>
  <c r="E32" i="27"/>
  <c r="D32" i="27"/>
  <c r="E28" i="27"/>
  <c r="D28" i="27"/>
  <c r="E21" i="27"/>
  <c r="D21" i="27"/>
  <c r="E10" i="27"/>
  <c r="D10" i="27"/>
  <c r="E5" i="27"/>
  <c r="D5" i="27"/>
  <c r="E39" i="26"/>
  <c r="E16" i="26"/>
  <c r="D16" i="26"/>
  <c r="E13" i="26"/>
  <c r="D13" i="26"/>
  <c r="E9" i="26"/>
  <c r="D9" i="26"/>
  <c r="E75" i="25"/>
  <c r="E72" i="25"/>
  <c r="D72" i="25"/>
  <c r="E68" i="25"/>
  <c r="D68" i="25"/>
  <c r="E59" i="25"/>
  <c r="D59" i="25"/>
  <c r="E51" i="25"/>
  <c r="D51" i="25"/>
  <c r="E40" i="25"/>
  <c r="D40" i="25"/>
  <c r="E29" i="25"/>
  <c r="D29" i="25"/>
  <c r="E19" i="25"/>
  <c r="D19" i="25"/>
  <c r="E11" i="25"/>
  <c r="D11" i="25"/>
  <c r="E4" i="25"/>
  <c r="D4" i="25"/>
  <c r="E14" i="24"/>
  <c r="E39" i="23"/>
  <c r="E36" i="23"/>
  <c r="D36" i="23"/>
  <c r="E8" i="23"/>
  <c r="D8" i="23"/>
  <c r="E51" i="22"/>
  <c r="E47" i="22"/>
  <c r="D47" i="22"/>
  <c r="E42" i="22"/>
  <c r="D42" i="22"/>
  <c r="E36" i="22"/>
  <c r="D36" i="22"/>
  <c r="E31" i="22"/>
  <c r="D31" i="22"/>
  <c r="E25" i="22"/>
  <c r="D25" i="22"/>
  <c r="E21" i="22"/>
  <c r="D21" i="22"/>
  <c r="E18" i="22"/>
  <c r="D18" i="22"/>
  <c r="E14" i="22"/>
  <c r="D14" i="22"/>
  <c r="E11" i="22"/>
  <c r="D11" i="22"/>
  <c r="E9" i="22"/>
  <c r="D9" i="22"/>
  <c r="E6" i="22"/>
  <c r="D6" i="22"/>
  <c r="E3" i="22"/>
  <c r="D3" i="22"/>
  <c r="E5" i="21"/>
  <c r="E175" i="20"/>
  <c r="E169" i="20"/>
  <c r="D169" i="20"/>
  <c r="E152" i="20"/>
  <c r="D152" i="20"/>
  <c r="E137" i="20"/>
  <c r="D137" i="20"/>
  <c r="E120" i="20"/>
  <c r="D120" i="20"/>
  <c r="E107" i="20"/>
  <c r="D107" i="20"/>
  <c r="E92" i="20"/>
  <c r="D92" i="20"/>
  <c r="E65" i="20"/>
  <c r="D65" i="20"/>
  <c r="E52" i="20"/>
  <c r="D52" i="20"/>
  <c r="E10" i="20"/>
  <c r="D10" i="20"/>
  <c r="E328" i="19"/>
  <c r="E308" i="19"/>
  <c r="D308" i="19"/>
  <c r="E273" i="19"/>
  <c r="D273" i="19"/>
  <c r="E235" i="19"/>
  <c r="D235" i="19"/>
  <c r="E199" i="19"/>
  <c r="D199" i="19"/>
  <c r="E170" i="19"/>
  <c r="D170" i="19"/>
  <c r="E144" i="19"/>
  <c r="D144" i="19"/>
  <c r="E119" i="19"/>
  <c r="D119" i="19"/>
  <c r="E92" i="19"/>
  <c r="D92" i="19"/>
  <c r="E72" i="19"/>
  <c r="D72" i="19"/>
  <c r="E59" i="19"/>
  <c r="D59" i="19"/>
  <c r="E28" i="19"/>
  <c r="D28" i="19"/>
  <c r="E11" i="19"/>
  <c r="D11" i="19"/>
  <c r="E26" i="18"/>
  <c r="E24" i="18"/>
  <c r="D24" i="18"/>
  <c r="E22" i="18"/>
  <c r="D22" i="18"/>
  <c r="E20" i="18"/>
  <c r="D20" i="18"/>
  <c r="E18" i="18"/>
  <c r="D18" i="18"/>
  <c r="E7" i="18"/>
  <c r="D7" i="18"/>
  <c r="E3" i="18"/>
  <c r="D3" i="18"/>
  <c r="E178" i="17"/>
  <c r="E172" i="17"/>
  <c r="D172" i="17"/>
  <c r="E155" i="17"/>
  <c r="D155" i="17"/>
  <c r="E141" i="17"/>
  <c r="D141" i="17"/>
  <c r="E122" i="17"/>
  <c r="D122" i="17"/>
  <c r="E109" i="17"/>
  <c r="D109" i="17"/>
  <c r="E92" i="17"/>
  <c r="D92" i="17"/>
  <c r="E64" i="17"/>
  <c r="D64" i="17"/>
  <c r="E10" i="17"/>
  <c r="D10" i="17"/>
  <c r="E65" i="16"/>
  <c r="E62" i="16"/>
  <c r="D62" i="16"/>
  <c r="E54" i="16"/>
  <c r="D54" i="16"/>
  <c r="E49" i="16"/>
  <c r="D49" i="16"/>
  <c r="E44" i="16"/>
  <c r="D44" i="16"/>
  <c r="E31" i="16"/>
  <c r="D31" i="16"/>
  <c r="E23" i="16"/>
  <c r="D23" i="16"/>
  <c r="E15" i="16"/>
  <c r="D15" i="16"/>
  <c r="E3" i="16"/>
  <c r="D3" i="16"/>
  <c r="E80" i="15"/>
  <c r="E72" i="15"/>
  <c r="D72" i="15"/>
  <c r="E54" i="15"/>
  <c r="D54" i="15"/>
  <c r="E46" i="15"/>
  <c r="D46" i="15"/>
  <c r="E39" i="15"/>
  <c r="D39" i="15"/>
  <c r="E29" i="15"/>
  <c r="D29" i="15"/>
  <c r="E20" i="15"/>
  <c r="D20" i="15"/>
  <c r="E10" i="14"/>
  <c r="E7" i="14"/>
  <c r="D7" i="14"/>
  <c r="E3" i="14"/>
  <c r="D3" i="14"/>
  <c r="E51" i="13"/>
  <c r="E43" i="13"/>
  <c r="D43" i="13"/>
  <c r="E36" i="13"/>
  <c r="D36" i="13"/>
  <c r="E32" i="13"/>
  <c r="D32" i="13"/>
  <c r="E28" i="13"/>
  <c r="D28" i="13"/>
  <c r="E22" i="13"/>
  <c r="D22" i="13"/>
  <c r="E19" i="13"/>
  <c r="D19" i="13"/>
  <c r="E17" i="13"/>
  <c r="D17" i="13"/>
  <c r="E12" i="13"/>
  <c r="D12" i="13"/>
  <c r="E5" i="13"/>
  <c r="D5" i="13"/>
  <c r="E185" i="12"/>
  <c r="E177" i="12"/>
  <c r="D177" i="12"/>
  <c r="E159" i="12"/>
  <c r="D159" i="12"/>
  <c r="E143" i="12"/>
  <c r="D143" i="12"/>
  <c r="E117" i="12"/>
  <c r="D117" i="12"/>
  <c r="E100" i="12"/>
  <c r="D100" i="12"/>
  <c r="E93" i="12"/>
  <c r="D93" i="12"/>
  <c r="E70" i="12"/>
  <c r="D70" i="12"/>
  <c r="E52" i="12"/>
  <c r="D52" i="12"/>
  <c r="E38" i="12"/>
  <c r="D38" i="12"/>
  <c r="E30" i="12"/>
  <c r="D30" i="12"/>
  <c r="E15" i="12"/>
  <c r="D15" i="12"/>
  <c r="E4" i="12"/>
  <c r="D4" i="12"/>
  <c r="E8" i="11"/>
  <c r="E5" i="11"/>
  <c r="D5" i="11"/>
  <c r="E3" i="11"/>
  <c r="D3" i="11"/>
  <c r="E96" i="10"/>
  <c r="E93" i="10"/>
  <c r="D93" i="10"/>
  <c r="E76" i="10"/>
  <c r="D76" i="10"/>
  <c r="E66" i="10"/>
  <c r="D66" i="10"/>
  <c r="E44" i="10"/>
  <c r="D44" i="10"/>
  <c r="E38" i="10"/>
  <c r="D38" i="10"/>
  <c r="E31" i="10"/>
  <c r="D31" i="10"/>
  <c r="E23" i="10"/>
  <c r="D23" i="10"/>
  <c r="E16" i="10"/>
  <c r="D16" i="10"/>
  <c r="E7" i="10"/>
  <c r="D7" i="10"/>
  <c r="E287" i="9"/>
  <c r="E277" i="9"/>
  <c r="D277" i="9"/>
  <c r="E252" i="9"/>
  <c r="D252" i="9"/>
  <c r="E220" i="9"/>
  <c r="D220" i="9"/>
  <c r="E188" i="9"/>
  <c r="D188" i="9"/>
  <c r="E152" i="9"/>
  <c r="D152" i="9"/>
  <c r="E136" i="9"/>
  <c r="D136" i="9"/>
  <c r="E103" i="9"/>
  <c r="D103" i="9"/>
  <c r="E79" i="9"/>
  <c r="D79" i="9"/>
  <c r="E60" i="9"/>
  <c r="D60" i="9"/>
  <c r="E48" i="9"/>
  <c r="D48" i="9"/>
  <c r="E25" i="9"/>
  <c r="D25" i="9"/>
  <c r="E7" i="9"/>
  <c r="D7" i="9"/>
  <c r="E215" i="8"/>
  <c r="E206" i="8"/>
  <c r="D206" i="8"/>
  <c r="E185" i="8"/>
  <c r="D185" i="8"/>
  <c r="E163" i="8"/>
  <c r="D163" i="8"/>
  <c r="E133" i="8"/>
  <c r="D133" i="8"/>
  <c r="E114" i="8"/>
  <c r="D114" i="8"/>
  <c r="E103" i="8"/>
  <c r="D103" i="8"/>
  <c r="E79" i="8"/>
  <c r="D79" i="8"/>
  <c r="E57" i="8"/>
  <c r="D57" i="8"/>
  <c r="E43" i="8"/>
  <c r="D43" i="8"/>
  <c r="E34" i="8"/>
  <c r="D34" i="8"/>
  <c r="E19" i="8"/>
  <c r="D19" i="8"/>
  <c r="E4" i="8"/>
  <c r="D4" i="8"/>
  <c r="E76" i="7"/>
  <c r="E74" i="7"/>
  <c r="D74" i="7"/>
  <c r="E71" i="7"/>
  <c r="D71" i="7"/>
  <c r="E57" i="7"/>
  <c r="D57" i="7"/>
  <c r="E30" i="7"/>
  <c r="D30" i="7"/>
  <c r="E28" i="7"/>
  <c r="D28" i="7"/>
  <c r="E24" i="7"/>
  <c r="D24" i="7"/>
  <c r="E18" i="7"/>
  <c r="D18" i="7"/>
  <c r="E9" i="7"/>
  <c r="D9" i="7"/>
  <c r="E168" i="6"/>
  <c r="E161" i="6"/>
  <c r="D161" i="6"/>
  <c r="E142" i="6"/>
  <c r="D142" i="6"/>
  <c r="E130" i="6"/>
  <c r="D130" i="6"/>
  <c r="E105" i="6"/>
  <c r="D105" i="6"/>
  <c r="E85" i="6"/>
  <c r="D85" i="6"/>
  <c r="E74" i="6"/>
  <c r="D74" i="6"/>
  <c r="E61" i="6"/>
  <c r="D61" i="6"/>
  <c r="E51" i="6"/>
  <c r="D51" i="6"/>
  <c r="E37" i="6"/>
  <c r="D37" i="6"/>
  <c r="E24" i="6"/>
  <c r="D24" i="6"/>
  <c r="E10" i="6"/>
  <c r="D10" i="6"/>
  <c r="E19" i="5"/>
  <c r="E17" i="5"/>
  <c r="D17" i="5"/>
  <c r="E15" i="5"/>
  <c r="D15" i="5"/>
  <c r="E13" i="5"/>
  <c r="D13" i="5"/>
  <c r="E6" i="5"/>
  <c r="D6" i="5"/>
  <c r="E3" i="5"/>
  <c r="D3" i="5"/>
  <c r="E26" i="4"/>
  <c r="E23" i="4"/>
  <c r="D23" i="4"/>
  <c r="E18" i="4"/>
  <c r="D18" i="4"/>
  <c r="E7" i="4"/>
  <c r="D7" i="4"/>
  <c r="E5" i="4"/>
  <c r="D5" i="4"/>
  <c r="E1581" i="3"/>
  <c r="E1495" i="3"/>
  <c r="D1495" i="3"/>
  <c r="E1333" i="3"/>
  <c r="D1333" i="3"/>
  <c r="E1183" i="3"/>
  <c r="D1183" i="3"/>
  <c r="E1027" i="3"/>
  <c r="D1027" i="3"/>
  <c r="E882" i="3"/>
  <c r="D882" i="3"/>
  <c r="E751" i="3"/>
  <c r="D751" i="3"/>
  <c r="E617" i="3"/>
  <c r="D617" i="3"/>
  <c r="E495" i="3"/>
  <c r="D495" i="3"/>
  <c r="E397" i="3"/>
  <c r="D397" i="3"/>
  <c r="E311" i="3"/>
  <c r="D311" i="3"/>
  <c r="E168" i="3"/>
  <c r="D168" i="3"/>
  <c r="E49" i="3"/>
  <c r="D49" i="3"/>
  <c r="E211" i="2"/>
  <c r="E192" i="2"/>
  <c r="D192" i="2"/>
  <c r="E173" i="2"/>
  <c r="D173" i="2"/>
  <c r="E153" i="2"/>
  <c r="D153" i="2"/>
  <c r="E133" i="2"/>
  <c r="D133" i="2"/>
  <c r="E121" i="2"/>
  <c r="D121" i="2"/>
  <c r="E98" i="2"/>
  <c r="D98" i="2"/>
  <c r="E84" i="2"/>
  <c r="D84" i="2"/>
  <c r="E69" i="2"/>
  <c r="D69" i="2"/>
  <c r="E52" i="2"/>
  <c r="D52" i="2"/>
  <c r="E41" i="2"/>
  <c r="D41" i="2"/>
  <c r="E24" i="2"/>
  <c r="D24" i="2"/>
  <c r="E7" i="2"/>
  <c r="D7" i="2"/>
</calcChain>
</file>

<file path=xl/sharedStrings.xml><?xml version="1.0" encoding="utf-8"?>
<sst xmlns="http://schemas.openxmlformats.org/spreadsheetml/2006/main" count="8374" uniqueCount="1099">
  <si>
    <t>29/02/20 05:05:47</t>
  </si>
  <si>
    <t>Date</t>
  </si>
  <si>
    <t>Description</t>
  </si>
  <si>
    <t>Amount</t>
  </si>
  <si>
    <t>01/14/2019</t>
  </si>
  <si>
    <t>01/14 Payment To Chase Card Ending IN 7412</t>
  </si>
  <si>
    <t xml:space="preserve"> --Report period end before - 01/15/2019</t>
  </si>
  <si>
    <t>01/29/2019</t>
  </si>
  <si>
    <t>01/29 Online Transfer 7888812300 To Chase-Salihapersonal-Totchk #####1229 Transaction #:</t>
  </si>
  <si>
    <t xml:space="preserve"> --All transactions total</t>
  </si>
  <si>
    <t>01/25/2019</t>
  </si>
  <si>
    <t>Irs              Usataxpymt 270942542625303 CCD ID: 3387702000</t>
  </si>
  <si>
    <t>01/31/2019</t>
  </si>
  <si>
    <t>Irs              Usataxpymt 270943120089601 CCD ID: 3387702000</t>
  </si>
  <si>
    <t>IL Dept of Reven EDI Pymnts 00001144569504  CCD ID: 5555566257</t>
  </si>
  <si>
    <t>01/03/2019</t>
  </si>
  <si>
    <t>72312 - BLACKHAWK/HALSTED CHICAGO IL</t>
  </si>
  <si>
    <t>01/12/2019</t>
  </si>
  <si>
    <t>TARGET        00027813 CHICAGO IL</t>
  </si>
  <si>
    <t>01/15/2019</t>
  </si>
  <si>
    <t>AWAMI BAZAAR &amp; ZABIHA M CHICAGO IL</t>
  </si>
  <si>
    <t>01/16/2019</t>
  </si>
  <si>
    <t>WALMART.COM 800-966-6546 AR</t>
  </si>
  <si>
    <t>Payment Thank You - Web</t>
  </si>
  <si>
    <t>01/07/2019</t>
  </si>
  <si>
    <t>SIXT RENT A CAR FT LAUDERDALE FL</t>
  </si>
  <si>
    <t>01/08/2019</t>
  </si>
  <si>
    <t>CHELSEAS CAFE RICHFIELD MN</t>
  </si>
  <si>
    <t>SIXT_CHICAGOAI_44351 CHICAGO IL</t>
  </si>
  <si>
    <t>01/09/2019</t>
  </si>
  <si>
    <t>01/10/2019</t>
  </si>
  <si>
    <t>01/05/2019</t>
  </si>
  <si>
    <t>MCDONALD'S M4684 CHICAGO IL</t>
  </si>
  <si>
    <t>01/13/2019</t>
  </si>
  <si>
    <t>MCDONALD'S F16743 CHICAGO IL</t>
  </si>
  <si>
    <t>PARKINGMETER1 8772427901 CHICAGO IL</t>
  </si>
  <si>
    <t>BUNDOO KHAN KABAB HOUSE CHICAGO IL</t>
  </si>
  <si>
    <t>SHP*SWANSON HLTH PROD 800-437-4148 ND</t>
  </si>
  <si>
    <t>01/11/2019</t>
  </si>
  <si>
    <t>GYMBOREE 176 SKOKIE IL</t>
  </si>
  <si>
    <t>CHILDRENS DENTAL WORLD CHICAGO IL</t>
  </si>
  <si>
    <t>VICTORIA'S SECRET 1720 CHICAGO IL</t>
  </si>
  <si>
    <t>VICTORIA'S SECRET 0045 SKOKIE IL</t>
  </si>
  <si>
    <t>VCN*COOKCOVITALSTAT 866-255-1857 IL</t>
  </si>
  <si>
    <t>LOT D CHICAGO IL</t>
  </si>
  <si>
    <t>STAR CLEANERS CHICAGO IL</t>
  </si>
  <si>
    <t>01/17/2019</t>
  </si>
  <si>
    <t>01/19/2019</t>
  </si>
  <si>
    <t>DOCTOR ON DEMAND 800-997-6196 CA</t>
  </si>
  <si>
    <t>01/07 COSTCO WHSE #1107 CHICAGO IL</t>
  </si>
  <si>
    <t>01/14 COSTCO WHSE #1107 CHICAGO IL $64.44 3% on restaurants ................................ +$0.003% on eligible travel worldwide ............. +$0.00Fees Charged$0.00TOTAL FEES FOR THIS PERIOD2% on Costco andCostco.com .......................................... +$6.80Interest Charged1% on all otherTOTAL INTEREST FOR THIS PERIOD</t>
  </si>
  <si>
    <t>01/07</t>
  </si>
  <si>
    <t>01/11</t>
  </si>
  <si>
    <t>AUTOPAY 000000000067420RAUTOPAY AUTO-PMT</t>
  </si>
  <si>
    <t>01/08 I94 MART ELK MOUND WI</t>
  </si>
  <si>
    <t>01/11 BP#1823418RICHFIELD BP RICHFIELD MN</t>
  </si>
  <si>
    <t>01/14 COMPLETE ID 855-591-0202 TX</t>
  </si>
  <si>
    <t>01/11 EXXONMOBIL 97555544 BELVIDERE IL</t>
  </si>
  <si>
    <t>01/04/2019</t>
  </si>
  <si>
    <t>Target Card Srvc Bill Pay   000000005956015 Web ID: T510215170</t>
  </si>
  <si>
    <t>01/14 Online Transfer 7846020552 To Smile Hub #####8291 Transaction #: 7846020552</t>
  </si>
  <si>
    <t>Chase Credit Crd Autopay    000000000110166 PPD ID: 4760039224</t>
  </si>
  <si>
    <t>01/18/2019</t>
  </si>
  <si>
    <t>Citi Autopay     Payment    082860832841560 Web ID: Citicardap</t>
  </si>
  <si>
    <t>01/02/2019</t>
  </si>
  <si>
    <t>Homebridge Fin    Mort Pymt                 PPD ID: 9221396001</t>
  </si>
  <si>
    <t>Nationstar Dba   Mr Cooper                  PPD ID: 9200503036</t>
  </si>
  <si>
    <t>Peoples Gas      Online Pmt                 PPD ID: 9500000000</t>
  </si>
  <si>
    <t>Comed            UTIL_Bil                   PPD ID: 2360938600</t>
  </si>
  <si>
    <t>Atgpay Online PA Atgpay Onl Tuscany Club VI Web ID: 1800948598</t>
  </si>
  <si>
    <t>City of Chicago  Water Bill 1213674-104094  Web ID: 1366005820</t>
  </si>
  <si>
    <t>Quickpay With Zelle Payment To Joe - Soccer 7826416713</t>
  </si>
  <si>
    <t>Tiffany And CO   Payment    601044040433162 Web ID: 1131387680</t>
  </si>
  <si>
    <t>Quickpay With Zelle Payment To Joe - Soccer 7845469158</t>
  </si>
  <si>
    <t>WAL-MART #5402 CHICAGO IL</t>
  </si>
  <si>
    <t>AUTOMATIC PAYMENT - THANK YOU</t>
  </si>
  <si>
    <t>01/01/2019</t>
  </si>
  <si>
    <t>SPRINT *WIRELESS 800-639-6111 KS</t>
  </si>
  <si>
    <t>COMCAST CHICAGO 800-COMCAST IL</t>
  </si>
  <si>
    <t>UBER TECHNOLOGIES INC 8005928996 CA</t>
  </si>
  <si>
    <t>VENTRA AUTOLOAD 877-669-8368 IL</t>
  </si>
  <si>
    <t>01/24/2019</t>
  </si>
  <si>
    <t>Interest Payment 0.03</t>
  </si>
  <si>
    <t>Interest Payment 0.01</t>
  </si>
  <si>
    <t>ATM Withdrawal          01/11 1130 W Taylor St Chicago IL Card 8983 -1,000.00</t>
  </si>
  <si>
    <t>02/14/2019</t>
  </si>
  <si>
    <t>02/14 Payment To Chase Card Ending IN 7412</t>
  </si>
  <si>
    <t>02/01/2019</t>
  </si>
  <si>
    <t>IL Dept Empl Sec Unempl Tax 1994652288      CCD ID: 1363042127</t>
  </si>
  <si>
    <t xml:space="preserve"> --Report period end before - 02/15/2019</t>
  </si>
  <si>
    <t>02/19/2019</t>
  </si>
  <si>
    <t>IL Dept of Reven EDI Pymnts 19Sbr000002222  CCD ID: 5555566257</t>
  </si>
  <si>
    <t>72649 - 2515 N CLARK AND CHICAGO IL</t>
  </si>
  <si>
    <t>01/22/2019</t>
  </si>
  <si>
    <t>01/23/2019</t>
  </si>
  <si>
    <t>JEWEL-OSCO CHICAGO IL</t>
  </si>
  <si>
    <t>02/03/2019</t>
  </si>
  <si>
    <t>02/05/2019</t>
  </si>
  <si>
    <t>02/18/2019</t>
  </si>
  <si>
    <t>01/21/2019</t>
  </si>
  <si>
    <t>ABENITY, INC. 855-223-6489 TN</t>
  </si>
  <si>
    <t>02/13/2019</t>
  </si>
  <si>
    <t>SQ *HOGWASH San Francisco CA</t>
  </si>
  <si>
    <t>MAGNETRON SAN FRANCISCO CA</t>
  </si>
  <si>
    <t>THE CABLE CAR STORE SAN FRANCISCO CA</t>
  </si>
  <si>
    <t>02/15/2019</t>
  </si>
  <si>
    <t>SANKAKU T3 SAN FRANCISCO CA</t>
  </si>
  <si>
    <t>AMOURA SAN FRANCISCO CA</t>
  </si>
  <si>
    <t>DIGITALGURU TECH BOOKSHP SANTA CLARA CA</t>
  </si>
  <si>
    <t>GREETINGS FROM SAN BURLINGAME CA</t>
  </si>
  <si>
    <t>AMC RIVER EAST 21 #0133 CHICAGO IL</t>
  </si>
  <si>
    <t>01/26/2019</t>
  </si>
  <si>
    <t>JETS PIZZA - IL-023 CHICAGO IL</t>
  </si>
  <si>
    <t>REDBOX *DVD RENTAL 866-733-2693 IL</t>
  </si>
  <si>
    <t>WYNDHAM VACATION OWNERSH ORLANDO FL</t>
  </si>
  <si>
    <t>02/09/2019</t>
  </si>
  <si>
    <t>MCDONALD'S F240 CHICAGO IL</t>
  </si>
  <si>
    <t>MCDONALD'S F4184 CHICAGO IL</t>
  </si>
  <si>
    <t>02/16/2019</t>
  </si>
  <si>
    <t>DD/BR #336600 Q35 CHICAGO IL</t>
  </si>
  <si>
    <t>LASALLE CAFE  11308764 CHICAGO IL</t>
  </si>
  <si>
    <t>02/08/2019</t>
  </si>
  <si>
    <t>TST* SLICE FACTORY - ARCH 312-380-6616 IL</t>
  </si>
  <si>
    <t>STARBUCKS STORE 50882 CHICAGO IL</t>
  </si>
  <si>
    <t>JANIEANDJACK.COM 900 419-278-7172 CA</t>
  </si>
  <si>
    <t>01/27/2019</t>
  </si>
  <si>
    <t>900 SELF PARK GARAGE CHICAGO IL</t>
  </si>
  <si>
    <t>02/04/2019</t>
  </si>
  <si>
    <t>FOREIGN TRANSACTION FEE</t>
  </si>
  <si>
    <t>02/11/2019</t>
  </si>
  <si>
    <t>2CO.COM*_MARIA_AE 923211224333</t>
  </si>
  <si>
    <t>MARIO TRICOCI - 3130 - CH CHICAGO IL</t>
  </si>
  <si>
    <t>Scholastic Reading Club 573-632-1834 MO</t>
  </si>
  <si>
    <t>KETTO MUMBAI</t>
  </si>
  <si>
    <t>UBER   *TRIP 800-592-8996 CA</t>
  </si>
  <si>
    <t>02/12/2019</t>
  </si>
  <si>
    <t>WALGREENS #5033 CHICAGO IL</t>
  </si>
  <si>
    <t>01/25 COSTCO WHSE #1107        CHICAGO      IL</t>
  </si>
  <si>
    <t>02/13 COSTCO WHSE #0380        CHICAGO      IL</t>
  </si>
  <si>
    <t>02/17/2019</t>
  </si>
  <si>
    <t>02/08 UNITED      0167248501145800-932-2732 TX $754.88 Year To Date  : $42.13</t>
  </si>
  <si>
    <t>02/09 EGENFEE*26954361738      866-397-2677 WA</t>
  </si>
  <si>
    <t>02/12 SANKAKU T3               SAN FRANCISCOCA</t>
  </si>
  <si>
    <t>01/22 SUBWAY        00223685   CHICAGO      IL</t>
  </si>
  <si>
    <t>01/22 DD/BR #336600 Q35        CHICAGO      IL</t>
  </si>
  <si>
    <t>02/14 COMPLETE ID              855-591-0202 TX</t>
  </si>
  <si>
    <t>01/25 COSTCO GAS #1107         CHICAGO      IL</t>
  </si>
  <si>
    <t>02/08 PROGRESSIVE INS          800-776-4737 OH</t>
  </si>
  <si>
    <t>02/12 COSTCO GAS #1107         CHICAGO      IL</t>
  </si>
  <si>
    <t>Banana Visa      Br Epay    1784579017      Web ID: 9130142001</t>
  </si>
  <si>
    <t>Macys            Online Pmt 112874272351548 Web ID: Citictp</t>
  </si>
  <si>
    <t>Macys            Auto Pymt  722846811020696 Web ID: Citiautfdr</t>
  </si>
  <si>
    <t>01/31 Online Transfer To  Chk ...6062 Transaction#: 7802592691</t>
  </si>
  <si>
    <t>02/14 Online Transfer To Chk ...6062 Transaction#: 7938191062</t>
  </si>
  <si>
    <t>Chase Credit Crd Autopay    000000000112183 PPD ID: 4760039224</t>
  </si>
  <si>
    <t>Citi Autopay     Payment    082888407832167 Web ID: Citicardap</t>
  </si>
  <si>
    <t>City of Chicago  Water Bill 1138567-516378  Web ID: 1366005820</t>
  </si>
  <si>
    <t>01/28/2019</t>
  </si>
  <si>
    <t>02/06/2019</t>
  </si>
  <si>
    <t>02/07/2019</t>
  </si>
  <si>
    <t>Quickpay With Zelle Payment To Joe - Soccer 7865233441</t>
  </si>
  <si>
    <t>Quickpay With Zelle Payment To Joe - Soccer 7886961224</t>
  </si>
  <si>
    <t>Quickpay With Zelle Payment To Joe - Soccer 7909739623</t>
  </si>
  <si>
    <t>Best Buy         Payment    142873286652178 Web ID: Citictp</t>
  </si>
  <si>
    <t>Quickpay With Zelle Payment To Joe - Soccer 7932429201</t>
  </si>
  <si>
    <t>Quickpay With Zelle Payment To Samir Accounting Jpm207789423</t>
  </si>
  <si>
    <t>Quickpay With Zelle Payment To Samir Accounting Jpm207945213</t>
  </si>
  <si>
    <t>Quickpay With Zelle Payment To Joe - Soccer 7951047950</t>
  </si>
  <si>
    <t>OHIO TURNPIKE REPLENISHME 440-2342081 OH</t>
  </si>
  <si>
    <t>American Hm Shld 800-7764663 TN</t>
  </si>
  <si>
    <t>CRICKET WIRELESS 855-246-2461 FL</t>
  </si>
  <si>
    <t>SKYPE.COM/BILL SKYPE.COM NV</t>
  </si>
  <si>
    <t>LYFT   *RIDE TUE 8AM lyft.com CA</t>
  </si>
  <si>
    <t>02/25/2019</t>
  </si>
  <si>
    <t>JPMorgan Chase   Ext Trnsfr                 PPD ID: 9200502231 9,400.00</t>
  </si>
  <si>
    <t>01/31 Online Transfer 7896048656 To Smile Hub #####8291 Transaction #: -1,000.00</t>
  </si>
  <si>
    <t>02/01 Online Transfer 7900294426 To Smile Hub #####8291 Transaction #: -2,000.00</t>
  </si>
  <si>
    <t>02/13 Online Transfer 7935686655 To Smile Hub #####8291 Transaction #: -2,157.00</t>
  </si>
  <si>
    <t>Dept Education   Student Ln                 PPD ID: 9102001303 -2,201.72</t>
  </si>
  <si>
    <t>ATM Withdrawal          02/08 1130 W Taylor St Chicago IL Card 8983 -270.00</t>
  </si>
  <si>
    <t>03/13/2019</t>
  </si>
  <si>
    <t>03/13 Online Transfer 8026076125 To Chase-Salihapersonal-Totchk #####1229 Transaction #:</t>
  </si>
  <si>
    <t>03/13 Payment To Chase Card Ending IN 7412</t>
  </si>
  <si>
    <t>02/20/2019</t>
  </si>
  <si>
    <t>02/24/2019</t>
  </si>
  <si>
    <t>03/02/2019</t>
  </si>
  <si>
    <t>7-ELEVEN 33727 CHICAGO IL</t>
  </si>
  <si>
    <t>03/03/2019</t>
  </si>
  <si>
    <t>IQRA GROCERY AND ZABIHA VILLA PARK IL</t>
  </si>
  <si>
    <t>03/04/2019</t>
  </si>
  <si>
    <t>WAL-MART #5646 CHICAGO IL</t>
  </si>
  <si>
    <t>03/09/2019</t>
  </si>
  <si>
    <t>02/22/2019</t>
  </si>
  <si>
    <t>ABM PARKING NU MEM-HURON CHICAGO IL</t>
  </si>
  <si>
    <t>03/11/2019</t>
  </si>
  <si>
    <t>CCSF MTA IPS PRKNG METER SAN FRANCISCO CA</t>
  </si>
  <si>
    <t>03/06/2019</t>
  </si>
  <si>
    <t>Four Seasons Heating &amp; Ai 773-284-6161 IL</t>
  </si>
  <si>
    <t>ADT-PROTECT YOUR HOME INDIANAPOLIS IN</t>
  </si>
  <si>
    <t>ADTSECURITY MYADT.COM 800-238-2727 FL</t>
  </si>
  <si>
    <t xml:space="preserve"> --Report period end before - 03/15/2019</t>
  </si>
  <si>
    <t>03/15/2019</t>
  </si>
  <si>
    <t>LOCKSMITH AND SECURITY CHICAGO IL</t>
  </si>
  <si>
    <t>SAVOR-MCCORMICK PLACE CHICAGO IL</t>
  </si>
  <si>
    <t>02/23/2019</t>
  </si>
  <si>
    <t>JADE COURT CHINESE RESTAU CHICAGO IL</t>
  </si>
  <si>
    <t>PARKINGMETER4 8772427901 CHICAGO IL</t>
  </si>
  <si>
    <t>02/26/2019</t>
  </si>
  <si>
    <t>03/01/2019</t>
  </si>
  <si>
    <t>HIMALAYAN RESTAURANT CHICAGO IL</t>
  </si>
  <si>
    <t>03/07/2019</t>
  </si>
  <si>
    <t>03/08/2019</t>
  </si>
  <si>
    <t>CHUCK E CHEESE  456 SKOKIE IL</t>
  </si>
  <si>
    <t>03/12/2019</t>
  </si>
  <si>
    <t>03/16/2019</t>
  </si>
  <si>
    <t>MCDONALD'S F15921 CHICAGO IL</t>
  </si>
  <si>
    <t>BUILDABEAR WORKSHOP CHICAGO IL</t>
  </si>
  <si>
    <t>03/10/2019</t>
  </si>
  <si>
    <t>Nike Rosemont 208 Rosemont IL</t>
  </si>
  <si>
    <t>PERFUMANIA #690 ROSEMONT IL</t>
  </si>
  <si>
    <t>03/14/2019</t>
  </si>
  <si>
    <t>03/05/2019</t>
  </si>
  <si>
    <t>CTY CLERK STICKERS CHICAGO IL</t>
  </si>
  <si>
    <t>ILLINOISSECRETARYOFSTATE- 217-7853920 IL</t>
  </si>
  <si>
    <t>USPS PO 1615030804 CHICAGO IL</t>
  </si>
  <si>
    <t>FEDEX OFFIC32100003210 CHICAGO IL</t>
  </si>
  <si>
    <t>CHICAGO O'HARE INTERNA CHICAGO IL</t>
  </si>
  <si>
    <t>ACT*CPD 312-742-PLAY / 312-7427529 IL</t>
  </si>
  <si>
    <t>02/28/2019</t>
  </si>
  <si>
    <t>ARMANI OUTLETS CHICAGO ROSEMONT IL</t>
  </si>
  <si>
    <t>TAXI SVC CHICAGO CHICAGO IL</t>
  </si>
  <si>
    <t>02/24 COSTCO WHSE #1107        CHICAGO      IL</t>
  </si>
  <si>
    <t>03/05 COSTCO WHSE #1107        CHICAGO      IL</t>
  </si>
  <si>
    <t>03/16 COSTCO WHSE #1107        CHICAGO      IL</t>
  </si>
  <si>
    <t>03/17/2019</t>
  </si>
  <si>
    <t>03/17 COSTCO WHSE #0380        CHICAGO      IL</t>
  </si>
  <si>
    <t>ONLINE PAYMENT, THANK YOU</t>
  </si>
  <si>
    <t>03/14 COMPLETE ID              855-591-0202 TX</t>
  </si>
  <si>
    <t>02/23 COSTCO GAS #1107         CHICAGO      IL</t>
  </si>
  <si>
    <t>03/01 ETIHADAIRWA 6077255541495+97125110000 NY $895.00</t>
  </si>
  <si>
    <t>03/05 COSTCO GAS #1107         CHICAGO      IL</t>
  </si>
  <si>
    <t>03/11 ETIHADAIRWA 6077259209501+97125110000 NY $285.00</t>
  </si>
  <si>
    <t>03/11 ETIHADAIRWA 6077258792993+97125110000 NY $849.00</t>
  </si>
  <si>
    <t>03/11 ETIHADAIRWA 6077258792994+97125110000 NY $849.00</t>
  </si>
  <si>
    <t>03/11 ETIHADAIRWA 6077258792992+97125110000 NY $895.00</t>
  </si>
  <si>
    <t>03/16 COSTCO GAS #1107         CHICAGO      IL</t>
  </si>
  <si>
    <t>03/19/2019</t>
  </si>
  <si>
    <t>FLATTIS HOTEL            LAHORE       PK            50,000.00  PAKISTAN RUPEE $359.02</t>
  </si>
  <si>
    <t>Banana Visa      Br Epay    1810307362      Web ID: 9130142001</t>
  </si>
  <si>
    <t>Macys            Auto Pymt  722873595760437 Web ID: Citiautfdr</t>
  </si>
  <si>
    <t>Saks Retail      Online Pmt 000001902924979 Web ID: 9541719427</t>
  </si>
  <si>
    <t>02/27/2019</t>
  </si>
  <si>
    <t>02/27 Online Transfer To Chk ...1229 Transaction#: 7979156781</t>
  </si>
  <si>
    <t>02/28 Online Transfer To  Chk ...6062 Transaction#: 7893309899</t>
  </si>
  <si>
    <t>Citi Card Online Payment    122902661837104 Web ID: Citictp</t>
  </si>
  <si>
    <t>03/13 Online Transfer 8028742324 To Smile Hub #####8291 Transaction #: 8028742324</t>
  </si>
  <si>
    <t>Chase Credit Crd Autopay                    PPD ID: 4760039224</t>
  </si>
  <si>
    <t>Realestatemtgnt  Loan Paymt                 PPD ID: 9Drafting</t>
  </si>
  <si>
    <t>Quickpay With Zelle Payment To Joe - Soccer 7973270336</t>
  </si>
  <si>
    <t>Quickpay With Zelle Payment To Joe - Soccer 7999744972</t>
  </si>
  <si>
    <t>Quickpay With Zelle Payment To Joe - Soccer 8020570501</t>
  </si>
  <si>
    <t>71973 - 680 N LAKESHORE D CHICAGO IL</t>
  </si>
  <si>
    <t>IIT PARKING METERS CHICAGO IL</t>
  </si>
  <si>
    <t>02/21/2019</t>
  </si>
  <si>
    <t>NADRA ISLAMABAD</t>
  </si>
  <si>
    <t>LYFT   *RIDE TUE 1PM lyft.com CA</t>
  </si>
  <si>
    <t>LYFT   *RIDE TUE 2PM lyft.com CA</t>
  </si>
  <si>
    <t>MILAAP USA WWW.MILAAP.OR TX</t>
  </si>
  <si>
    <t>LYFT   *RIDE THU 10AM lyft.com CA</t>
  </si>
  <si>
    <t>LYFT   *RIDE FRI 6PM LYFT.COM CA</t>
  </si>
  <si>
    <t>03/22/2019</t>
  </si>
  <si>
    <t>Interest Payment 0.02</t>
  </si>
  <si>
    <t>Online Transfer From Chk ...6062 Transaction#: 7979156781 1,000.00</t>
  </si>
  <si>
    <t>Card Purchase W/Cash    02/16 Usps PO 16150308 433 W Chicago IL Card -133.25</t>
  </si>
  <si>
    <t>ATM Withdrawal          02/15 1130 W Taylor St Chicago IL Card 8983 -360.00</t>
  </si>
  <si>
    <t>ATM Withdrawal          02/22 1130 W Taylor St Chicago IL Card 8983 -320.00</t>
  </si>
  <si>
    <t>ATM Withdrawal          03/01 1130 W Taylor St Chicago IL Card 8983 -330.00</t>
  </si>
  <si>
    <t>Dept Education   Student Ln                 PPD ID: 9102001303 -2,193.73</t>
  </si>
  <si>
    <t>ATM Withdrawal          03/07 1130 W Taylor St Chicago IL Card 8983 -265.00</t>
  </si>
  <si>
    <t>Cash Redemption 618.57</t>
  </si>
  <si>
    <t>04/08/2019</t>
  </si>
  <si>
    <t>04/05 Payment To Chase Card Ending IN 7412</t>
  </si>
  <si>
    <t xml:space="preserve"> --Report period end before - 04/15/2019</t>
  </si>
  <si>
    <t>04/23/2019</t>
  </si>
  <si>
    <t>04/22 Online Transfer 8157584496 To Chase-Salihapersonal-Totchk #####1229 Transaction #:</t>
  </si>
  <si>
    <t>04/29/2019</t>
  </si>
  <si>
    <t>04/28 Online Transfer 8175609297 To Chase-Salihapersonal-Totchk #####1229 Transaction #:</t>
  </si>
  <si>
    <t>IL Dept Empl Sec Unempl Tax 1541712896      CCD ID: 1363042127</t>
  </si>
  <si>
    <t>04/05/2019</t>
  </si>
  <si>
    <t>03/31/2019</t>
  </si>
  <si>
    <t>THE HOME DEPOT 1950 CHICAGO IL</t>
  </si>
  <si>
    <t>04/10/2019</t>
  </si>
  <si>
    <t>04/11/2019</t>
  </si>
  <si>
    <t>03/20/2019</t>
  </si>
  <si>
    <t>PARKINGMETER2 8772427901 CHICAGO IL</t>
  </si>
  <si>
    <t>03/26/2019</t>
  </si>
  <si>
    <t>03/29/2019</t>
  </si>
  <si>
    <t>04/02/2019</t>
  </si>
  <si>
    <t>2788 Dominos Pizza 562-630-0005 IL</t>
  </si>
  <si>
    <t>04/07/2019</t>
  </si>
  <si>
    <t>TST* GARRETT POPCORN - O CHICAGO IL</t>
  </si>
  <si>
    <t>03/25/2019</t>
  </si>
  <si>
    <t>CAMPUS MARKET CHICAGO IL</t>
  </si>
  <si>
    <t>04/01/2019</t>
  </si>
  <si>
    <t>HANNA ANDERSON- SOUTHP CHICAGO IL</t>
  </si>
  <si>
    <t>SAKSOFF5TH.COM 789 866-601-5105 PA</t>
  </si>
  <si>
    <t>03/28/2019</t>
  </si>
  <si>
    <t>72691 - ROOSEVELT COLLECT CHICAGO IL</t>
  </si>
  <si>
    <t>ULTA #423 CHICAGO IL</t>
  </si>
  <si>
    <t>04/03/2019</t>
  </si>
  <si>
    <t>04/06/2019</t>
  </si>
  <si>
    <t>04/04/2019</t>
  </si>
  <si>
    <t>03/21/2019</t>
  </si>
  <si>
    <t>FOLLETT BOOK FAIRS 6 MCHENRY IL</t>
  </si>
  <si>
    <t>ACADEMY OF GENERAL DENTIS 312-4404965 IL</t>
  </si>
  <si>
    <t>CMT CHICAGO IL27690015 CHICAGO IL</t>
  </si>
  <si>
    <t>UBER   * 800-592-8996 CA</t>
  </si>
  <si>
    <t>03/25 COSTCO WHSE #1107        CHICAGO      IL</t>
  </si>
  <si>
    <t>03/30/2019</t>
  </si>
  <si>
    <t>03/30 COSTCO WHSE #1107        CHICAGO      IL</t>
  </si>
  <si>
    <t>04/02 COSTCO WHSE #0380        CHICAGO      IL</t>
  </si>
  <si>
    <t>04/14/2019</t>
  </si>
  <si>
    <t>04/14 COMPLETE ID              855-591-0202 TX</t>
  </si>
  <si>
    <t>FLATTIS HOTEL            LAHORE       PK  Total Costco Cash Rewards Balance          125,000.00  PAKISTAN RUPEE $884.33 Year To Date  : $216.82</t>
  </si>
  <si>
    <t>FLATTIS HOTEL            LAHORE       PK            20,600.00  PAKISTAN RUPEE $145.77</t>
  </si>
  <si>
    <t>04/16/2019</t>
  </si>
  <si>
    <t>CAFE AYLANTO             Lahore       PK             5,762.00  PAKISTAN RUPEE $40.77</t>
  </si>
  <si>
    <t>04/16 PROGRESSIVE INS          800-776-4737 OH</t>
  </si>
  <si>
    <t>03/29 Online Transfer To  Chk ...6062 Transaction#: 7982109206</t>
  </si>
  <si>
    <t>04/05 Online Transfer 8106443450 To Smile Hub #####8291 Transaction #: 8106443450</t>
  </si>
  <si>
    <t>Citi Card Online Payment    162927547514813 Web ID: Citictp</t>
  </si>
  <si>
    <t>04/15/2019</t>
  </si>
  <si>
    <t>Atgpay Online PA Tuscany Cl St-Z7X7F4V5Y6P1 Web ID: 1800948598</t>
  </si>
  <si>
    <t>04/09/2019</t>
  </si>
  <si>
    <t>APL* ITUNES.COM/BILL 866-712-7753 CA</t>
  </si>
  <si>
    <t>04/22/2019</t>
  </si>
  <si>
    <t>JPMorgan Chase   Ext Trnsfr                 PPD ID: 9200502231 5,000.00</t>
  </si>
  <si>
    <t>04/12/2019</t>
  </si>
  <si>
    <t>03/18/2019</t>
  </si>
  <si>
    <t>ATM Withdrawal          03/16 1130 W Taylor St Chicago IL Card 8983 -505.00</t>
  </si>
  <si>
    <t>ATM Withdrawal          03/23 1130 W Taylor St Chicago IL Card 8983 -475.00</t>
  </si>
  <si>
    <t>ATM Withdrawal          03/30 1130 W Taylor St Chicago IL Card 8983 -475.00</t>
  </si>
  <si>
    <t>ATM Withdrawal          04/06 1130 W Taylor St Chicago IL Card 8983 -450.00</t>
  </si>
  <si>
    <t>ATM Withdrawal          04/06 1130 W Taylor St Chicago IL Card 8983 -200.00</t>
  </si>
  <si>
    <t>ATM Withdrawal          04/06 1130 W Taylor St Chicago IL Card 6056 -300.00</t>
  </si>
  <si>
    <t>05/14/2019</t>
  </si>
  <si>
    <t>05/14 Payment To Chase Card Ending IN 7412</t>
  </si>
  <si>
    <t xml:space="preserve"> --Report period end before - 05/15/2019</t>
  </si>
  <si>
    <t>05/31/2019</t>
  </si>
  <si>
    <t>Irs              Usataxpymt 270955140010595 CCD ID: 3387702000</t>
  </si>
  <si>
    <t>IL Dept of Reven EDI Pymnts 00001450323872  CCD ID: 5555566257</t>
  </si>
  <si>
    <t>05/01/2019</t>
  </si>
  <si>
    <t>05/03/2019</t>
  </si>
  <si>
    <t>05/04/2019</t>
  </si>
  <si>
    <t>05/07/2019</t>
  </si>
  <si>
    <t>05/11/2019</t>
  </si>
  <si>
    <t>05/13/2019</t>
  </si>
  <si>
    <t>GOD LIKE CONSTRUCTION HTTPSMERCHANT IL</t>
  </si>
  <si>
    <t>05/18/2019</t>
  </si>
  <si>
    <t>04/28/2019</t>
  </si>
  <si>
    <t>GRUBHUBRANGOLIINDIANC GRUBHUB.COM NY</t>
  </si>
  <si>
    <t>VENTRA VENDING 07502 CHICAGO IL</t>
  </si>
  <si>
    <t>VENTRA VENDING 07603 CHICAGO IL</t>
  </si>
  <si>
    <t>VENTRA VENDING 08202 CHICAGO IL</t>
  </si>
  <si>
    <t>05/09/2019</t>
  </si>
  <si>
    <t>PARKINGMETER3 8772427901 CHICAGO IL</t>
  </si>
  <si>
    <t>TACO BELL 015195 SCHAUMBURG IL</t>
  </si>
  <si>
    <t>BOMBAY CHOPSTICKS HOFFMAN ESTAT IL</t>
  </si>
  <si>
    <t>05/17/2019</t>
  </si>
  <si>
    <t>04/26/2019</t>
  </si>
  <si>
    <t>DD/BR #304662 Q35 CHICAGO IL</t>
  </si>
  <si>
    <t>05/02/2019</t>
  </si>
  <si>
    <t>05/08/2019</t>
  </si>
  <si>
    <t>05/10/2019</t>
  </si>
  <si>
    <t>05/06/2019</t>
  </si>
  <si>
    <t>AMZN Mktp US*MZ7EQ2W80 Amzn.com/bill WA</t>
  </si>
  <si>
    <t>CONSULATE GENERAL OF PAKI CHICAGO IL</t>
  </si>
  <si>
    <t>FEDEX 787000524826 MEMPHIS TN</t>
  </si>
  <si>
    <t>SQ *MAZEN Chicago IL</t>
  </si>
  <si>
    <t>04/24/2019</t>
  </si>
  <si>
    <t>WALGREENS #5387 CHICAGO IL</t>
  </si>
  <si>
    <t>05/12/2019</t>
  </si>
  <si>
    <t>04/23 COSTCO WHSE #1107        CHICAGO      IL</t>
  </si>
  <si>
    <t>05/04 COSTCO WHSE #1107        CHICAGO      IL</t>
  </si>
  <si>
    <t>05/13 COSTCO WHSE #1107        CHICAGO      IL</t>
  </si>
  <si>
    <t>05/17 COSTCO WHSE #1107        CHICAGO      IL</t>
  </si>
  <si>
    <t>05/14 COMPLETE ID              855-591-0202 TX</t>
  </si>
  <si>
    <t>04/21/2019</t>
  </si>
  <si>
    <t>HAVELI RESTAURANTS       Lahore       PK  Total Costco Cash Rewards Balance            8,723.00  PAKISTAN RUPEE $61.71 Year To Date  : $231.11</t>
  </si>
  <si>
    <t>04/27/2019</t>
  </si>
  <si>
    <t>04/27 COSTCO GAS #1107         CHICAGO      IL</t>
  </si>
  <si>
    <t>05/08 COSTCO GAS #1107         CHICAGO      IL</t>
  </si>
  <si>
    <t>05/20/2019</t>
  </si>
  <si>
    <t>05/20 COSTCO GAS #1107         CHICAGO      IL $42.59 gas at Costco   ..................................... +$5.163% on restaurants ................................ +$1.85Fees ChargedTOTAL FEES FOR THIS PERIOD</t>
  </si>
  <si>
    <t>Macys            Auto Pymt  722924535540700 Web ID: Citiautfdr</t>
  </si>
  <si>
    <t>Banana Visa      Br Epay    1865375785      Web ID: 9130142001</t>
  </si>
  <si>
    <t>04/30/2019</t>
  </si>
  <si>
    <t>04/30 Online Transfer To  Chk ...6062 Transaction#: 8077299531</t>
  </si>
  <si>
    <t>05/14 Online Transfer 8229171194 To Smile Hub #####8291 Transaction #: 8229171194</t>
  </si>
  <si>
    <t>Chase Credit Crd Autopay    000000000116449 PPD ID: 4760039224</t>
  </si>
  <si>
    <t>Atgpay Online PA Tuscany Cl St-N6C2O8B0P8U6 Web ID: 1800948598</t>
  </si>
  <si>
    <t>05/16/2019</t>
  </si>
  <si>
    <t>Quickpay With Zelle Payment To Joe - Soccer 8201171320</t>
  </si>
  <si>
    <t>04/19/2019</t>
  </si>
  <si>
    <t>LYFT   *RIDE THU 9AM lyft.com CA</t>
  </si>
  <si>
    <t>05/22/2019</t>
  </si>
  <si>
    <t>04/25/2019</t>
  </si>
  <si>
    <t>JPMorgan Chase   Ext Trnsfr                 PPD ID: 9200502231 3,000.00</t>
  </si>
  <si>
    <t>04/25 Online Transfer To Chk ...5162 Transaction#: 8167001665 -2,000.00</t>
  </si>
  <si>
    <t>JPMorgan Chase   Ext Trnsfr                 PPD ID: 9200502231 4,200.00</t>
  </si>
  <si>
    <t>ATM Withdrawal          04/27 1130 W Taylor St Chicago IL Card 8983 -415.00</t>
  </si>
  <si>
    <t>ATM Withdrawal          05/04 1130 W Taylor St Chicago IL Card 8983 -495.00</t>
  </si>
  <si>
    <t>ATM Withdrawal          05/11 1130 W Taylor St Chicago IL Card 8983 -430.00</t>
  </si>
  <si>
    <t>Online Transfer From Chk ...1229 Transaction#: 8167001665 2,000.00</t>
  </si>
  <si>
    <t>05/14 Online Transfer 8229173146 To Smile Hub #####8291 Transaction #: -126.18</t>
  </si>
  <si>
    <t>ATM Withdrawal          05/14 1130 W Taylor St Chicago IL Card 6056 -40.00</t>
  </si>
  <si>
    <t>06/03/2019</t>
  </si>
  <si>
    <t>05/31 Online Transfer 8287245027 To Chase-Salihapersonal-Totchk #####1229 Transaction #:</t>
  </si>
  <si>
    <t>06/14/2019</t>
  </si>
  <si>
    <t>06/14 Payment To Chase Card Ending IN 7412</t>
  </si>
  <si>
    <t xml:space="preserve"> --Report period end before - 06/15/2019</t>
  </si>
  <si>
    <t>06/27/2019</t>
  </si>
  <si>
    <t>06/26 Online Transfer 8370503365 To Chase-Salihapersonal-Totchk #####1229 Transaction #:</t>
  </si>
  <si>
    <t>05/25/2019</t>
  </si>
  <si>
    <t>05/27/2019</t>
  </si>
  <si>
    <t>WAL-MART #1933 NORTHLAKE IL</t>
  </si>
  <si>
    <t>06/13/2019</t>
  </si>
  <si>
    <t>06/15/2019</t>
  </si>
  <si>
    <t>06/17/2019</t>
  </si>
  <si>
    <t>06/19/2019</t>
  </si>
  <si>
    <t>PRICELINE*VACATION PKG 800-658-1496 CT</t>
  </si>
  <si>
    <t>06/12/2019</t>
  </si>
  <si>
    <t>SERENA RESTAURANT CHICAGO IL</t>
  </si>
  <si>
    <t>6878 AMC VILLAGE CR 18 SKOKIE IL</t>
  </si>
  <si>
    <t>TACO BELL #30409 CHICAGO IL</t>
  </si>
  <si>
    <t>06/01/2019</t>
  </si>
  <si>
    <t>SQ *FIRST AID COMIC CHICAGO IL</t>
  </si>
  <si>
    <t>06/02/2019</t>
  </si>
  <si>
    <t>TACO BELL #2750 FOREST PARK IL</t>
  </si>
  <si>
    <t>06/04/2019</t>
  </si>
  <si>
    <t>JK KABAB HOUSE CHICAGO IL</t>
  </si>
  <si>
    <t>06/09/2019</t>
  </si>
  <si>
    <t>06/11/2019</t>
  </si>
  <si>
    <t>WYNDHAM VACATION OWNERSH 866-948-4565 FL</t>
  </si>
  <si>
    <t>KING SWEETS CHICAGO IL</t>
  </si>
  <si>
    <t>06/16/2019</t>
  </si>
  <si>
    <t>05/24/2019</t>
  </si>
  <si>
    <t>05/28/2019</t>
  </si>
  <si>
    <t>06/07/2019</t>
  </si>
  <si>
    <t>AMZN Mktp US*M64D13GV1 Amzn.com/bill WA</t>
  </si>
  <si>
    <t>05/30/2019</t>
  </si>
  <si>
    <t>CDH FINANCIAL CLEARANCE 6309333300 IL</t>
  </si>
  <si>
    <t>LURIE PHYSICIAN GROUPS 866-2881080 IL</t>
  </si>
  <si>
    <t>SPIRIT AIRL 4870209922881 MIRAMAR FL</t>
  </si>
  <si>
    <t>SPIRIT AIRL 4870209923983 800-7727117 FL</t>
  </si>
  <si>
    <t>2CO.COM*_SANASA_I 9221111003005</t>
  </si>
  <si>
    <t>NISHAT LINEN PVT LTD FAISALABAD</t>
  </si>
  <si>
    <t>05/23/2019</t>
  </si>
  <si>
    <t>06/08/2019</t>
  </si>
  <si>
    <t>06/10/2019</t>
  </si>
  <si>
    <t>USCIS ELIS N400 800-375-5283 DC</t>
  </si>
  <si>
    <t>05/28 COSTCO WHSE #1107        CHICAGO      IL</t>
  </si>
  <si>
    <t>06/06/2019</t>
  </si>
  <si>
    <t>06/06 COSTCO WHSE #1107        CHICAGO      IL</t>
  </si>
  <si>
    <t>06/12 COSTCO WHSE #1107        CHICAGO      IL</t>
  </si>
  <si>
    <t>06/18/2019</t>
  </si>
  <si>
    <t>06/18 COSTCO WHSE #1107        CHICAGO      IL</t>
  </si>
  <si>
    <t>06/14 COMPLETE ID              855-591-0202 TX</t>
  </si>
  <si>
    <t>05/31 COSTCO GAS #1107         CHICAGO      IL</t>
  </si>
  <si>
    <t>06/10 COSTCO GAS #1107         CHICAGO      IL</t>
  </si>
  <si>
    <t>06/05/2019</t>
  </si>
  <si>
    <t>05/21/2019</t>
  </si>
  <si>
    <t>Banana Visa      Br Epay    1877794374      Web ID: 9130142001</t>
  </si>
  <si>
    <t>Citi Autopay     Payment    082964402940976 Web ID: Citicardap</t>
  </si>
  <si>
    <t>05/31 Online Transfer To  Chk ...6062 Transaction#: 8180376673</t>
  </si>
  <si>
    <t>Bk of Amer Mc    Online Pmt Ckf965659694POS Web ID: 9500000000</t>
  </si>
  <si>
    <t>06/14 Online Transfer 8331772888 To Smile Hub #####8291 Transaction #: 8331772888</t>
  </si>
  <si>
    <t>Citi Autopay     Payment    082991189300239 Web ID: Citicardap</t>
  </si>
  <si>
    <t>Home Depot       Online Pmt 122979382723868 Web ID: Citictp</t>
  </si>
  <si>
    <t>Atgpay Online PA Tuscany Cl St-P1E9Z0O7M8S8 Web ID: 1800948598</t>
  </si>
  <si>
    <t>Quickpay With Zelle Payment To Joe - Soccer 8318554901</t>
  </si>
  <si>
    <t>Quickpay With Zelle Payment To Joe - Soccer 8338944133</t>
  </si>
  <si>
    <t>Quickpay With Zelle Payment To Delvin Grass Cut Cont Jpm241795423</t>
  </si>
  <si>
    <t>05/19/2019</t>
  </si>
  <si>
    <t>APL*ITUNES.COM/BILL 866-712-7753 CA</t>
  </si>
  <si>
    <t>05/29/2019</t>
  </si>
  <si>
    <t>LYFT   *RIDE WED 9AM LYFT.COM CA</t>
  </si>
  <si>
    <t>LYFT   *RIDE FRI 4PM lyft.com CA</t>
  </si>
  <si>
    <t>06/21/2019</t>
  </si>
  <si>
    <t>Online Transfer From Chk ...2148 Transaction#: 8353880957 13,000.00</t>
  </si>
  <si>
    <t>06/24/2019</t>
  </si>
  <si>
    <t>Interest Payment 0.07</t>
  </si>
  <si>
    <t>ATM Withdrawal          05/17 1130 W Taylor St Chicago IL Card 8983 -360.00</t>
  </si>
  <si>
    <t>ATM Withdrawal          05/24 1130 W Taylor St Chicago IL Card 8983 -440.00</t>
  </si>
  <si>
    <t>ATM Withdrawal          05/31 1130 W Taylor St Chicago IL Card 8983 -370.00</t>
  </si>
  <si>
    <t>ATM Withdrawal          06/07 1130 W Taylor St Chicago IL Card 8983 -280.00</t>
  </si>
  <si>
    <t>ATM Withdrawal          06/10 1130 W Taylor St Chicago IL Card 8983 -100.00</t>
  </si>
  <si>
    <t>ATM Withdrawal          06/14 1130 W Taylor St Chicago IL Card 8983 -415.00</t>
  </si>
  <si>
    <t>05/27 Online Transfer To Chk ...6062 Transaction#: 8269200522 -1,100.00</t>
  </si>
  <si>
    <t>06/14 Online Transfer 8331767744 To Smile Hub #####8291 Transaction #: -623.04</t>
  </si>
  <si>
    <t>ATM Withdrawal          05/28 1130 W Taylor St Chicago IL Card 6056 -350.00</t>
  </si>
  <si>
    <t>ATM Withdrawal          06/01 1130 W Taylor St Chicago IL Card 6056 -20.00</t>
  </si>
  <si>
    <t>ATM Withdrawal          06/05 1130 W Taylor St Chicago IL Card 6056 -40.00</t>
  </si>
  <si>
    <t xml:space="preserve"> --Report period end before - 07/15/2019</t>
  </si>
  <si>
    <t>07/15/2019</t>
  </si>
  <si>
    <t>07/13 Payment To Chase Card Ending IN 7412</t>
  </si>
  <si>
    <t>07/22/2019</t>
  </si>
  <si>
    <t>07/21 Online Transfer 8455695028 To Chase-Salihapersonal-Totchk #####1229 Transaction #:</t>
  </si>
  <si>
    <t>07/29/2019</t>
  </si>
  <si>
    <t>07/26 Online Transfer 8472530024 To Chase-Salihapersonal-Totchk #####1229 Transaction #:</t>
  </si>
  <si>
    <t>07/01/2019</t>
  </si>
  <si>
    <t>Irs              Usataxpymt 270958295421416 CCD ID: 3387702000</t>
  </si>
  <si>
    <t>IL Dept of Reven EDI Pymnts 00000913452960  CCD ID: 5555566257</t>
  </si>
  <si>
    <t>06/20/2019</t>
  </si>
  <si>
    <t>06/22/2019</t>
  </si>
  <si>
    <t>07/07/2019</t>
  </si>
  <si>
    <t>WAL-MART #5299 CLERMONT FL</t>
  </si>
  <si>
    <t>07/13/2019</t>
  </si>
  <si>
    <t>07/14/2019</t>
  </si>
  <si>
    <t>07/02/2019</t>
  </si>
  <si>
    <t>07/11/2019</t>
  </si>
  <si>
    <t>06/23/2019</t>
  </si>
  <si>
    <t>TACO BELL 036192 NORTHLAKE IL</t>
  </si>
  <si>
    <t>06/30/2019</t>
  </si>
  <si>
    <t>VILLAGE GARDEN 708-2337744 IL</t>
  </si>
  <si>
    <t>07/05/2019</t>
  </si>
  <si>
    <t>KFC Y300019   13000195 CLEMONT FL</t>
  </si>
  <si>
    <t>MCDONALD'S M4101 OF FL KISSIMMEE FL</t>
  </si>
  <si>
    <t>TACO BELL 002200228338 CLERMONT FL</t>
  </si>
  <si>
    <t>MCDONALD'S F17274 CHICAGO IL</t>
  </si>
  <si>
    <t>07/06/2019</t>
  </si>
  <si>
    <t>TACO BELL 000300039180 ORLANDO FL</t>
  </si>
  <si>
    <t>TACO BELL #15-23302 KISSIMMEE FL</t>
  </si>
  <si>
    <t>MCDONALD'S M5299 OF FL ORLANDO FL</t>
  </si>
  <si>
    <t>TREK SNACKS LAKE BUENA VI FL</t>
  </si>
  <si>
    <t>07/08/2019</t>
  </si>
  <si>
    <t>POPCORN LAKE BUENA VI FL</t>
  </si>
  <si>
    <t>IHOP #36-114 ORLANDO FL</t>
  </si>
  <si>
    <t>07/09/2019</t>
  </si>
  <si>
    <t>IHOP #36-103 KISSIMMEE FL</t>
  </si>
  <si>
    <t>07/10/2019</t>
  </si>
  <si>
    <t>WENDYS - 63 ORLANDO FL</t>
  </si>
  <si>
    <t>07/12/2019</t>
  </si>
  <si>
    <t>SUBWAY        03216496 CHICAGO IL</t>
  </si>
  <si>
    <t>SQ *DEPARTMENT OF COFFEE Chicago IL</t>
  </si>
  <si>
    <t>NESH MEDITERRANEAN GRILL CHICAGO IL</t>
  </si>
  <si>
    <t>07/18/2019</t>
  </si>
  <si>
    <t>07/17/2019</t>
  </si>
  <si>
    <t>06/28/2019</t>
  </si>
  <si>
    <t>AMZN Mktp US*MH8ZG3JE1 Amzn.com/bill WA</t>
  </si>
  <si>
    <t>AMZN Mktp US*MH38O6800 Amzn.com/bill WA</t>
  </si>
  <si>
    <t>FOXRENTACAR 5397770666 ORLANDO FL</t>
  </si>
  <si>
    <t>DISNEY ST PARKING LAKE BUENA VI FL</t>
  </si>
  <si>
    <t>DISNEY AK PARKING LAKE BUENA VI FL</t>
  </si>
  <si>
    <t>DISNEY MK PARKING LAKE BUENA VI FL</t>
  </si>
  <si>
    <t>WVR BAHAMA BAY GIFT SHOP 8635471200 FL</t>
  </si>
  <si>
    <t>WAWA 5119     00051193 WINTER GARDEN FL</t>
  </si>
  <si>
    <t>ST PIXAR AVENUE COM LAKE BUENA VI FL</t>
  </si>
  <si>
    <t>AEROPHILE LAKE BUENA VI FL</t>
  </si>
  <si>
    <t>TOY STORY COMBO LAKE BUENA VI FL</t>
  </si>
  <si>
    <t>FANTASMIC CART LAKE BUENA VI FL</t>
  </si>
  <si>
    <t>EXPEDIA LOCAL EXPERT ORLANDO FL</t>
  </si>
  <si>
    <t>ISLAND MERCANTILE LAKE BUENA VI FL</t>
  </si>
  <si>
    <t>SUNSHINE TREE TERRA LAKE BUENA VI FL</t>
  </si>
  <si>
    <t>BOX OFFICE GIFTS LAKE BUENA VI FL</t>
  </si>
  <si>
    <t>SPLASH MOUNTAIN SHO LAKE BUENA VI FL</t>
  </si>
  <si>
    <t>BUZZ LIGHTYEAR SHOP LAKE BUENA VI FL</t>
  </si>
  <si>
    <t>BEACH HAUS LAKE BUENA VI FL</t>
  </si>
  <si>
    <t>TEXACO 0305969 ORLANDO FL</t>
  </si>
  <si>
    <t>NATURES TABLE - 62 ORLANDO FL</t>
  </si>
  <si>
    <t>ILLINOISSECRETARYOFSTATE 217-785-3920 IL</t>
  </si>
  <si>
    <t>07/03/2019</t>
  </si>
  <si>
    <t>06/27 COSTCO WHSE #1107        CHICAGO      IL</t>
  </si>
  <si>
    <t>07/12 COSTCO WHSE #1107        CHICAGO      IL</t>
  </si>
  <si>
    <t>07/14 COMPLETE ID              855-591-0202 TX</t>
  </si>
  <si>
    <t>06/22 COSTCO GAS #1107         CHICAGO      IL</t>
  </si>
  <si>
    <t>07/01 COSTCO GAS #1107         CHICAGO      IL</t>
  </si>
  <si>
    <t>07/17 COSTCO GAS #1107         CHICAGO      IL</t>
  </si>
  <si>
    <t>Banana Visa      Br Epay    1904930643      Web ID: 9130142001</t>
  </si>
  <si>
    <t>Macys            Auto Pymt  722977239550376 Web ID: Citiautfdr</t>
  </si>
  <si>
    <t>06/21 Online Transfer To Chk ...6062 Transaction#: 8353851635</t>
  </si>
  <si>
    <t>06/21 Online Transfer To Mma ...0744 Transaction#: 8353880957</t>
  </si>
  <si>
    <t>06/28 Online Transfer To  Chk ...6062 Transaction#: 8283022392</t>
  </si>
  <si>
    <t>07/15 Online Transfer 8433087839 To Smile Hub #####8291 Transaction #: 8433087839</t>
  </si>
  <si>
    <t>Citi Autopay     Payment    083017106912426 Web ID: Citicardap</t>
  </si>
  <si>
    <t>06/26/2019</t>
  </si>
  <si>
    <t>Atgpay Online PA Tuscany Cl St-B6B8A8U4O3F4 Web ID: 1800948598</t>
  </si>
  <si>
    <t>Synchrony Bank   Cc Pymt    601919302007547 Web ID: 9856794001</t>
  </si>
  <si>
    <t>Synchrony Bank   Payment                    PPD ID: 1061537262</t>
  </si>
  <si>
    <t>Quickpay With Zelle Payment To David Wickwire - Architect 8354063036</t>
  </si>
  <si>
    <t>Quickpay With Zelle Payment To Joe - Soccer 8354082289</t>
  </si>
  <si>
    <t>Quickpay With Zelle Payment To Joe - Soccer 8360196015</t>
  </si>
  <si>
    <t>Quickpay With Zelle Payment To Joe - Soccer 8373221535</t>
  </si>
  <si>
    <t>Quickpay With Zelle Payment To Joe - Soccer 8383831978</t>
  </si>
  <si>
    <t>Quickpay With Zelle Payment To Winston Value City Delivery 8396471130</t>
  </si>
  <si>
    <t>Quickpay With Zelle Payment To Joe - Soccer 8426170185</t>
  </si>
  <si>
    <t>Quickpay With Zelle Payment To Joe - Soccer 8431632287</t>
  </si>
  <si>
    <t>Quickpay With Zelle Payment To Joe - Soccer 8434873659</t>
  </si>
  <si>
    <t>SLING.COM 888-388-6210 CO</t>
  </si>
  <si>
    <t>LYFT   *RIDE WED 10AM LYFT.COM CA</t>
  </si>
  <si>
    <t>LYFT   *RIDE FRI 10AM LYFT.COM CA</t>
  </si>
  <si>
    <t>WWW.KETTO.ORG WWW.KETTO.ORG NY</t>
  </si>
  <si>
    <t>LYFT   *RIDE TUE 9PM lyft.com CA</t>
  </si>
  <si>
    <t>LYFT   *RIDE THU 10AM LYFT.COM CA</t>
  </si>
  <si>
    <t>ODP Transfer To Checking  000000804312148 -1,845.03</t>
  </si>
  <si>
    <t>07/15 Online Transfer To Chk ...6062 Transaction#: 8434869394 -2,276.26</t>
  </si>
  <si>
    <t>07/23/2019</t>
  </si>
  <si>
    <t>Interest Payment 0.28</t>
  </si>
  <si>
    <t>ATM Withdrawal          06/21 1130 W Taylor St Chicago IL Card 8983 -465.00</t>
  </si>
  <si>
    <t>ATM Withdrawal          06/28 1130 W Taylor St Chicago IL Card 8983 -575.00</t>
  </si>
  <si>
    <t>ATM Withdrawal          07/03 1130 W Taylor St Chicago IL Card 8983 -335.00</t>
  </si>
  <si>
    <t>ATM Withdrawal          07/11 1130 W Taylor St Chicago IL Card 8983 -350.00</t>
  </si>
  <si>
    <t>08/14/2019</t>
  </si>
  <si>
    <t>08/13 Payment To Chase Card Ending IN 7412</t>
  </si>
  <si>
    <t xml:space="preserve"> --Report period end before - 08/15/2019</t>
  </si>
  <si>
    <t>08/28/2019</t>
  </si>
  <si>
    <t>08/27 Online Transfer 8581026199 To Chase-Salihapersonal-Totchk #####1229 Transaction #:</t>
  </si>
  <si>
    <t>08/01/2019</t>
  </si>
  <si>
    <t>IL Dept Empl Sec Unempl Tax 234073088       CCD ID: 1363042127</t>
  </si>
  <si>
    <t>08/02/2019</t>
  </si>
  <si>
    <t>Irs              Usataxpymt 270961415978547 CCD ID: 3387702000</t>
  </si>
  <si>
    <t>IL Dept of Reven EDI Pymnts 00000262408288  CCD ID: 5555566257</t>
  </si>
  <si>
    <t>07/19/2019</t>
  </si>
  <si>
    <t>07/24/2019</t>
  </si>
  <si>
    <t>07/27/2019</t>
  </si>
  <si>
    <t>07/30/2019</t>
  </si>
  <si>
    <t>WM SUPERCENTER #5646 CHICAGO IL</t>
  </si>
  <si>
    <t>08/10/2019</t>
  </si>
  <si>
    <t>08/16/2019</t>
  </si>
  <si>
    <t>08/17/2019</t>
  </si>
  <si>
    <t>08/18/2019</t>
  </si>
  <si>
    <t>08/13/2019</t>
  </si>
  <si>
    <t>08/19/2019</t>
  </si>
  <si>
    <t>CMSVEND*CV MILWAUKEE NEW BERLIN WI</t>
  </si>
  <si>
    <t>LEWIS CENTER MILWAUKEE WI</t>
  </si>
  <si>
    <t>BUDGET.COM PREPAY RESERV 8006212844 VA</t>
  </si>
  <si>
    <t>USA*CANTEEN NEW BERLIN WI</t>
  </si>
  <si>
    <t>08/12/2019</t>
  </si>
  <si>
    <t>BURGER KING #5986 CHICAGO IL</t>
  </si>
  <si>
    <t>07/21/2019</t>
  </si>
  <si>
    <t>08/03/2019</t>
  </si>
  <si>
    <t>08/04/2019</t>
  </si>
  <si>
    <t>AUNTIE ANNES SKOKIE IL</t>
  </si>
  <si>
    <t>08/15/2019</t>
  </si>
  <si>
    <t>KFC K071202 MILWAUKEE WI</t>
  </si>
  <si>
    <t>07/31/2019</t>
  </si>
  <si>
    <t>08/07/2019</t>
  </si>
  <si>
    <t>08/08/2019</t>
  </si>
  <si>
    <t>Athena Greek Restaurant Chicago IL</t>
  </si>
  <si>
    <t>GNC #7854 CHICAGO IL</t>
  </si>
  <si>
    <t>08/09/2019</t>
  </si>
  <si>
    <t>TXRGLOWCHICAGO THE G TIXR.COM CA</t>
  </si>
  <si>
    <t>GROSSINGER CITY TOYOTA CHICAGO IL</t>
  </si>
  <si>
    <t>07/25/2019</t>
  </si>
  <si>
    <t>71836 - STANDARD PKG-STOC CHICAGO IL</t>
  </si>
  <si>
    <t>THE UPS STORE 5608 CHICAGO IL</t>
  </si>
  <si>
    <t>FORTRESS INSURANCE COMPAN 847-653-8829 IL</t>
  </si>
  <si>
    <t>08/06/2019</t>
  </si>
  <si>
    <t>WALGREENS #5234 CHICAGO IL</t>
  </si>
  <si>
    <t>07/23 COSTCO WHSE #1107        CHICAGO      IL</t>
  </si>
  <si>
    <t>07/29 COSTCO WHSE #1107        CHICAGO      IL</t>
  </si>
  <si>
    <t>08/19 COSTCO WHSE #1107        CHICAGO      IL</t>
  </si>
  <si>
    <t>07/20/2019</t>
  </si>
  <si>
    <t>EMIRATES    762328524267-E-COMMERCE   PK  Total Costco Cash Rewards Balance          382,058.00  PAKISTAN RUPEE $2,389.54 Year To Date  : $337.85</t>
  </si>
  <si>
    <t>Costco Membership Renewal 1 800 774 2678</t>
  </si>
  <si>
    <t>08/14 COMPLETE ID              855-591-0202 TX</t>
  </si>
  <si>
    <t>07/29 COSTCO GAS #1107         CHICAGO      IL</t>
  </si>
  <si>
    <t>08/10 COSTCO GAS #1107         CHICAGO      IL</t>
  </si>
  <si>
    <t>08/20/2019</t>
  </si>
  <si>
    <t>08/20 COSTCO GAS #1107         CHICAGO      IL</t>
  </si>
  <si>
    <t>Banana Visa      Br Epay    1937282204      Web ID: 9130142001</t>
  </si>
  <si>
    <t>Macys            Auto Pymt  723003159490032 Web ID: Citiautfdr</t>
  </si>
  <si>
    <t>07/31 Online Transfer To  Chk ...6062 Transaction#: 8376365233</t>
  </si>
  <si>
    <t>07/26/2019</t>
  </si>
  <si>
    <t>Atgpay Online PA Tuscany Cl St-M9C3U1X2R1Q0 Web ID: 1800948598</t>
  </si>
  <si>
    <t>Quickpay With Zelle Payment To Delvin Grass Cut Cont Jpm252341695</t>
  </si>
  <si>
    <t>Quickpay With Zelle Payment To Joe - Soccer 8456789110</t>
  </si>
  <si>
    <t>Quickpay With Zelle Payment To Joe - Soccer 8457022795</t>
  </si>
  <si>
    <t>Quickpay With Zelle Payment To Joe - Soccer 8476295578</t>
  </si>
  <si>
    <t>08/05/2019</t>
  </si>
  <si>
    <t>Quickpay With Zelle Payment To Joe - Soccer 8504113288</t>
  </si>
  <si>
    <t>Quickpay With Zelle Payment To Joe - Soccer 8527563915</t>
  </si>
  <si>
    <t>Quickpay With Zelle Payment To Joe - Soccer 8536727642</t>
  </si>
  <si>
    <t>Quickpay With Zelle Payment To Joe - Soccer 8551027583</t>
  </si>
  <si>
    <t>08/22/2019</t>
  </si>
  <si>
    <t>Interest Payment 0.25</t>
  </si>
  <si>
    <t>JPMorgan Chase   Ext Trnsfr                 PPD ID: 9200502231 20,900.00</t>
  </si>
  <si>
    <t>07/24 Online Transfer To Chk ...6062 Transaction#: 8464445968 -11,782.96</t>
  </si>
  <si>
    <t>07/24 Online Transfer To Chk ...5162 Transaction#: 8464448073 -3,117.49</t>
  </si>
  <si>
    <t>Interest Payment 0.06</t>
  </si>
  <si>
    <t>ATM Withdrawal          07/19 1130 W Taylor St Chicago IL Card 8983 -585.00</t>
  </si>
  <si>
    <t>ATM Withdrawal          07/22 1130 W Taylor St Chicago IL Card 8983 -40.00</t>
  </si>
  <si>
    <t>ATM Withdrawal          07/25 1130 W Taylor St Chicago IL Card 8983 -475.00</t>
  </si>
  <si>
    <t>ATM Withdrawal          08/02 1130 W Taylor St Chicago IL Card 8983 -400.00</t>
  </si>
  <si>
    <t>ATM Withdrawal          08/09 1130 W Taylor St Chicago IL Card 8983 -310.00</t>
  </si>
  <si>
    <t>Online Transfer From Chk ...1229 Transaction#: 8464448073 3,117.49</t>
  </si>
  <si>
    <t>07/28 Online Transfer To Chk ...6062 Transaction#: 8475766089 -319.41</t>
  </si>
  <si>
    <t>07/28 Online Transfer To Chk ...6062 Transaction#: 8476347322 -143.00</t>
  </si>
  <si>
    <t>ATM Withdrawal          08/09 1130 W Taylor St Chicago IL Card 6056 -1,900.00</t>
  </si>
  <si>
    <t xml:space="preserve"> --Report period end before - 09/15/2019</t>
  </si>
  <si>
    <t>09/16/2019</t>
  </si>
  <si>
    <t>09/13 Payment To Chase Card Ending IN 7412</t>
  </si>
  <si>
    <t>09/25/2019</t>
  </si>
  <si>
    <t>09/25 Online Transfer 8581024746 To Chase-Salihapersonal-Totchk #####1229 Transaction #:</t>
  </si>
  <si>
    <t>09/03/2019</t>
  </si>
  <si>
    <t>Irs              Usataxpymt 270964653625475 CCD ID: 3387702000</t>
  </si>
  <si>
    <t>09/04/2019</t>
  </si>
  <si>
    <t>IL Dept of Reven EDI Pymnts 00000911831136  CCD ID: 5555566257</t>
  </si>
  <si>
    <t>08/21/2019</t>
  </si>
  <si>
    <t>08/24/2019</t>
  </si>
  <si>
    <t>08/29/2019</t>
  </si>
  <si>
    <t>09/02/2019</t>
  </si>
  <si>
    <t>COSTCO WHSE #1107 CHICAGO IL</t>
  </si>
  <si>
    <t>09/05/2019</t>
  </si>
  <si>
    <t>09/08/2019</t>
  </si>
  <si>
    <t>09/11/2019</t>
  </si>
  <si>
    <t>09/14/2019</t>
  </si>
  <si>
    <t>09/17/2019</t>
  </si>
  <si>
    <t>PETES FRESH MARKET CHICAGO IL</t>
  </si>
  <si>
    <t>09/13/2019</t>
  </si>
  <si>
    <t>THE HOME DEPOT 1912 CHICAGO IL</t>
  </si>
  <si>
    <t>COLECTIVO COFFEE US BA MILWAUKEE WI</t>
  </si>
  <si>
    <t>DOWNTOWN KITCHEN MILWAUKEE WI</t>
  </si>
  <si>
    <t>08/23/2019</t>
  </si>
  <si>
    <t>08/27/2019</t>
  </si>
  <si>
    <t>TACO BELL 036218 CHICAGO IL</t>
  </si>
  <si>
    <t>MCDONALD'S F335 CHICAGO IL</t>
  </si>
  <si>
    <t>08/30/2019</t>
  </si>
  <si>
    <t>08/31/2019</t>
  </si>
  <si>
    <t>09/01/2019</t>
  </si>
  <si>
    <t>TACO BELL 036190 SKOKIE IL</t>
  </si>
  <si>
    <t>MCDONALD'S F4655 CHICAGO IL</t>
  </si>
  <si>
    <t>09/09/2019</t>
  </si>
  <si>
    <t>TACO BELL 036185 CHICAGO IL</t>
  </si>
  <si>
    <t>09/15/2019</t>
  </si>
  <si>
    <t>SQ *UNCLE BUBS BBQ Homer Glen IL</t>
  </si>
  <si>
    <t>MCDONALD'S F13574 HOMER GLEN IL</t>
  </si>
  <si>
    <t>BENGSTON`S PUMPKIN FARM HOMER GLEN IL</t>
  </si>
  <si>
    <t>PARKINGMETER5 8772427901 CHICAGO IL</t>
  </si>
  <si>
    <t>BUFFALO WILD WINGS 0408 MILWAUKEE WI</t>
  </si>
  <si>
    <t>09/06/2019</t>
  </si>
  <si>
    <t>09/07/2019</t>
  </si>
  <si>
    <t>Amazon.com*B83L47DK3 Amzn.com/bill WA</t>
  </si>
  <si>
    <t>JANIE AND JACK 933 SKOKIE IL</t>
  </si>
  <si>
    <t>08/26/2019</t>
  </si>
  <si>
    <t>2051 GREAT CLIPS AT UNIVE CHICAGO IL</t>
  </si>
  <si>
    <t>CPS29141 GALILEO MATH 7735347070 IL</t>
  </si>
  <si>
    <t>PATIENT PAY SERVICES 866-770-2116 MI</t>
  </si>
  <si>
    <t>PP*FOGALILEO CHICAGO IL</t>
  </si>
  <si>
    <t>SKOKIE CITGO GEI SKOKIE IL</t>
  </si>
  <si>
    <t>COSTCO GAS #1107 CHICAGO IL</t>
  </si>
  <si>
    <t>UIC PARKING MSPS CHICAGO IL</t>
  </si>
  <si>
    <t>08/26 COSTCO WHSE #1107        CHICAGO      IL</t>
  </si>
  <si>
    <t>09/03 COSTCO WHSE #1107        CHICAGO      IL</t>
  </si>
  <si>
    <t>09/11 COSTCO WHSE #1107        CHICAGO      IL</t>
  </si>
  <si>
    <t>09/17 COSTCO WHSE #1107        CHICAGO      IL</t>
  </si>
  <si>
    <t>09/14 COMPLETE ID              855-591-0202 TX</t>
  </si>
  <si>
    <t>08/22 SHELL OIL 57444085708    CHICAGO      IL $38.12 Year To Date  : $347.25</t>
  </si>
  <si>
    <t>09/14 BP#8934499A-1 GAS &amp; FD I CHICAGO      IL</t>
  </si>
  <si>
    <t>09/15 COSTCO GAS #1107         CHICAGO      IL</t>
  </si>
  <si>
    <t>Banana Visa      Br Epay    1964489133      Web ID: 9130142001</t>
  </si>
  <si>
    <t>Macys            Online Pmt 143054966751006 Web ID: Citictp</t>
  </si>
  <si>
    <t>Citi Autopay     Payment    083045618681099 Web ID: Citicardap</t>
  </si>
  <si>
    <t>08/23 Online Realtime Transfer To Smile Hub  8291 Transaction#: 8569827962 Reference#:</t>
  </si>
  <si>
    <t>08/30 Online Transfer To  Chk ...6062 Transaction#: 8484973277</t>
  </si>
  <si>
    <t>09/18/2019</t>
  </si>
  <si>
    <t>Citi Autopay     Payment    083070675331347 Web ID: Citicardap</t>
  </si>
  <si>
    <t>Homebridge       Loan Paymt                 PPD ID: 9Drafting</t>
  </si>
  <si>
    <t>Atgpay Online PA Tuscany Cl St-T1H7W8J1Q4B6 Web ID: 1800948598</t>
  </si>
  <si>
    <t>Peoples Gas      Autopay                    PPD ID: 4361613900</t>
  </si>
  <si>
    <t>Quickpay With Zelle Payment To Joe - Soccer 8563410037</t>
  </si>
  <si>
    <t>Quickpay With Zelle Payment To Joe - Soccer 8570478133</t>
  </si>
  <si>
    <t>Quickpay With Zelle Payment To Joe - Soccer 8575231667</t>
  </si>
  <si>
    <t>Quickpay With Zelle Payment To Joe - Soccer 8584650251</t>
  </si>
  <si>
    <t>Quickpay With Zelle Payment To Joe - Soccer 8595197387</t>
  </si>
  <si>
    <t>Quickpay With Zelle Payment To Joe - Soccer 8603965267</t>
  </si>
  <si>
    <t>Quickpay With Zelle Payment To Joe - Soccer 8611709053</t>
  </si>
  <si>
    <t>Quickpay With Zelle Payment To Joe - Soccer 8620791833</t>
  </si>
  <si>
    <t>09/12/2019</t>
  </si>
  <si>
    <t>Quickpay With Zelle Payment To Joe - Soccer 8636420613</t>
  </si>
  <si>
    <t>Quickpay With Zelle Payment To Joe - Soccer 8644220239</t>
  </si>
  <si>
    <t>09/19/2019</t>
  </si>
  <si>
    <t>Quickpay With Zelle Payment To Joe - Soccer 8660135757</t>
  </si>
  <si>
    <t>LYFT   *RIDE SUN 12PM lyft.com CA</t>
  </si>
  <si>
    <t>LYFT   *RIDE SUN 4PM lyft.com CA</t>
  </si>
  <si>
    <t>09/24/2019</t>
  </si>
  <si>
    <t>Interest Payment 0.27</t>
  </si>
  <si>
    <t>Interest Payment 0.08</t>
  </si>
  <si>
    <t>ATM Withdrawal          08/16 1130 W Taylor St Chicago IL Card 8983 -400.00</t>
  </si>
  <si>
    <t>ATM Withdrawal          08/23 1130 W Taylor St Chicago IL Card 8983 -320.00</t>
  </si>
  <si>
    <t>ATM Withdrawal          08/27 1130 W Taylor St Chicago IL Card 8983 -240.00</t>
  </si>
  <si>
    <t>ATM Withdrawal          08/31 1130 W Taylor St Chicago IL Card 8983 -10.00</t>
  </si>
  <si>
    <t>Dept Education   Student Ln                 PPD ID: 9102001303 -4,221.02</t>
  </si>
  <si>
    <t>08/23 Online Realtime Transfer To Smile Hub  8291 Transaction#: -511.22</t>
  </si>
  <si>
    <t>10/07/2019</t>
  </si>
  <si>
    <t>10/06 Online Transfer 8724289892 To Chase-Salihapersonal-Totchk #####1229 Transaction #:</t>
  </si>
  <si>
    <t xml:space="preserve"> --Report period end before - 10/15/2019</t>
  </si>
  <si>
    <t>10/15/2019</t>
  </si>
  <si>
    <t>10/15 Payment To Chase Card Ending IN 7412</t>
  </si>
  <si>
    <t>Chase Credit Crd Autopaybus                 PPD ID: 4760039224</t>
  </si>
  <si>
    <t>10/24/2019</t>
  </si>
  <si>
    <t>10/24 Online Transfer 8679061459 To Chase-Salihapersonal-Totchk #####1229 Transaction #:</t>
  </si>
  <si>
    <t>10/02/2019</t>
  </si>
  <si>
    <t>Irs              Usataxpymt 270967521076097 CCD ID: 3387702000</t>
  </si>
  <si>
    <t>IL Dept of Reven EDI Pymnts 00000694511712  CCD ID: 5555566257</t>
  </si>
  <si>
    <t>10/31/2019</t>
  </si>
  <si>
    <t>Irs              Usataxpymt 270970450240685 CCD ID: 3387702000</t>
  </si>
  <si>
    <t>IL Dept of Reven EDI Pymnts 00000879349344  CCD ID: 5555566257</t>
  </si>
  <si>
    <t>09/20/2019</t>
  </si>
  <si>
    <t>09/21/2019</t>
  </si>
  <si>
    <t>09/22/2019</t>
  </si>
  <si>
    <t>09/26/2019</t>
  </si>
  <si>
    <t>09/27/2019</t>
  </si>
  <si>
    <t>09/28/2019</t>
  </si>
  <si>
    <t>10/01/2019</t>
  </si>
  <si>
    <t>10/06/2019</t>
  </si>
  <si>
    <t>WAL-MART #1998 SKOKIE IL</t>
  </si>
  <si>
    <t>10/13/2019</t>
  </si>
  <si>
    <t>10/14/2019</t>
  </si>
  <si>
    <t>10/09/2019</t>
  </si>
  <si>
    <t>AIRBNB  HMAE5JKTQF AIRBNB.COM CA</t>
  </si>
  <si>
    <t>SQ *CHELSEA'S CAFE Minneapolis MN</t>
  </si>
  <si>
    <t>10/11/2019</t>
  </si>
  <si>
    <t>CHIPOTLE 0594 RICHFIELD MN</t>
  </si>
  <si>
    <t>BP#9275389EDGERTON OASIS EDGERTON WI</t>
  </si>
  <si>
    <t>PRICELN*TRAVELODGE BY 800-774-2354 CT</t>
  </si>
  <si>
    <t>09/23/2019</t>
  </si>
  <si>
    <t>TACO BELL #035389 CHICAGO IL</t>
  </si>
  <si>
    <t>09/30/2019</t>
  </si>
  <si>
    <t>WENDYS #11531 CHICAGO IL</t>
  </si>
  <si>
    <t>10/03/2019</t>
  </si>
  <si>
    <t>10/05/2019</t>
  </si>
  <si>
    <t>10/08/2019</t>
  </si>
  <si>
    <t>TACO BELL #29688 RICHFIELD MN</t>
  </si>
  <si>
    <t>10/10/2019</t>
  </si>
  <si>
    <t>KFC C750022 EAGAN MN</t>
  </si>
  <si>
    <t>MCDONALD'S M4679 OF IL CHICAGO IL</t>
  </si>
  <si>
    <t>10/17/2019</t>
  </si>
  <si>
    <t>10/18/2019</t>
  </si>
  <si>
    <t>USA*CANTEEN ELMHURST IL</t>
  </si>
  <si>
    <t>GLOW PIT DENVER CO</t>
  </si>
  <si>
    <t>REDBOX *DVD RENTAL OAKBROOK TER IL</t>
  </si>
  <si>
    <t>10/19/2019</t>
  </si>
  <si>
    <t>10/16/2019</t>
  </si>
  <si>
    <t>09/29/2019</t>
  </si>
  <si>
    <t>US Bank Employee Giving 800-687-8505 VA</t>
  </si>
  <si>
    <t>INTER-STATE STUDIO HTTPSINTERSTA MO</t>
  </si>
  <si>
    <t>10/12/2019</t>
  </si>
  <si>
    <t>10/20/2019</t>
  </si>
  <si>
    <t>09/25 COSTCO WHSE #1107        CHICAGO      IL</t>
  </si>
  <si>
    <t>10/01 COSTCO WHSE #1107        CHICAGO      IL</t>
  </si>
  <si>
    <t>10/14 COSTCO WHSE #1107        CHICAGO      IL</t>
  </si>
  <si>
    <t>10/08 BP#1823418RICHFIELD BP   RICHFIELD    MN $36.41 Year To Date  : $365.88</t>
  </si>
  <si>
    <t>10/14 COMPLETE ID              855-591-0202 TX</t>
  </si>
  <si>
    <t>09/25 COSTCO GAS #1107         CHICAGO      IL</t>
  </si>
  <si>
    <t>09/30 MARATHON PETRO201582     DE KALB      IL</t>
  </si>
  <si>
    <t>10/07 COSTCO GAS #1107         CHICAGO      IL</t>
  </si>
  <si>
    <t>10/16 PROGRESSIVE INS          800-776-4737 OH</t>
  </si>
  <si>
    <t>10/19 SHELL OIL 57442754404    CHICAGO      IL</t>
  </si>
  <si>
    <t>Macys            Auto Pymt  723056727660660 Web ID: Citiautfdr</t>
  </si>
  <si>
    <t>09/30 Online Transfer To  Chk ...6062 Transaction#: 8591091239</t>
  </si>
  <si>
    <t>10/01 Online Realtime Transfer To Smile Hub  8291 Transaction#: 8705179043 Reference#:</t>
  </si>
  <si>
    <t>10/15 Online Realtime Transfer To Smile Hub  8291 Transaction#: 8752429375 Reference#:</t>
  </si>
  <si>
    <t>Citi Autopay     Payment    083096594842049 Web ID: Citicardap</t>
  </si>
  <si>
    <t>10/04/2019</t>
  </si>
  <si>
    <t>Atgpay Online PA Tuscany Cl St-O4H4Z0L4V0H8 Web ID: 1800948598</t>
  </si>
  <si>
    <t>Quickpay With Zelle Payment To Joe - Soccer 8667410025</t>
  </si>
  <si>
    <t>Quickpay With Zelle Payment To Joe - Soccer 8679642541</t>
  </si>
  <si>
    <t>Quickpay With Zelle Payment To Joe - Soccer 8693820679</t>
  </si>
  <si>
    <t>Quickpay With Zelle Payment To Joe - Soccer 8707824078</t>
  </si>
  <si>
    <t>Quickpay With Zelle Payment To Joe - Soccer 8719606586</t>
  </si>
  <si>
    <t>Quickpay With Zelle Payment To Joe - Soccer 8746521753</t>
  </si>
  <si>
    <t>Quickpay With Zelle Payment To Joe - Soccer 8748814586</t>
  </si>
  <si>
    <t>10/23/2019</t>
  </si>
  <si>
    <t>Interest Payment 0.24</t>
  </si>
  <si>
    <t>10/08 Online Transfer To Chk ...6062 Transaction#: 8728648643 -6,000.00</t>
  </si>
  <si>
    <t>JPMorgan Chase   Ext Trnsfr                 PPD ID: 9200502231 12,000.00</t>
  </si>
  <si>
    <t>10/09 Online Transfer To Chk ...5162 Transaction#: 8731933434 -6,000.00</t>
  </si>
  <si>
    <t>10/01 Online Transfer To Chk ...6062 Transaction#: 8705185486 -223.09</t>
  </si>
  <si>
    <t>Online Transfer From Chk ...1229 Transaction#: 8731933434 6,000.00</t>
  </si>
  <si>
    <t>10/09 Online Realtime Transfer To Smile Hub  8291 Transaction#: -395.44</t>
  </si>
  <si>
    <t>10/14 Online Transfer To Chk ...6062 Transaction#: 8750777847 -216.50</t>
  </si>
  <si>
    <t>10/14 Online Realtime Transfer To Smile Hub  8291 Transaction#: -243.97</t>
  </si>
  <si>
    <t>11/14/2019</t>
  </si>
  <si>
    <t>11/13 Payment To Chase Card Ending IN 7412</t>
  </si>
  <si>
    <t xml:space="preserve"> --Report period end before - 11/15/2019</t>
  </si>
  <si>
    <t>11/25/2019</t>
  </si>
  <si>
    <t>11/25 Online Transfer 8782024579 To Chase-Salihapersonal-Totchk #####1229 Transaction #:</t>
  </si>
  <si>
    <t>10/21/2019</t>
  </si>
  <si>
    <t>SQ *METRO SPICE MART Chicago IL</t>
  </si>
  <si>
    <t>10/25/2019</t>
  </si>
  <si>
    <t>11/02/2019</t>
  </si>
  <si>
    <t>11/03/2019</t>
  </si>
  <si>
    <t>11/07/2019</t>
  </si>
  <si>
    <t>11/12/2019</t>
  </si>
  <si>
    <t>11/19/2019</t>
  </si>
  <si>
    <t>11/13/2019</t>
  </si>
  <si>
    <t>AIRPORT VAN RENTAL INC OR SCHILLER PARK IL</t>
  </si>
  <si>
    <t>PRICELN*Fox Rent A Car 800-774-2354 CT</t>
  </si>
  <si>
    <t>10/22/2019</t>
  </si>
  <si>
    <t>POPEYES 11434 RICHFIELD MN</t>
  </si>
  <si>
    <t>HINES NORTH LOOP GRE MINNEAPOLIS MN</t>
  </si>
  <si>
    <t>11/15/2019</t>
  </si>
  <si>
    <t>STARBUCKS STORE 03484 RICHFIELD MN</t>
  </si>
  <si>
    <t>10/27/2019</t>
  </si>
  <si>
    <t>MCDONALD'S F20245 BEACH PARK IL</t>
  </si>
  <si>
    <t>10/29/2019</t>
  </si>
  <si>
    <t>DUNKIN #350753 CHICAGO IL</t>
  </si>
  <si>
    <t>11/05/2019</t>
  </si>
  <si>
    <t>TACO BELL 036213 CHICAGO IL</t>
  </si>
  <si>
    <t>11/08/2019</t>
  </si>
  <si>
    <t>SQ *PHOTOANDDJ.COM Zion IL</t>
  </si>
  <si>
    <t>DUNGEON OF DOOM HAUNTE 262-331-0092 WI</t>
  </si>
  <si>
    <t>SQ *HELLSGATE HAUNTED HOU Lockport IL</t>
  </si>
  <si>
    <t>11/11/2019</t>
  </si>
  <si>
    <t>BODEN SERVICES INC BODENUSA.COM PA</t>
  </si>
  <si>
    <t>11/01/2019</t>
  </si>
  <si>
    <t>11/09/2019</t>
  </si>
  <si>
    <t>Tory Burch LLC 866-4808679 NY</t>
  </si>
  <si>
    <t>11/16/2019</t>
  </si>
  <si>
    <t>11/17/2019</t>
  </si>
  <si>
    <t>10/30/2019</t>
  </si>
  <si>
    <t>GM Galileo Scholastic Aca 248-8950206 MI</t>
  </si>
  <si>
    <t>10/28/2019</t>
  </si>
  <si>
    <t>ILLINOIS STATE DENTAL 217-525-1406 IL</t>
  </si>
  <si>
    <t>11/10/2019</t>
  </si>
  <si>
    <t>UBER   TRIP HELP.UBER.COM CA</t>
  </si>
  <si>
    <t>10/22 COSTCO WHSE #1107        CHICAGO      IL</t>
  </si>
  <si>
    <t>10/28 COSTCO WHSE #1107        CHICAGO      IL</t>
  </si>
  <si>
    <t>11/03 COSTCO WHSE #1107        CHICAGO      IL</t>
  </si>
  <si>
    <t>11/12 COSTCO WHSE #1107        CHICAGO      IL</t>
  </si>
  <si>
    <t>11/19 COSTCO WHSE #1107        CHICAGO      IL</t>
  </si>
  <si>
    <t>10/22 HOLIDAY STATIONS 0247    EAGAN        MN</t>
  </si>
  <si>
    <t>10/23 CHIPOTLE 0594            RICHFIELD    MN $14.41 Year To Date  : $381.19</t>
  </si>
  <si>
    <t>11/14 COMPLETE ID              855-591-0202 TX</t>
  </si>
  <si>
    <t>10/22 COSTCO GAS #1107         CHICAGO      IL</t>
  </si>
  <si>
    <t>10/24 BP#8888075J F SERVICE IN CHICAGO      IL</t>
  </si>
  <si>
    <t>11/01 COSTCO GAS #1107         CHICAGO      IL</t>
  </si>
  <si>
    <t>11/12 COSTCO GAS #1107         CHICAGO      IL</t>
  </si>
  <si>
    <t>11/06/2019</t>
  </si>
  <si>
    <t>Banana Visa      Br Epay    2021235078      Web ID: 9130142001</t>
  </si>
  <si>
    <t>11/04/2019</t>
  </si>
  <si>
    <t>Macys            Auto Pymt  723082648210069 Web ID: Citiautfdr</t>
  </si>
  <si>
    <t>10/31 Online Transfer To  Chk ...6062 Transaction#: 8696764551</t>
  </si>
  <si>
    <t>11/09 Online Transfer To Chk ...6062 Transaction#: 8842587502</t>
  </si>
  <si>
    <t>11/18/2019</t>
  </si>
  <si>
    <t>11/16 Online Realtime Transfer To Smile Hub  8291 Transaction#: 8867671377 Reference#:</t>
  </si>
  <si>
    <t>Citi Autopay     Payment    083124279632266 Web ID: Citicardap</t>
  </si>
  <si>
    <t>Atgpay Online PA Tuscany Cl St-B9M1S4L7L3U0 Web ID: 1800948598</t>
  </si>
  <si>
    <t>Quickpay With Zelle Payment To Joe - Soccer 8767467350</t>
  </si>
  <si>
    <t>Quickpay With Zelle Payment To Star Mngmnt - Room Accmdn Msp Jpm282941739</t>
  </si>
  <si>
    <t>Quickpay With Zelle Payment To Kedar  Star Mngmnt  Msp Room Sta Jpm284290787</t>
  </si>
  <si>
    <t>Quickpay With Zelle Payment To Joe - Soccer 8820533048</t>
  </si>
  <si>
    <t>Quickpay With Zelle Payment To Joe - Soccer 8833804739</t>
  </si>
  <si>
    <t>Quickpay With Zelle Payment To Joe - Soccer 8845226143</t>
  </si>
  <si>
    <t>Quickpay With Zelle Payment To Joe - Soccer 8868667932</t>
  </si>
  <si>
    <t>GREEK GRILL AND FRY CO. EDEN PRAIRIE MN</t>
  </si>
  <si>
    <t>LYFT   *RIDE THU 5PM lyft.com CA</t>
  </si>
  <si>
    <t>LYFT   *RIDE FRI 9AM lyft.com CA</t>
  </si>
  <si>
    <t>Cash Redemption 379.63</t>
  </si>
  <si>
    <t>11/16 Online Realtime Transfer To Smile Hub  8291 Transaction#: -991.21</t>
  </si>
  <si>
    <t>11/16 Online Transfer To Chk ...6062 Transaction#: 8867666671 -375.91</t>
  </si>
  <si>
    <t>ATM Withdrawal          10/18 1130 W Taylor St Chicago IL Card 7510 -2,000.00</t>
  </si>
  <si>
    <t>ATM Withdrawal          11/03 1130 W Taylor St Chicago IL Card 7510 -1,000.00</t>
  </si>
  <si>
    <t>ATM Withdrawal          11/17 1130 W Taylor St Chicago IL Card 7510 -1,000.00</t>
  </si>
  <si>
    <t xml:space="preserve"> --Report period end before - 12/15/2019</t>
  </si>
  <si>
    <t>12/16/2019</t>
  </si>
  <si>
    <t>12/14 Payment To Chase Card Ending IN 7412</t>
  </si>
  <si>
    <t>12/24/2019</t>
  </si>
  <si>
    <t>12/24 Online Transfer 8894669125 To Chase-Salihapersonal-Totchk #####1229 Transaction #:</t>
  </si>
  <si>
    <t>12/02/2019</t>
  </si>
  <si>
    <t>Irs              Usataxpymt 270973674094574 CCD ID: 3387702000</t>
  </si>
  <si>
    <t>IL Dept of Reven EDI Pymnts 00000949628512  CCD ID: 5555566257</t>
  </si>
  <si>
    <t>12/31/2019</t>
  </si>
  <si>
    <t>Irs              Usataxpymt 270976592599865 CCD ID: 3387702000</t>
  </si>
  <si>
    <t>IL Dept of Reven EDI Pymnts 00000251539040  CCD ID: 5555566257</t>
  </si>
  <si>
    <t>11/21/2019</t>
  </si>
  <si>
    <t>11/22/2019</t>
  </si>
  <si>
    <t>11/27/2019</t>
  </si>
  <si>
    <t>11/30/2019</t>
  </si>
  <si>
    <t>12/01/2019</t>
  </si>
  <si>
    <t>12/09/2019</t>
  </si>
  <si>
    <t>12/12/2019</t>
  </si>
  <si>
    <t>12/14/2019</t>
  </si>
  <si>
    <t>12/08/2019</t>
  </si>
  <si>
    <t>12/11/2019</t>
  </si>
  <si>
    <t>12/15/2019</t>
  </si>
  <si>
    <t>THE HOME DEPOT #1950 CHICAGO IL</t>
  </si>
  <si>
    <t>11/23/2019</t>
  </si>
  <si>
    <t>STARBUCKS STORE 02624 CHICAGO IL</t>
  </si>
  <si>
    <t>11/24/2019</t>
  </si>
  <si>
    <t>SIREN53313 CHICAGO IL</t>
  </si>
  <si>
    <t>CHIPOTLE 1909 CHICAGO IL</t>
  </si>
  <si>
    <t>12/03/2019</t>
  </si>
  <si>
    <t>12/06/2019</t>
  </si>
  <si>
    <t>TACO BELL #36248 CHICAGO IL</t>
  </si>
  <si>
    <t>12/07/2019</t>
  </si>
  <si>
    <t>SQ *ARAON 1ST Chicago IL</t>
  </si>
  <si>
    <t>SEAMLSSBUNDOOKHAN SEAMLESS.COM NY</t>
  </si>
  <si>
    <t>12/17/2019</t>
  </si>
  <si>
    <t>12/18/2019</t>
  </si>
  <si>
    <t>TM *THE PHANTOM OF THE 800-653-8000 CA</t>
  </si>
  <si>
    <t>2565 AMC 600 N MICHIGAN NAPERVILLE IL</t>
  </si>
  <si>
    <t>GENERAL NUTRITION CENTER 877-462-4700 PA</t>
  </si>
  <si>
    <t>11/26/2019</t>
  </si>
  <si>
    <t>11/29/2019</t>
  </si>
  <si>
    <t>JANIE AND JACK 2814 ROSEMONT IL</t>
  </si>
  <si>
    <t>11/20/2019</t>
  </si>
  <si>
    <t>11/28/2019</t>
  </si>
  <si>
    <t>2CO.COM*MARIABAE 923211224333</t>
  </si>
  <si>
    <t>SAKS O5 ROSEMONT 756 ROSEMONT IL</t>
  </si>
  <si>
    <t>Tory Burch  T10005521 Rosemont IL</t>
  </si>
  <si>
    <t>INSIGHT STUDIOS CHICAGO IL</t>
  </si>
  <si>
    <t>12/05/2019</t>
  </si>
  <si>
    <t>MACYS  STATE STREET CHICAGO IL</t>
  </si>
  <si>
    <t>12/13/2019</t>
  </si>
  <si>
    <t>FEDEX OFFIC36100036103 CHICAGO IL</t>
  </si>
  <si>
    <t>BP#8886855MARINE DRIVE B CHICAGO IL</t>
  </si>
  <si>
    <t>SHELL OIL 12355244000 CHICAGO IL</t>
  </si>
  <si>
    <t>PAYPAL *COORDINATED 402-935-7733 CA</t>
  </si>
  <si>
    <t>12/10/2019</t>
  </si>
  <si>
    <t>11/24 COSTCO WHSE #1107        CHICAGO      IL</t>
  </si>
  <si>
    <t>11/25 COSTCO WHSE #1107        CHICAGO      IL</t>
  </si>
  <si>
    <t>12/01 COSTCO WHSE #1107        CHICAGO      IL</t>
  </si>
  <si>
    <t>12/05 COSTCO WHSE #1107        CHICAGO      IL</t>
  </si>
  <si>
    <t>12/10 COSTCO WHSE #1107        CHICAGO      IL</t>
  </si>
  <si>
    <t>12/19/2019</t>
  </si>
  <si>
    <t>12/19 MCDONALD'S F4184         CHICAGO      IL</t>
  </si>
  <si>
    <t>12/14 COMPLETE ID              855-591-0202 TX</t>
  </si>
  <si>
    <t>11/24 COSTCO GAS #1107         CHICAGO      IL</t>
  </si>
  <si>
    <t>12/05 COSTCO GAS #1107         CHICAGO      IL</t>
  </si>
  <si>
    <t>12/16 COSTCO GAS #1107         CHICAGO      IL</t>
  </si>
  <si>
    <t>Target Card Srvc Bill Pay   777700059560151 Web ID: 5411721813</t>
  </si>
  <si>
    <t>Banana Visa      Br Epay    2048280715      Web ID: 9130142001</t>
  </si>
  <si>
    <t>Macys            Auto Pymt  723109432290436 Web ID: Citiautfdr</t>
  </si>
  <si>
    <t>Banana Visa      Br Epay    2065772825      Web ID: 9130142001</t>
  </si>
  <si>
    <t>11/29 Online Transfer To  Chk ...6062 Transaction#: 8805681939</t>
  </si>
  <si>
    <t>12/15 Online Realtime Transfer To Smile Hub  8291 Transaction#: 8972075075 Reference#:</t>
  </si>
  <si>
    <t>Citi Autopay     Payment    083149334831129 Web ID: Citicardap</t>
  </si>
  <si>
    <t>12/04/2019</t>
  </si>
  <si>
    <t>Atgpay Online PA Tuscany Cl St-U2F8T0E7G6W4 Web ID: 1800948598</t>
  </si>
  <si>
    <t>Quickpay With Zelle Payment To Joe - Soccer 8944752573</t>
  </si>
  <si>
    <t>Quickpay With Zelle Payment To Joe - Soccer 8947963127</t>
  </si>
  <si>
    <t>Quickpay With Zelle Payment To Lewis Thomas  Handyman  Contract 8970771045</t>
  </si>
  <si>
    <t>Quickpay With Zelle Payment To Joe - Soccer 8972250029</t>
  </si>
  <si>
    <t>Best Buy         Payment    123148057267943 Web ID: Citictp</t>
  </si>
  <si>
    <t>DJS TACO BAR ROSEMONT IL</t>
  </si>
  <si>
    <t>LITTLE TOKYO ROSEMONT IL</t>
  </si>
  <si>
    <t>STEVE MADDEN 523 ROSEMONT IL</t>
  </si>
  <si>
    <t>XFINITY MOBILE 888-936-4968 PA</t>
  </si>
  <si>
    <t>LYFT   *RIDE MON 10AM lyft.com CA</t>
  </si>
  <si>
    <t>LYFT   *RIDE FRI 3PM lyft.com CA</t>
  </si>
  <si>
    <t>LYFT   *RIDE MON 9AM lyft.com CA</t>
  </si>
  <si>
    <t>GAMESTOP #476 CHICAGO IL</t>
  </si>
  <si>
    <t>U BREAK I FIX CHICAGO IL</t>
  </si>
  <si>
    <t>LYFT   *RIDE WED 9AM lyft.com CA</t>
  </si>
  <si>
    <t>SIE*PLAYSTATIONNETWORK 877-971-7669 CA</t>
  </si>
  <si>
    <t>LYFT   *RIDE FRI 1PM lyft.com CA</t>
  </si>
  <si>
    <t>LYFT   *RIDE MON 8AM lyft.com CA</t>
  </si>
  <si>
    <t>LYFT   *RIDE WED 8AM lyft.com CA</t>
  </si>
  <si>
    <t>12/20/2019</t>
  </si>
  <si>
    <t>Online Transfer From Chk ...2148 Transaction#: 8986812120 3,250.00</t>
  </si>
  <si>
    <t>12/20 Online Transfer To Chk ...6062 Transaction#: 8986810957 -10,000.00</t>
  </si>
  <si>
    <t>12/20 Online Transfer To Chk ...6062 Transaction#: 8986815575 -251.31</t>
  </si>
  <si>
    <t>12/23/2019</t>
  </si>
  <si>
    <t>Interest Payment 0.21</t>
  </si>
  <si>
    <t>11/26 Online Transfer To Chk ...5162 Transaction#: 8900728460 -1,000.00</t>
  </si>
  <si>
    <t>11/28 Online Transfer To Chk ...5162 Transaction#: 8906218248 -1,000.00</t>
  </si>
  <si>
    <t>Online Transfer From Chk ...1229 Transaction#: 8900728460 1,000.00</t>
  </si>
  <si>
    <t>Online Transfer From Chk ...1229 Transaction#: 8906218248 1,000.00</t>
  </si>
  <si>
    <t>Online Transfer From Chk ...1229 Transaction#: 8973373243 85.00</t>
  </si>
  <si>
    <t>12/15 Online Realtime Transfer To Smile Hub  8291 Transaction#: -717.24</t>
  </si>
  <si>
    <t>ATM Withdrawal          11/22 1130 W Taylor St Chicago IL Card 7510 -115.00</t>
  </si>
  <si>
    <t>ATM Withdrawal          12/16 1130 W Taylor St Chicago IL Card 7510 -85.00</t>
  </si>
  <si>
    <t>ATM Withdrawal          12/16 1130 W Taylor St Chicago IL Card 7510 -50.00</t>
  </si>
  <si>
    <t>12/25/2019</t>
  </si>
  <si>
    <t>12/29/2019</t>
  </si>
  <si>
    <t>THE HOME DEPOT 1955 OAK LAWN IL</t>
  </si>
  <si>
    <t>12/21/2019</t>
  </si>
  <si>
    <t>COLDSTONE #20972 OAK PARK IL</t>
  </si>
  <si>
    <t>12/22/2019</t>
  </si>
  <si>
    <t>CHEESECAKE CHICAGO CHICAGO IL</t>
  </si>
  <si>
    <t>12/26/2019</t>
  </si>
  <si>
    <t>STARBUCKS STORE 13342 OAK PARK IL</t>
  </si>
  <si>
    <t>12/27/2019</t>
  </si>
  <si>
    <t>12/28/2019</t>
  </si>
  <si>
    <t>12/30/2019</t>
  </si>
  <si>
    <t>AMZN Mktp US*8B8O22BJ3 Amzn.com/bill WA</t>
  </si>
  <si>
    <t>BP#8937468OLD SKOKIE SVC SKOKIE IL</t>
  </si>
  <si>
    <t>12/21 COSTCO WHSE #1107        CHICAGO      IL</t>
  </si>
  <si>
    <t>12/23 COSTCO WHSE #1107        CHICAGO      IL</t>
  </si>
  <si>
    <t>12/29 COSTCO WHSE #1107        CHICAGO      IL</t>
  </si>
  <si>
    <t>12/28 COSTCO GAS #1107         CHICAGO      IL</t>
  </si>
  <si>
    <t>Macys            Online Pmt 163155948836868 Web ID: Citictp</t>
  </si>
  <si>
    <t>12/20 Online Transfer To Mma ...0744 Transaction#: 8986812120</t>
  </si>
  <si>
    <t>12/31 Online Transfer To  Chk ...6062 Transaction#: 8910296302</t>
  </si>
  <si>
    <t>ODP Transfer To Checking  000000804312148 -2,486.83</t>
  </si>
  <si>
    <t>12/16 Online Transfer To Chk ...5162 Transaction#: 8973373243 -85.00</t>
  </si>
  <si>
    <t>12/25 Online Transfer To Chk ...6062 Transaction#: 9005662180 -1,300.00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</si>
</sst>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>
    <row r="1" spans="1:1" x14ac:dyDescent="0.3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1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4</v>
      </c>
      <c r="B2" t="s">
        <v>5</v>
      </c>
      <c r="C2">
        <v>7412</v>
      </c>
    </row>
    <row r="3" spans="1:6" x14ac:dyDescent="0.35">
      <c r="A3" t="s">
        <v>4</v>
      </c>
      <c r="B3" t="s">
        <v>23</v>
      </c>
      <c r="C3">
        <v>-757.18</v>
      </c>
    </row>
    <row r="4" spans="1:6" x14ac:dyDescent="0.35">
      <c r="A4" t="s">
        <v>4</v>
      </c>
      <c r="B4" t="s">
        <v>60</v>
      </c>
      <c r="C4">
        <v>980.01</v>
      </c>
    </row>
    <row r="5" spans="1:6" x14ac:dyDescent="0.35">
      <c r="A5" t="s">
        <v>4</v>
      </c>
      <c r="B5" t="s">
        <v>61</v>
      </c>
      <c r="C5">
        <v>549.08000000000004</v>
      </c>
    </row>
    <row r="6" spans="1:6" x14ac:dyDescent="0.35">
      <c r="A6" t="s">
        <v>4</v>
      </c>
      <c r="B6" t="s">
        <v>75</v>
      </c>
      <c r="C6">
        <v>-549.08000000000004</v>
      </c>
    </row>
    <row r="7" spans="1:6" x14ac:dyDescent="0.35">
      <c r="C7">
        <v>0</v>
      </c>
      <c r="D7">
        <f>SUM(C2:C6)</f>
        <v>7634.83</v>
      </c>
      <c r="E7">
        <f>SUM(C2:C6)</f>
        <v>7634.83</v>
      </c>
      <c r="F7" t="s">
        <v>6</v>
      </c>
    </row>
    <row r="8" spans="1:6" x14ac:dyDescent="0.35">
      <c r="A8" t="s">
        <v>19</v>
      </c>
      <c r="B8" t="s">
        <v>83</v>
      </c>
      <c r="C8">
        <v>-0.01</v>
      </c>
    </row>
    <row r="9" spans="1:6" x14ac:dyDescent="0.35">
      <c r="A9" t="s">
        <v>46</v>
      </c>
      <c r="B9" t="s">
        <v>53</v>
      </c>
      <c r="C9">
        <v>-682.6</v>
      </c>
    </row>
    <row r="10" spans="1:6" x14ac:dyDescent="0.35">
      <c r="A10" t="s">
        <v>62</v>
      </c>
      <c r="B10" t="s">
        <v>63</v>
      </c>
      <c r="C10">
        <v>682.6</v>
      </c>
    </row>
    <row r="11" spans="1:6" x14ac:dyDescent="0.35">
      <c r="A11" t="s">
        <v>81</v>
      </c>
      <c r="B11" t="s">
        <v>82</v>
      </c>
      <c r="C11">
        <v>-0.03</v>
      </c>
    </row>
    <row r="12" spans="1:6" x14ac:dyDescent="0.35">
      <c r="A12" t="s">
        <v>7</v>
      </c>
      <c r="B12" t="s">
        <v>8</v>
      </c>
      <c r="C12">
        <v>9400</v>
      </c>
    </row>
    <row r="13" spans="1:6" x14ac:dyDescent="0.35">
      <c r="A13" t="s">
        <v>12</v>
      </c>
      <c r="B13" t="s">
        <v>152</v>
      </c>
      <c r="C13">
        <v>5500</v>
      </c>
    </row>
    <row r="14" spans="1:6" x14ac:dyDescent="0.35">
      <c r="A14" t="s">
        <v>12</v>
      </c>
      <c r="B14" t="s">
        <v>174</v>
      </c>
      <c r="C14">
        <v>-9400</v>
      </c>
    </row>
    <row r="15" spans="1:6" x14ac:dyDescent="0.35">
      <c r="A15" t="s">
        <v>87</v>
      </c>
      <c r="B15" t="s">
        <v>175</v>
      </c>
      <c r="C15">
        <v>1000</v>
      </c>
    </row>
    <row r="16" spans="1:6" x14ac:dyDescent="0.35">
      <c r="A16" t="s">
        <v>87</v>
      </c>
      <c r="B16" t="s">
        <v>176</v>
      </c>
      <c r="C16">
        <v>2000</v>
      </c>
    </row>
    <row r="17" spans="1:6" x14ac:dyDescent="0.35">
      <c r="A17" t="s">
        <v>101</v>
      </c>
      <c r="B17" t="s">
        <v>177</v>
      </c>
      <c r="C17">
        <v>2157</v>
      </c>
    </row>
    <row r="18" spans="1:6" x14ac:dyDescent="0.35">
      <c r="A18" t="s">
        <v>85</v>
      </c>
      <c r="B18" t="s">
        <v>82</v>
      </c>
      <c r="C18">
        <v>-0.03</v>
      </c>
    </row>
    <row r="19" spans="1:6" x14ac:dyDescent="0.35">
      <c r="A19" t="s">
        <v>85</v>
      </c>
      <c r="B19" t="s">
        <v>75</v>
      </c>
      <c r="C19">
        <v>-485.1</v>
      </c>
    </row>
    <row r="20" spans="1:6" x14ac:dyDescent="0.35">
      <c r="A20" t="s">
        <v>85</v>
      </c>
      <c r="B20" t="s">
        <v>23</v>
      </c>
      <c r="C20">
        <v>-2157.69</v>
      </c>
    </row>
    <row r="21" spans="1:6" x14ac:dyDescent="0.35">
      <c r="A21" t="s">
        <v>85</v>
      </c>
      <c r="B21" t="s">
        <v>86</v>
      </c>
      <c r="C21">
        <v>7412</v>
      </c>
    </row>
    <row r="22" spans="1:6" x14ac:dyDescent="0.35">
      <c r="A22" t="s">
        <v>85</v>
      </c>
      <c r="B22" t="s">
        <v>154</v>
      </c>
      <c r="C22">
        <v>485.1</v>
      </c>
    </row>
    <row r="23" spans="1:6" x14ac:dyDescent="0.35">
      <c r="A23" t="s">
        <v>85</v>
      </c>
      <c r="B23" t="s">
        <v>153</v>
      </c>
      <c r="C23">
        <v>4000</v>
      </c>
    </row>
    <row r="24" spans="1:6" x14ac:dyDescent="0.35">
      <c r="C24">
        <v>0</v>
      </c>
      <c r="D24">
        <f>SUM(C8:C23)</f>
        <v>19911.239999999998</v>
      </c>
      <c r="E24">
        <f>SUM(C2:C23)</f>
        <v>27546.07</v>
      </c>
      <c r="F24" t="s">
        <v>89</v>
      </c>
    </row>
    <row r="25" spans="1:6" x14ac:dyDescent="0.35">
      <c r="A25" t="s">
        <v>139</v>
      </c>
      <c r="B25" t="s">
        <v>53</v>
      </c>
      <c r="C25">
        <v>-384</v>
      </c>
    </row>
    <row r="26" spans="1:6" x14ac:dyDescent="0.35">
      <c r="A26" t="s">
        <v>90</v>
      </c>
      <c r="B26" t="s">
        <v>155</v>
      </c>
      <c r="C26">
        <v>384</v>
      </c>
    </row>
    <row r="27" spans="1:6" x14ac:dyDescent="0.35">
      <c r="A27" t="s">
        <v>173</v>
      </c>
      <c r="B27" t="s">
        <v>82</v>
      </c>
      <c r="C27">
        <v>-0.03</v>
      </c>
    </row>
    <row r="28" spans="1:6" x14ac:dyDescent="0.35">
      <c r="A28" t="s">
        <v>251</v>
      </c>
      <c r="B28" t="s">
        <v>252</v>
      </c>
      <c r="C28">
        <v>1000</v>
      </c>
    </row>
    <row r="29" spans="1:6" x14ac:dyDescent="0.35">
      <c r="A29" t="s">
        <v>251</v>
      </c>
      <c r="B29" t="s">
        <v>272</v>
      </c>
      <c r="C29">
        <v>-1000</v>
      </c>
    </row>
    <row r="30" spans="1:6" x14ac:dyDescent="0.35">
      <c r="A30" t="s">
        <v>228</v>
      </c>
      <c r="B30" t="s">
        <v>253</v>
      </c>
      <c r="C30">
        <v>5500</v>
      </c>
    </row>
    <row r="31" spans="1:6" x14ac:dyDescent="0.35">
      <c r="A31" t="s">
        <v>210</v>
      </c>
      <c r="B31" t="s">
        <v>236</v>
      </c>
      <c r="C31">
        <v>-2263.89</v>
      </c>
    </row>
    <row r="32" spans="1:6" x14ac:dyDescent="0.35">
      <c r="A32" t="s">
        <v>211</v>
      </c>
      <c r="B32" t="s">
        <v>254</v>
      </c>
      <c r="C32">
        <v>2263.89</v>
      </c>
    </row>
    <row r="33" spans="1:6" x14ac:dyDescent="0.35">
      <c r="A33" t="s">
        <v>180</v>
      </c>
      <c r="B33" t="s">
        <v>182</v>
      </c>
      <c r="C33">
        <v>7412</v>
      </c>
    </row>
    <row r="34" spans="1:6" x14ac:dyDescent="0.35">
      <c r="A34" t="s">
        <v>180</v>
      </c>
      <c r="B34" t="s">
        <v>23</v>
      </c>
      <c r="C34">
        <v>-2425.12</v>
      </c>
    </row>
    <row r="35" spans="1:6" x14ac:dyDescent="0.35">
      <c r="A35" t="s">
        <v>180</v>
      </c>
      <c r="B35" t="s">
        <v>181</v>
      </c>
      <c r="C35">
        <v>5000</v>
      </c>
    </row>
    <row r="36" spans="1:6" x14ac:dyDescent="0.35">
      <c r="A36" t="s">
        <v>220</v>
      </c>
      <c r="B36" t="s">
        <v>83</v>
      </c>
      <c r="C36">
        <v>-0.01</v>
      </c>
    </row>
    <row r="37" spans="1:6" x14ac:dyDescent="0.35">
      <c r="A37" t="s">
        <v>220</v>
      </c>
      <c r="B37" t="s">
        <v>256</v>
      </c>
      <c r="C37">
        <v>447.65</v>
      </c>
    </row>
    <row r="38" spans="1:6" x14ac:dyDescent="0.35">
      <c r="A38" t="s">
        <v>220</v>
      </c>
      <c r="B38" t="s">
        <v>75</v>
      </c>
      <c r="C38">
        <v>-447.65</v>
      </c>
    </row>
    <row r="39" spans="1:6" x14ac:dyDescent="0.35">
      <c r="A39" t="s">
        <v>220</v>
      </c>
      <c r="B39" t="s">
        <v>255</v>
      </c>
      <c r="C39">
        <v>2425.12</v>
      </c>
    </row>
    <row r="40" spans="1:6" x14ac:dyDescent="0.35">
      <c r="A40" t="s">
        <v>220</v>
      </c>
      <c r="B40" t="s">
        <v>279</v>
      </c>
      <c r="C40">
        <v>-618.57000000000005</v>
      </c>
    </row>
    <row r="41" spans="1:6" x14ac:dyDescent="0.35">
      <c r="C41">
        <v>0</v>
      </c>
      <c r="D41">
        <f>SUM(C25:C40)</f>
        <v>17293.390000000003</v>
      </c>
      <c r="E41">
        <f>SUM(C2:C40)</f>
        <v>44839.46</v>
      </c>
      <c r="F41" t="s">
        <v>200</v>
      </c>
    </row>
    <row r="42" spans="1:6" x14ac:dyDescent="0.35">
      <c r="A42" t="s">
        <v>201</v>
      </c>
      <c r="B42" t="s">
        <v>336</v>
      </c>
      <c r="C42">
        <v>-5000</v>
      </c>
    </row>
    <row r="43" spans="1:6" x14ac:dyDescent="0.35">
      <c r="A43" t="s">
        <v>270</v>
      </c>
      <c r="B43" t="s">
        <v>271</v>
      </c>
      <c r="C43">
        <v>-0.02</v>
      </c>
    </row>
    <row r="44" spans="1:6" x14ac:dyDescent="0.35">
      <c r="A44" t="s">
        <v>296</v>
      </c>
      <c r="B44" t="s">
        <v>328</v>
      </c>
      <c r="C44">
        <v>5500</v>
      </c>
    </row>
    <row r="45" spans="1:6" x14ac:dyDescent="0.35">
      <c r="A45" t="s">
        <v>288</v>
      </c>
      <c r="B45" t="s">
        <v>23</v>
      </c>
      <c r="C45">
        <v>-2190.5700000000002</v>
      </c>
    </row>
    <row r="46" spans="1:6" x14ac:dyDescent="0.35">
      <c r="A46" t="s">
        <v>288</v>
      </c>
      <c r="B46" t="s">
        <v>236</v>
      </c>
      <c r="C46">
        <v>-3565.31</v>
      </c>
    </row>
    <row r="47" spans="1:6" x14ac:dyDescent="0.35">
      <c r="A47" t="s">
        <v>280</v>
      </c>
      <c r="B47" t="s">
        <v>281</v>
      </c>
      <c r="C47">
        <v>7412</v>
      </c>
    </row>
    <row r="48" spans="1:6" x14ac:dyDescent="0.35">
      <c r="A48" t="s">
        <v>280</v>
      </c>
      <c r="B48" t="s">
        <v>330</v>
      </c>
      <c r="C48">
        <v>3565.31</v>
      </c>
    </row>
    <row r="49" spans="1:6" x14ac:dyDescent="0.35">
      <c r="A49" t="s">
        <v>280</v>
      </c>
      <c r="B49" t="s">
        <v>329</v>
      </c>
      <c r="C49">
        <v>2190.5700000000002</v>
      </c>
    </row>
    <row r="50" spans="1:6" x14ac:dyDescent="0.35">
      <c r="A50" t="s">
        <v>337</v>
      </c>
      <c r="B50" t="s">
        <v>82</v>
      </c>
      <c r="C50">
        <v>-0.03</v>
      </c>
    </row>
    <row r="51" spans="1:6" x14ac:dyDescent="0.35">
      <c r="A51" t="s">
        <v>321</v>
      </c>
      <c r="B51" t="s">
        <v>75</v>
      </c>
      <c r="C51">
        <v>-762.98</v>
      </c>
    </row>
    <row r="52" spans="1:6" x14ac:dyDescent="0.35">
      <c r="C52">
        <v>0</v>
      </c>
      <c r="D52">
        <f>SUM(C42:C51)</f>
        <v>7148.9699999999993</v>
      </c>
      <c r="E52">
        <f>SUM(C2:C51)</f>
        <v>51988.43</v>
      </c>
      <c r="F52" t="s">
        <v>282</v>
      </c>
    </row>
    <row r="53" spans="1:6" x14ac:dyDescent="0.35">
      <c r="A53" t="s">
        <v>331</v>
      </c>
      <c r="B53" t="s">
        <v>256</v>
      </c>
      <c r="C53">
        <v>762.98</v>
      </c>
    </row>
    <row r="54" spans="1:6" x14ac:dyDescent="0.35">
      <c r="A54" t="s">
        <v>335</v>
      </c>
      <c r="B54" t="s">
        <v>82</v>
      </c>
      <c r="C54">
        <v>-0.03</v>
      </c>
    </row>
    <row r="55" spans="1:6" x14ac:dyDescent="0.35">
      <c r="A55" t="s">
        <v>283</v>
      </c>
      <c r="B55" t="s">
        <v>284</v>
      </c>
      <c r="C55">
        <v>3000</v>
      </c>
    </row>
    <row r="56" spans="1:6" x14ac:dyDescent="0.35">
      <c r="A56" t="s">
        <v>406</v>
      </c>
      <c r="B56" t="s">
        <v>407</v>
      </c>
      <c r="C56">
        <v>-3000</v>
      </c>
    </row>
    <row r="57" spans="1:6" x14ac:dyDescent="0.35">
      <c r="A57" t="s">
        <v>369</v>
      </c>
      <c r="B57" t="s">
        <v>408</v>
      </c>
      <c r="C57">
        <v>2000</v>
      </c>
    </row>
    <row r="58" spans="1:6" x14ac:dyDescent="0.35">
      <c r="A58" t="s">
        <v>369</v>
      </c>
      <c r="B58" t="s">
        <v>413</v>
      </c>
      <c r="C58">
        <v>-2000</v>
      </c>
    </row>
    <row r="59" spans="1:6" x14ac:dyDescent="0.35">
      <c r="A59" t="s">
        <v>285</v>
      </c>
      <c r="B59" t="s">
        <v>286</v>
      </c>
      <c r="C59">
        <v>4200</v>
      </c>
    </row>
    <row r="60" spans="1:6" x14ac:dyDescent="0.35">
      <c r="A60" t="s">
        <v>396</v>
      </c>
      <c r="B60" t="s">
        <v>397</v>
      </c>
      <c r="C60">
        <v>5500</v>
      </c>
    </row>
    <row r="61" spans="1:6" x14ac:dyDescent="0.35">
      <c r="A61" t="s">
        <v>351</v>
      </c>
      <c r="B61" t="s">
        <v>409</v>
      </c>
      <c r="C61">
        <v>-4200</v>
      </c>
    </row>
    <row r="62" spans="1:6" x14ac:dyDescent="0.35">
      <c r="A62" t="s">
        <v>345</v>
      </c>
      <c r="B62" t="s">
        <v>414</v>
      </c>
      <c r="C62">
        <v>126.18</v>
      </c>
    </row>
    <row r="63" spans="1:6" x14ac:dyDescent="0.35">
      <c r="A63" t="s">
        <v>345</v>
      </c>
      <c r="B63" t="s">
        <v>398</v>
      </c>
      <c r="C63">
        <v>1336.37</v>
      </c>
    </row>
    <row r="64" spans="1:6" x14ac:dyDescent="0.35">
      <c r="A64" t="s">
        <v>345</v>
      </c>
      <c r="B64" t="s">
        <v>399</v>
      </c>
      <c r="C64">
        <v>451.29</v>
      </c>
    </row>
    <row r="65" spans="1:6" x14ac:dyDescent="0.35">
      <c r="A65" t="s">
        <v>345</v>
      </c>
      <c r="B65" t="s">
        <v>346</v>
      </c>
      <c r="C65">
        <v>7412</v>
      </c>
    </row>
    <row r="66" spans="1:6" x14ac:dyDescent="0.35">
      <c r="A66" t="s">
        <v>345</v>
      </c>
      <c r="B66" t="s">
        <v>23</v>
      </c>
      <c r="C66">
        <v>-1462.55</v>
      </c>
    </row>
    <row r="67" spans="1:6" x14ac:dyDescent="0.35">
      <c r="A67" t="s">
        <v>345</v>
      </c>
      <c r="B67" t="s">
        <v>75</v>
      </c>
      <c r="C67">
        <v>-451.29</v>
      </c>
    </row>
    <row r="68" spans="1:6" x14ac:dyDescent="0.35">
      <c r="A68" t="s">
        <v>345</v>
      </c>
      <c r="B68" t="s">
        <v>271</v>
      </c>
      <c r="C68">
        <v>-0.02</v>
      </c>
    </row>
    <row r="69" spans="1:6" x14ac:dyDescent="0.35">
      <c r="C69">
        <v>0</v>
      </c>
      <c r="D69">
        <f>SUM(C53:C68)</f>
        <v>13674.93</v>
      </c>
      <c r="E69">
        <f>SUM(C2:C68)</f>
        <v>65663.360000000001</v>
      </c>
      <c r="F69" t="s">
        <v>347</v>
      </c>
    </row>
    <row r="70" spans="1:6" x14ac:dyDescent="0.35">
      <c r="A70" t="s">
        <v>368</v>
      </c>
      <c r="B70" t="s">
        <v>53</v>
      </c>
      <c r="C70">
        <v>-1555.86</v>
      </c>
    </row>
    <row r="71" spans="1:6" x14ac:dyDescent="0.35">
      <c r="A71" t="s">
        <v>392</v>
      </c>
      <c r="B71" t="s">
        <v>473</v>
      </c>
      <c r="C71">
        <v>1555.86</v>
      </c>
    </row>
    <row r="72" spans="1:6" x14ac:dyDescent="0.35">
      <c r="A72" t="s">
        <v>405</v>
      </c>
      <c r="B72" t="s">
        <v>82</v>
      </c>
      <c r="C72">
        <v>-0.03</v>
      </c>
    </row>
    <row r="73" spans="1:6" x14ac:dyDescent="0.35">
      <c r="A73" t="s">
        <v>447</v>
      </c>
      <c r="B73" t="s">
        <v>498</v>
      </c>
      <c r="C73">
        <v>1100</v>
      </c>
    </row>
    <row r="74" spans="1:6" x14ac:dyDescent="0.35">
      <c r="A74" t="s">
        <v>348</v>
      </c>
      <c r="B74" t="s">
        <v>474</v>
      </c>
      <c r="C74">
        <v>5500</v>
      </c>
    </row>
    <row r="75" spans="1:6" x14ac:dyDescent="0.35">
      <c r="A75" t="s">
        <v>416</v>
      </c>
      <c r="B75" t="s">
        <v>417</v>
      </c>
      <c r="C75">
        <v>4200</v>
      </c>
    </row>
    <row r="76" spans="1:6" x14ac:dyDescent="0.35">
      <c r="A76" t="s">
        <v>470</v>
      </c>
      <c r="B76" t="s">
        <v>409</v>
      </c>
      <c r="C76">
        <v>-4200</v>
      </c>
    </row>
    <row r="77" spans="1:6" x14ac:dyDescent="0.35">
      <c r="A77" t="s">
        <v>459</v>
      </c>
      <c r="B77" t="s">
        <v>475</v>
      </c>
      <c r="C77">
        <v>79</v>
      </c>
    </row>
    <row r="78" spans="1:6" x14ac:dyDescent="0.35">
      <c r="A78" t="s">
        <v>418</v>
      </c>
      <c r="B78" t="s">
        <v>499</v>
      </c>
      <c r="C78">
        <v>623.04</v>
      </c>
    </row>
    <row r="79" spans="1:6" x14ac:dyDescent="0.35">
      <c r="A79" t="s">
        <v>418</v>
      </c>
      <c r="B79" t="s">
        <v>476</v>
      </c>
      <c r="C79">
        <v>7058.49</v>
      </c>
    </row>
    <row r="80" spans="1:6" x14ac:dyDescent="0.35">
      <c r="A80" t="s">
        <v>418</v>
      </c>
      <c r="B80" t="s">
        <v>23</v>
      </c>
      <c r="C80">
        <v>-7682.02</v>
      </c>
    </row>
    <row r="81" spans="1:6" x14ac:dyDescent="0.35">
      <c r="A81" t="s">
        <v>418</v>
      </c>
      <c r="B81" t="s">
        <v>419</v>
      </c>
      <c r="C81">
        <v>7412</v>
      </c>
    </row>
    <row r="82" spans="1:6" x14ac:dyDescent="0.35">
      <c r="A82" t="s">
        <v>418</v>
      </c>
      <c r="B82" t="s">
        <v>75</v>
      </c>
      <c r="C82">
        <v>-462.25</v>
      </c>
    </row>
    <row r="83" spans="1:6" x14ac:dyDescent="0.35">
      <c r="A83" t="s">
        <v>418</v>
      </c>
      <c r="B83" t="s">
        <v>271</v>
      </c>
      <c r="C83">
        <v>-0.02</v>
      </c>
    </row>
    <row r="84" spans="1:6" x14ac:dyDescent="0.35">
      <c r="C84">
        <v>0</v>
      </c>
      <c r="D84">
        <f>SUM(C70:C83)</f>
        <v>13628.21</v>
      </c>
      <c r="E84">
        <f>SUM(C2:C83)</f>
        <v>79291.569999999992</v>
      </c>
      <c r="F84" t="s">
        <v>420</v>
      </c>
    </row>
    <row r="85" spans="1:6" x14ac:dyDescent="0.35">
      <c r="A85" t="s">
        <v>428</v>
      </c>
      <c r="B85" t="s">
        <v>53</v>
      </c>
      <c r="C85">
        <v>-559.37</v>
      </c>
    </row>
    <row r="86" spans="1:6" x14ac:dyDescent="0.35">
      <c r="A86" t="s">
        <v>428</v>
      </c>
      <c r="B86" t="s">
        <v>256</v>
      </c>
      <c r="C86">
        <v>462.25</v>
      </c>
    </row>
    <row r="87" spans="1:6" x14ac:dyDescent="0.35">
      <c r="A87" t="s">
        <v>465</v>
      </c>
      <c r="B87" t="s">
        <v>477</v>
      </c>
      <c r="C87">
        <v>559.37</v>
      </c>
    </row>
    <row r="88" spans="1:6" x14ac:dyDescent="0.35">
      <c r="A88" t="s">
        <v>488</v>
      </c>
      <c r="B88" t="s">
        <v>489</v>
      </c>
      <c r="C88">
        <v>-13000</v>
      </c>
    </row>
    <row r="89" spans="1:6" x14ac:dyDescent="0.35">
      <c r="A89" t="s">
        <v>488</v>
      </c>
      <c r="B89" t="s">
        <v>580</v>
      </c>
      <c r="C89">
        <v>4000</v>
      </c>
    </row>
    <row r="90" spans="1:6" x14ac:dyDescent="0.35">
      <c r="A90" t="s">
        <v>488</v>
      </c>
      <c r="B90" t="s">
        <v>581</v>
      </c>
      <c r="C90">
        <v>13000</v>
      </c>
    </row>
    <row r="91" spans="1:6" x14ac:dyDescent="0.35">
      <c r="A91" t="s">
        <v>490</v>
      </c>
      <c r="B91" t="s">
        <v>491</v>
      </c>
      <c r="C91">
        <v>-7.0000000000000007E-2</v>
      </c>
    </row>
    <row r="92" spans="1:6" x14ac:dyDescent="0.35">
      <c r="A92" t="s">
        <v>421</v>
      </c>
      <c r="B92" t="s">
        <v>422</v>
      </c>
      <c r="C92">
        <v>4200</v>
      </c>
    </row>
    <row r="93" spans="1:6" x14ac:dyDescent="0.35">
      <c r="A93" t="s">
        <v>548</v>
      </c>
      <c r="B93" t="s">
        <v>582</v>
      </c>
      <c r="C93">
        <v>5500</v>
      </c>
    </row>
    <row r="94" spans="1:6" x14ac:dyDescent="0.35">
      <c r="A94" t="s">
        <v>548</v>
      </c>
      <c r="B94" t="s">
        <v>604</v>
      </c>
      <c r="C94">
        <v>1845.03</v>
      </c>
    </row>
    <row r="95" spans="1:6" x14ac:dyDescent="0.35">
      <c r="A95" t="s">
        <v>510</v>
      </c>
      <c r="B95" t="s">
        <v>409</v>
      </c>
      <c r="C95">
        <v>-4200</v>
      </c>
    </row>
    <row r="96" spans="1:6" x14ac:dyDescent="0.35">
      <c r="A96" t="s">
        <v>517</v>
      </c>
      <c r="B96" t="s">
        <v>23</v>
      </c>
      <c r="C96">
        <v>-3751.59</v>
      </c>
    </row>
    <row r="97" spans="1:6" x14ac:dyDescent="0.35">
      <c r="A97" t="s">
        <v>518</v>
      </c>
      <c r="B97" t="s">
        <v>75</v>
      </c>
      <c r="C97">
        <v>-536.54999999999995</v>
      </c>
    </row>
    <row r="98" spans="1:6" x14ac:dyDescent="0.35">
      <c r="C98">
        <v>0</v>
      </c>
      <c r="D98">
        <f>SUM(C85:C97)</f>
        <v>7519.0700000000006</v>
      </c>
      <c r="E98">
        <f>SUM(C2:C97)</f>
        <v>86810.639999999985</v>
      </c>
      <c r="F98" t="s">
        <v>503</v>
      </c>
    </row>
    <row r="99" spans="1:6" x14ac:dyDescent="0.35">
      <c r="A99" t="s">
        <v>504</v>
      </c>
      <c r="B99" t="s">
        <v>82</v>
      </c>
      <c r="C99">
        <v>-0.03</v>
      </c>
    </row>
    <row r="100" spans="1:6" x14ac:dyDescent="0.35">
      <c r="A100" t="s">
        <v>504</v>
      </c>
      <c r="B100" t="s">
        <v>505</v>
      </c>
      <c r="C100">
        <v>7412</v>
      </c>
    </row>
    <row r="101" spans="1:6" x14ac:dyDescent="0.35">
      <c r="A101" t="s">
        <v>504</v>
      </c>
      <c r="B101" t="s">
        <v>256</v>
      </c>
      <c r="C101">
        <v>536.54999999999995</v>
      </c>
    </row>
    <row r="102" spans="1:6" x14ac:dyDescent="0.35">
      <c r="A102" t="s">
        <v>504</v>
      </c>
      <c r="B102" t="s">
        <v>583</v>
      </c>
      <c r="C102">
        <v>3553.8</v>
      </c>
    </row>
    <row r="103" spans="1:6" x14ac:dyDescent="0.35">
      <c r="A103" t="s">
        <v>504</v>
      </c>
      <c r="B103" t="s">
        <v>605</v>
      </c>
      <c r="C103">
        <v>2276.2600000000002</v>
      </c>
    </row>
    <row r="104" spans="1:6" x14ac:dyDescent="0.35">
      <c r="A104" t="s">
        <v>547</v>
      </c>
      <c r="B104" t="s">
        <v>53</v>
      </c>
      <c r="C104">
        <v>-256.82</v>
      </c>
    </row>
    <row r="105" spans="1:6" x14ac:dyDescent="0.35">
      <c r="A105" t="s">
        <v>546</v>
      </c>
      <c r="B105" t="s">
        <v>584</v>
      </c>
      <c r="C105">
        <v>256.82</v>
      </c>
    </row>
    <row r="106" spans="1:6" x14ac:dyDescent="0.35">
      <c r="A106" t="s">
        <v>506</v>
      </c>
      <c r="B106" t="s">
        <v>507</v>
      </c>
      <c r="C106">
        <v>20900</v>
      </c>
    </row>
    <row r="107" spans="1:6" x14ac:dyDescent="0.35">
      <c r="A107" t="s">
        <v>606</v>
      </c>
      <c r="B107" t="s">
        <v>607</v>
      </c>
      <c r="C107">
        <v>-0.28000000000000003</v>
      </c>
    </row>
    <row r="108" spans="1:6" x14ac:dyDescent="0.35">
      <c r="A108" t="s">
        <v>623</v>
      </c>
      <c r="B108" t="s">
        <v>686</v>
      </c>
      <c r="C108">
        <v>-20900</v>
      </c>
    </row>
    <row r="109" spans="1:6" x14ac:dyDescent="0.35">
      <c r="A109" t="s">
        <v>623</v>
      </c>
      <c r="B109" t="s">
        <v>687</v>
      </c>
      <c r="C109">
        <v>-11388.35</v>
      </c>
    </row>
    <row r="110" spans="1:6" x14ac:dyDescent="0.35">
      <c r="A110" t="s">
        <v>623</v>
      </c>
      <c r="B110" t="s">
        <v>688</v>
      </c>
      <c r="C110">
        <v>3117.49</v>
      </c>
    </row>
    <row r="111" spans="1:6" x14ac:dyDescent="0.35">
      <c r="A111" t="s">
        <v>623</v>
      </c>
      <c r="B111" t="s">
        <v>695</v>
      </c>
      <c r="C111">
        <v>-3117.49</v>
      </c>
    </row>
    <row r="112" spans="1:6" x14ac:dyDescent="0.35">
      <c r="A112" t="s">
        <v>508</v>
      </c>
      <c r="B112" t="s">
        <v>696</v>
      </c>
      <c r="C112">
        <v>319.41000000000003</v>
      </c>
    </row>
    <row r="113" spans="1:6" x14ac:dyDescent="0.35">
      <c r="A113" t="s">
        <v>508</v>
      </c>
      <c r="B113" t="s">
        <v>697</v>
      </c>
      <c r="C113">
        <v>143</v>
      </c>
    </row>
    <row r="114" spans="1:6" x14ac:dyDescent="0.35">
      <c r="A114" t="s">
        <v>508</v>
      </c>
      <c r="B114" t="s">
        <v>509</v>
      </c>
      <c r="C114">
        <v>4200</v>
      </c>
    </row>
    <row r="115" spans="1:6" x14ac:dyDescent="0.35">
      <c r="A115" t="s">
        <v>645</v>
      </c>
      <c r="B115" t="s">
        <v>672</v>
      </c>
      <c r="C115">
        <v>5500</v>
      </c>
    </row>
    <row r="116" spans="1:6" x14ac:dyDescent="0.35">
      <c r="A116" t="s">
        <v>645</v>
      </c>
      <c r="B116" t="s">
        <v>409</v>
      </c>
      <c r="C116">
        <v>-4200</v>
      </c>
    </row>
    <row r="117" spans="1:6" x14ac:dyDescent="0.35">
      <c r="A117" t="s">
        <v>631</v>
      </c>
      <c r="B117" t="s">
        <v>23</v>
      </c>
      <c r="C117">
        <v>-2242.9699999999998</v>
      </c>
    </row>
    <row r="118" spans="1:6" x14ac:dyDescent="0.35">
      <c r="A118" t="s">
        <v>612</v>
      </c>
      <c r="B118" t="s">
        <v>613</v>
      </c>
      <c r="C118">
        <v>7412</v>
      </c>
    </row>
    <row r="119" spans="1:6" x14ac:dyDescent="0.35">
      <c r="A119" t="s">
        <v>612</v>
      </c>
      <c r="B119" t="s">
        <v>75</v>
      </c>
      <c r="C119">
        <v>-544.37</v>
      </c>
    </row>
    <row r="120" spans="1:6" x14ac:dyDescent="0.35">
      <c r="A120" t="s">
        <v>612</v>
      </c>
      <c r="B120" t="s">
        <v>689</v>
      </c>
      <c r="C120">
        <v>-0.06</v>
      </c>
    </row>
    <row r="121" spans="1:6" x14ac:dyDescent="0.35">
      <c r="C121">
        <v>0</v>
      </c>
      <c r="D121">
        <f>SUM(C99:C120)</f>
        <v>12976.960000000003</v>
      </c>
      <c r="E121">
        <f>SUM(C2:C120)</f>
        <v>99787.599999999991</v>
      </c>
      <c r="F121" t="s">
        <v>614</v>
      </c>
    </row>
    <row r="122" spans="1:6" x14ac:dyDescent="0.35">
      <c r="A122" t="s">
        <v>643</v>
      </c>
      <c r="B122" t="s">
        <v>256</v>
      </c>
      <c r="C122">
        <v>544.37</v>
      </c>
    </row>
    <row r="123" spans="1:6" x14ac:dyDescent="0.35">
      <c r="A123" t="s">
        <v>629</v>
      </c>
      <c r="B123" t="s">
        <v>53</v>
      </c>
      <c r="C123">
        <v>-352.59</v>
      </c>
    </row>
    <row r="124" spans="1:6" x14ac:dyDescent="0.35">
      <c r="A124" t="s">
        <v>668</v>
      </c>
      <c r="B124" t="s">
        <v>762</v>
      </c>
      <c r="C124">
        <v>352.59</v>
      </c>
    </row>
    <row r="125" spans="1:6" x14ac:dyDescent="0.35">
      <c r="A125" t="s">
        <v>684</v>
      </c>
      <c r="B125" t="s">
        <v>685</v>
      </c>
      <c r="C125">
        <v>-0.25</v>
      </c>
    </row>
    <row r="126" spans="1:6" x14ac:dyDescent="0.35">
      <c r="A126" t="s">
        <v>723</v>
      </c>
      <c r="B126" t="s">
        <v>763</v>
      </c>
      <c r="C126">
        <v>1370.59</v>
      </c>
    </row>
    <row r="127" spans="1:6" x14ac:dyDescent="0.35">
      <c r="A127" t="s">
        <v>723</v>
      </c>
      <c r="B127" t="s">
        <v>793</v>
      </c>
      <c r="C127">
        <v>511.22</v>
      </c>
    </row>
    <row r="128" spans="1:6" x14ac:dyDescent="0.35">
      <c r="A128" t="s">
        <v>615</v>
      </c>
      <c r="B128" t="s">
        <v>616</v>
      </c>
      <c r="C128">
        <v>4200</v>
      </c>
    </row>
    <row r="129" spans="1:6" x14ac:dyDescent="0.35">
      <c r="A129" t="s">
        <v>727</v>
      </c>
      <c r="B129" t="s">
        <v>409</v>
      </c>
      <c r="C129">
        <v>-4200</v>
      </c>
    </row>
    <row r="130" spans="1:6" x14ac:dyDescent="0.35">
      <c r="A130" t="s">
        <v>727</v>
      </c>
      <c r="B130" t="s">
        <v>764</v>
      </c>
      <c r="C130">
        <v>5500</v>
      </c>
    </row>
    <row r="131" spans="1:6" x14ac:dyDescent="0.35">
      <c r="A131" t="s">
        <v>719</v>
      </c>
      <c r="B131" t="s">
        <v>23</v>
      </c>
      <c r="C131">
        <v>-3128.83</v>
      </c>
    </row>
    <row r="132" spans="1:6" x14ac:dyDescent="0.35">
      <c r="A132" t="s">
        <v>719</v>
      </c>
      <c r="B132" t="s">
        <v>75</v>
      </c>
      <c r="C132">
        <v>-554.58000000000004</v>
      </c>
    </row>
    <row r="133" spans="1:6" x14ac:dyDescent="0.35">
      <c r="C133">
        <v>0</v>
      </c>
      <c r="D133">
        <f>SUM(C122:C132)</f>
        <v>4242.5200000000004</v>
      </c>
      <c r="E133">
        <f>SUM(C2:C132)</f>
        <v>104030.11999999998</v>
      </c>
      <c r="F133" t="s">
        <v>699</v>
      </c>
    </row>
    <row r="134" spans="1:6" x14ac:dyDescent="0.35">
      <c r="A134" t="s">
        <v>700</v>
      </c>
      <c r="B134" t="s">
        <v>701</v>
      </c>
      <c r="C134">
        <v>7412</v>
      </c>
    </row>
    <row r="135" spans="1:6" x14ac:dyDescent="0.35">
      <c r="A135" t="s">
        <v>700</v>
      </c>
      <c r="B135" t="s">
        <v>256</v>
      </c>
      <c r="C135">
        <v>554.58000000000004</v>
      </c>
    </row>
    <row r="136" spans="1:6" x14ac:dyDescent="0.35">
      <c r="A136" t="s">
        <v>700</v>
      </c>
      <c r="B136" t="s">
        <v>787</v>
      </c>
      <c r="C136">
        <v>-0.08</v>
      </c>
    </row>
    <row r="137" spans="1:6" x14ac:dyDescent="0.35">
      <c r="A137" t="s">
        <v>717</v>
      </c>
      <c r="B137" t="s">
        <v>53</v>
      </c>
      <c r="C137">
        <v>-3150.72</v>
      </c>
    </row>
    <row r="138" spans="1:6" x14ac:dyDescent="0.35">
      <c r="A138" t="s">
        <v>765</v>
      </c>
      <c r="B138" t="s">
        <v>766</v>
      </c>
      <c r="C138">
        <v>3150.72</v>
      </c>
    </row>
    <row r="139" spans="1:6" x14ac:dyDescent="0.35">
      <c r="A139" t="s">
        <v>785</v>
      </c>
      <c r="B139" t="s">
        <v>786</v>
      </c>
      <c r="C139">
        <v>-0.27</v>
      </c>
    </row>
    <row r="140" spans="1:6" x14ac:dyDescent="0.35">
      <c r="A140" t="s">
        <v>702</v>
      </c>
      <c r="B140" t="s">
        <v>703</v>
      </c>
      <c r="C140">
        <v>4200</v>
      </c>
    </row>
    <row r="141" spans="1:6" x14ac:dyDescent="0.35">
      <c r="A141" t="s">
        <v>812</v>
      </c>
      <c r="B141" t="s">
        <v>409</v>
      </c>
      <c r="C141">
        <v>-4200</v>
      </c>
    </row>
    <row r="142" spans="1:6" x14ac:dyDescent="0.35">
      <c r="A142" t="s">
        <v>828</v>
      </c>
      <c r="B142" t="s">
        <v>860</v>
      </c>
      <c r="C142">
        <v>5500</v>
      </c>
    </row>
    <row r="143" spans="1:6" x14ac:dyDescent="0.35">
      <c r="A143" t="s">
        <v>814</v>
      </c>
      <c r="B143" t="s">
        <v>861</v>
      </c>
      <c r="C143">
        <v>2390.83</v>
      </c>
    </row>
    <row r="144" spans="1:6" x14ac:dyDescent="0.35">
      <c r="A144" t="s">
        <v>814</v>
      </c>
      <c r="B144" t="s">
        <v>878</v>
      </c>
      <c r="C144">
        <v>223.09</v>
      </c>
    </row>
    <row r="145" spans="1:6" x14ac:dyDescent="0.35">
      <c r="A145" t="s">
        <v>794</v>
      </c>
      <c r="B145" t="s">
        <v>795</v>
      </c>
      <c r="C145">
        <v>12000</v>
      </c>
    </row>
    <row r="146" spans="1:6" x14ac:dyDescent="0.35">
      <c r="A146" t="s">
        <v>832</v>
      </c>
      <c r="B146" t="s">
        <v>875</v>
      </c>
      <c r="C146">
        <v>6000</v>
      </c>
    </row>
    <row r="147" spans="1:6" x14ac:dyDescent="0.35">
      <c r="A147" t="s">
        <v>819</v>
      </c>
      <c r="B147" t="s">
        <v>879</v>
      </c>
      <c r="C147">
        <v>-6000</v>
      </c>
    </row>
    <row r="148" spans="1:6" x14ac:dyDescent="0.35">
      <c r="A148" t="s">
        <v>819</v>
      </c>
      <c r="B148" t="s">
        <v>880</v>
      </c>
      <c r="C148">
        <v>395.44</v>
      </c>
    </row>
    <row r="149" spans="1:6" x14ac:dyDescent="0.35">
      <c r="A149" t="s">
        <v>819</v>
      </c>
      <c r="B149" t="s">
        <v>877</v>
      </c>
      <c r="C149">
        <v>6000</v>
      </c>
    </row>
    <row r="150" spans="1:6" x14ac:dyDescent="0.35">
      <c r="A150" t="s">
        <v>819</v>
      </c>
      <c r="B150" t="s">
        <v>876</v>
      </c>
      <c r="C150">
        <v>-12000</v>
      </c>
    </row>
    <row r="151" spans="1:6" x14ac:dyDescent="0.35">
      <c r="A151" t="s">
        <v>818</v>
      </c>
      <c r="B151" t="s">
        <v>75</v>
      </c>
      <c r="C151">
        <v>-378.01</v>
      </c>
    </row>
    <row r="152" spans="1:6" x14ac:dyDescent="0.35">
      <c r="A152" t="s">
        <v>818</v>
      </c>
      <c r="B152" t="s">
        <v>75</v>
      </c>
      <c r="C152">
        <v>-536.22</v>
      </c>
    </row>
    <row r="153" spans="1:6" x14ac:dyDescent="0.35">
      <c r="C153">
        <v>0</v>
      </c>
      <c r="D153">
        <f>SUM(C134:C152)</f>
        <v>21561.359999999997</v>
      </c>
      <c r="E153">
        <f>SUM(C2:C152)</f>
        <v>125591.47999999997</v>
      </c>
      <c r="F153" t="s">
        <v>796</v>
      </c>
    </row>
    <row r="154" spans="1:6" x14ac:dyDescent="0.35">
      <c r="A154" t="s">
        <v>797</v>
      </c>
      <c r="B154" t="s">
        <v>881</v>
      </c>
      <c r="C154">
        <v>216.5</v>
      </c>
    </row>
    <row r="155" spans="1:6" x14ac:dyDescent="0.35">
      <c r="A155" t="s">
        <v>797</v>
      </c>
      <c r="B155" t="s">
        <v>882</v>
      </c>
      <c r="C155">
        <v>243.97</v>
      </c>
    </row>
    <row r="156" spans="1:6" x14ac:dyDescent="0.35">
      <c r="A156" t="s">
        <v>797</v>
      </c>
      <c r="B156" t="s">
        <v>23</v>
      </c>
      <c r="C156">
        <v>-2287.89</v>
      </c>
    </row>
    <row r="157" spans="1:6" x14ac:dyDescent="0.35">
      <c r="A157" t="s">
        <v>797</v>
      </c>
      <c r="B157" t="s">
        <v>799</v>
      </c>
      <c r="C157">
        <v>378.01</v>
      </c>
    </row>
    <row r="158" spans="1:6" x14ac:dyDescent="0.35">
      <c r="A158" t="s">
        <v>797</v>
      </c>
      <c r="B158" t="s">
        <v>798</v>
      </c>
      <c r="C158">
        <v>7412</v>
      </c>
    </row>
    <row r="159" spans="1:6" x14ac:dyDescent="0.35">
      <c r="A159" t="s">
        <v>797</v>
      </c>
      <c r="B159" t="s">
        <v>256</v>
      </c>
      <c r="C159">
        <v>536.22</v>
      </c>
    </row>
    <row r="160" spans="1:6" x14ac:dyDescent="0.35">
      <c r="A160" t="s">
        <v>797</v>
      </c>
      <c r="B160" t="s">
        <v>862</v>
      </c>
      <c r="C160">
        <v>1695.72</v>
      </c>
    </row>
    <row r="161" spans="1:6" x14ac:dyDescent="0.35">
      <c r="A161" t="s">
        <v>797</v>
      </c>
      <c r="B161" t="s">
        <v>491</v>
      </c>
      <c r="C161">
        <v>-7.0000000000000007E-2</v>
      </c>
    </row>
    <row r="162" spans="1:6" x14ac:dyDescent="0.35">
      <c r="A162" t="s">
        <v>837</v>
      </c>
      <c r="B162" t="s">
        <v>53</v>
      </c>
      <c r="C162">
        <v>-435.12</v>
      </c>
    </row>
    <row r="163" spans="1:6" x14ac:dyDescent="0.35">
      <c r="A163" t="s">
        <v>838</v>
      </c>
      <c r="B163" t="s">
        <v>863</v>
      </c>
      <c r="C163">
        <v>435.12</v>
      </c>
    </row>
    <row r="164" spans="1:6" x14ac:dyDescent="0.35">
      <c r="A164" t="s">
        <v>873</v>
      </c>
      <c r="B164" t="s">
        <v>874</v>
      </c>
      <c r="C164">
        <v>-0.24</v>
      </c>
    </row>
    <row r="165" spans="1:6" x14ac:dyDescent="0.35">
      <c r="A165" t="s">
        <v>800</v>
      </c>
      <c r="B165" t="s">
        <v>801</v>
      </c>
      <c r="C165">
        <v>4200</v>
      </c>
    </row>
    <row r="166" spans="1:6" x14ac:dyDescent="0.35">
      <c r="A166" t="s">
        <v>923</v>
      </c>
      <c r="B166" t="s">
        <v>409</v>
      </c>
      <c r="C166">
        <v>-4200</v>
      </c>
    </row>
    <row r="167" spans="1:6" x14ac:dyDescent="0.35">
      <c r="A167" t="s">
        <v>805</v>
      </c>
      <c r="B167" t="s">
        <v>943</v>
      </c>
      <c r="C167">
        <v>5500</v>
      </c>
    </row>
    <row r="168" spans="1:6" x14ac:dyDescent="0.35">
      <c r="A168" t="s">
        <v>894</v>
      </c>
      <c r="B168" t="s">
        <v>944</v>
      </c>
      <c r="C168">
        <v>5000</v>
      </c>
    </row>
    <row r="169" spans="1:6" x14ac:dyDescent="0.35">
      <c r="A169" t="s">
        <v>894</v>
      </c>
      <c r="B169" t="s">
        <v>959</v>
      </c>
      <c r="C169">
        <v>-379.63</v>
      </c>
    </row>
    <row r="170" spans="1:6" x14ac:dyDescent="0.35">
      <c r="A170" t="s">
        <v>896</v>
      </c>
      <c r="B170" t="s">
        <v>23</v>
      </c>
      <c r="C170">
        <v>-2640.58</v>
      </c>
    </row>
    <row r="171" spans="1:6" x14ac:dyDescent="0.35">
      <c r="A171" t="s">
        <v>883</v>
      </c>
      <c r="B171" t="s">
        <v>884</v>
      </c>
      <c r="C171">
        <v>7412</v>
      </c>
    </row>
    <row r="172" spans="1:6" x14ac:dyDescent="0.35">
      <c r="A172" t="s">
        <v>883</v>
      </c>
      <c r="B172" t="s">
        <v>75</v>
      </c>
      <c r="C172">
        <v>-489.78</v>
      </c>
    </row>
    <row r="173" spans="1:6" x14ac:dyDescent="0.35">
      <c r="C173">
        <v>0</v>
      </c>
      <c r="D173">
        <f>SUM(C154:C172)</f>
        <v>22596.230000000003</v>
      </c>
      <c r="E173">
        <f>SUM(C2:C172)</f>
        <v>148187.70999999996</v>
      </c>
      <c r="F173" t="s">
        <v>885</v>
      </c>
    </row>
    <row r="174" spans="1:6" x14ac:dyDescent="0.35">
      <c r="A174" t="s">
        <v>902</v>
      </c>
      <c r="B174" t="s">
        <v>256</v>
      </c>
      <c r="C174">
        <v>489.78</v>
      </c>
    </row>
    <row r="175" spans="1:6" x14ac:dyDescent="0.35">
      <c r="A175" t="s">
        <v>902</v>
      </c>
      <c r="B175" t="s">
        <v>787</v>
      </c>
      <c r="C175">
        <v>-0.08</v>
      </c>
    </row>
    <row r="176" spans="1:6" x14ac:dyDescent="0.35">
      <c r="A176" t="s">
        <v>920</v>
      </c>
      <c r="B176" t="s">
        <v>53</v>
      </c>
      <c r="C176">
        <v>-1025.96</v>
      </c>
    </row>
    <row r="177" spans="1:6" x14ac:dyDescent="0.35">
      <c r="A177" t="s">
        <v>945</v>
      </c>
      <c r="B177" t="s">
        <v>960</v>
      </c>
      <c r="C177">
        <v>991.21</v>
      </c>
    </row>
    <row r="178" spans="1:6" x14ac:dyDescent="0.35">
      <c r="A178" t="s">
        <v>945</v>
      </c>
      <c r="B178" t="s">
        <v>961</v>
      </c>
      <c r="C178">
        <v>375.91</v>
      </c>
    </row>
    <row r="179" spans="1:6" x14ac:dyDescent="0.35">
      <c r="A179" t="s">
        <v>945</v>
      </c>
      <c r="B179" t="s">
        <v>946</v>
      </c>
      <c r="C179">
        <v>726.33</v>
      </c>
    </row>
    <row r="180" spans="1:6" x14ac:dyDescent="0.35">
      <c r="A180" t="s">
        <v>895</v>
      </c>
      <c r="B180" t="s">
        <v>947</v>
      </c>
      <c r="C180">
        <v>1025.96</v>
      </c>
    </row>
    <row r="181" spans="1:6" x14ac:dyDescent="0.35">
      <c r="A181" t="s">
        <v>886</v>
      </c>
      <c r="B181" t="s">
        <v>786</v>
      </c>
      <c r="C181">
        <v>-0.27</v>
      </c>
    </row>
    <row r="182" spans="1:6" x14ac:dyDescent="0.35">
      <c r="A182" t="s">
        <v>886</v>
      </c>
      <c r="B182" t="s">
        <v>887</v>
      </c>
      <c r="C182">
        <v>4200</v>
      </c>
    </row>
    <row r="183" spans="1:6" x14ac:dyDescent="0.35">
      <c r="A183" t="s">
        <v>1004</v>
      </c>
      <c r="B183" t="s">
        <v>1066</v>
      </c>
      <c r="C183">
        <v>1000</v>
      </c>
    </row>
    <row r="184" spans="1:6" x14ac:dyDescent="0.35">
      <c r="A184" t="s">
        <v>1004</v>
      </c>
      <c r="B184" t="s">
        <v>1068</v>
      </c>
      <c r="C184">
        <v>-1000</v>
      </c>
    </row>
    <row r="185" spans="1:6" x14ac:dyDescent="0.35">
      <c r="A185" t="s">
        <v>978</v>
      </c>
      <c r="B185" t="s">
        <v>409</v>
      </c>
      <c r="C185">
        <v>-4200</v>
      </c>
    </row>
    <row r="186" spans="1:6" x14ac:dyDescent="0.35">
      <c r="A186" t="s">
        <v>1005</v>
      </c>
      <c r="B186" t="s">
        <v>1069</v>
      </c>
      <c r="C186">
        <v>-1000</v>
      </c>
    </row>
    <row r="187" spans="1:6" x14ac:dyDescent="0.35">
      <c r="A187" t="s">
        <v>1005</v>
      </c>
      <c r="B187" t="s">
        <v>1036</v>
      </c>
      <c r="C187">
        <v>5500</v>
      </c>
    </row>
    <row r="188" spans="1:6" x14ac:dyDescent="0.35">
      <c r="A188" t="s">
        <v>1005</v>
      </c>
      <c r="B188" t="s">
        <v>1067</v>
      </c>
      <c r="C188">
        <v>1000</v>
      </c>
    </row>
    <row r="189" spans="1:6" x14ac:dyDescent="0.35">
      <c r="A189" t="s">
        <v>1015</v>
      </c>
      <c r="B189" t="s">
        <v>75</v>
      </c>
      <c r="C189">
        <v>-572.29</v>
      </c>
    </row>
    <row r="190" spans="1:6" x14ac:dyDescent="0.35">
      <c r="A190" t="s">
        <v>1015</v>
      </c>
      <c r="B190" t="s">
        <v>689</v>
      </c>
      <c r="C190">
        <v>-0.06</v>
      </c>
    </row>
    <row r="191" spans="1:6" x14ac:dyDescent="0.35">
      <c r="A191" t="s">
        <v>983</v>
      </c>
      <c r="B191" t="s">
        <v>23</v>
      </c>
      <c r="C191">
        <v>-2635.41</v>
      </c>
    </row>
    <row r="192" spans="1:6" x14ac:dyDescent="0.35">
      <c r="C192">
        <v>0</v>
      </c>
      <c r="D192">
        <f>SUM(C174:C191)</f>
        <v>4875.12</v>
      </c>
      <c r="E192">
        <f>SUM(C2:C191)</f>
        <v>153062.82999999996</v>
      </c>
      <c r="F192" t="s">
        <v>965</v>
      </c>
    </row>
    <row r="193" spans="1:3" x14ac:dyDescent="0.35">
      <c r="A193" t="s">
        <v>966</v>
      </c>
      <c r="B193" t="s">
        <v>1070</v>
      </c>
      <c r="C193">
        <v>-85</v>
      </c>
    </row>
    <row r="194" spans="1:3" x14ac:dyDescent="0.35">
      <c r="A194" t="s">
        <v>966</v>
      </c>
      <c r="B194" t="s">
        <v>1071</v>
      </c>
      <c r="C194">
        <v>717.24</v>
      </c>
    </row>
    <row r="195" spans="1:3" x14ac:dyDescent="0.35">
      <c r="A195" t="s">
        <v>966</v>
      </c>
      <c r="B195" t="s">
        <v>967</v>
      </c>
      <c r="C195">
        <v>7412</v>
      </c>
    </row>
    <row r="196" spans="1:3" x14ac:dyDescent="0.35">
      <c r="A196" t="s">
        <v>966</v>
      </c>
      <c r="B196" t="s">
        <v>256</v>
      </c>
      <c r="C196">
        <v>572.29</v>
      </c>
    </row>
    <row r="197" spans="1:3" x14ac:dyDescent="0.35">
      <c r="A197" t="s">
        <v>966</v>
      </c>
      <c r="B197" t="s">
        <v>1037</v>
      </c>
      <c r="C197">
        <v>1442.29</v>
      </c>
    </row>
    <row r="198" spans="1:3" x14ac:dyDescent="0.35">
      <c r="A198" t="s">
        <v>966</v>
      </c>
      <c r="B198" t="s">
        <v>1097</v>
      </c>
      <c r="C198">
        <v>85</v>
      </c>
    </row>
    <row r="199" spans="1:3" x14ac:dyDescent="0.35">
      <c r="A199" t="s">
        <v>999</v>
      </c>
      <c r="B199" t="s">
        <v>53</v>
      </c>
      <c r="C199">
        <v>-559.28</v>
      </c>
    </row>
    <row r="200" spans="1:3" x14ac:dyDescent="0.35">
      <c r="A200" t="s">
        <v>1000</v>
      </c>
      <c r="B200" t="s">
        <v>1038</v>
      </c>
      <c r="C200">
        <v>559.28</v>
      </c>
    </row>
    <row r="201" spans="1:3" x14ac:dyDescent="0.35">
      <c r="A201" t="s">
        <v>1060</v>
      </c>
      <c r="B201" t="s">
        <v>1094</v>
      </c>
      <c r="C201">
        <v>3250</v>
      </c>
    </row>
    <row r="202" spans="1:3" x14ac:dyDescent="0.35">
      <c r="A202" t="s">
        <v>1060</v>
      </c>
      <c r="B202" t="s">
        <v>1063</v>
      </c>
      <c r="C202">
        <v>251.31</v>
      </c>
    </row>
    <row r="203" spans="1:3" x14ac:dyDescent="0.35">
      <c r="A203" t="s">
        <v>1060</v>
      </c>
      <c r="B203" t="s">
        <v>1062</v>
      </c>
      <c r="C203">
        <v>-3251.31</v>
      </c>
    </row>
    <row r="204" spans="1:3" x14ac:dyDescent="0.35">
      <c r="A204" t="s">
        <v>1060</v>
      </c>
      <c r="B204" t="s">
        <v>1061</v>
      </c>
      <c r="C204">
        <v>-3250</v>
      </c>
    </row>
    <row r="205" spans="1:3" x14ac:dyDescent="0.35">
      <c r="A205" t="s">
        <v>1064</v>
      </c>
      <c r="B205" t="s">
        <v>1065</v>
      </c>
      <c r="C205">
        <v>-0.21</v>
      </c>
    </row>
    <row r="206" spans="1:3" x14ac:dyDescent="0.35">
      <c r="A206" t="s">
        <v>968</v>
      </c>
      <c r="B206" t="s">
        <v>969</v>
      </c>
      <c r="C206">
        <v>4200</v>
      </c>
    </row>
    <row r="207" spans="1:3" x14ac:dyDescent="0.35">
      <c r="A207" t="s">
        <v>1082</v>
      </c>
      <c r="B207" t="s">
        <v>1098</v>
      </c>
      <c r="C207">
        <v>1300</v>
      </c>
    </row>
    <row r="208" spans="1:3" x14ac:dyDescent="0.35">
      <c r="A208" t="s">
        <v>1084</v>
      </c>
      <c r="B208" t="s">
        <v>409</v>
      </c>
      <c r="C208">
        <v>-4200</v>
      </c>
    </row>
    <row r="209" spans="1:6" x14ac:dyDescent="0.35">
      <c r="A209" t="s">
        <v>973</v>
      </c>
      <c r="B209" t="s">
        <v>1096</v>
      </c>
      <c r="C209">
        <v>2486.83</v>
      </c>
    </row>
    <row r="210" spans="1:6" x14ac:dyDescent="0.35">
      <c r="A210" t="s">
        <v>973</v>
      </c>
      <c r="B210" t="s">
        <v>1095</v>
      </c>
      <c r="C210">
        <v>5500</v>
      </c>
    </row>
    <row r="211" spans="1:6" x14ac:dyDescent="0.35">
      <c r="C211">
        <v>0</v>
      </c>
      <c r="E211">
        <f>SUM(C2:C210)</f>
        <v>169493.26999999996</v>
      </c>
      <c r="F211" t="s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581"/>
  <sheetViews>
    <sheetView workbookViewId="0"/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76</v>
      </c>
      <c r="B2" t="s">
        <v>77</v>
      </c>
      <c r="C2">
        <v>80.11</v>
      </c>
    </row>
    <row r="3" spans="1:3" x14ac:dyDescent="0.35">
      <c r="A3" t="s">
        <v>64</v>
      </c>
      <c r="B3" t="s">
        <v>65</v>
      </c>
      <c r="C3">
        <v>1572.12</v>
      </c>
    </row>
    <row r="4" spans="1:3" x14ac:dyDescent="0.35">
      <c r="A4" t="s">
        <v>15</v>
      </c>
      <c r="B4" t="s">
        <v>78</v>
      </c>
      <c r="C4">
        <v>168.62</v>
      </c>
    </row>
    <row r="5" spans="1:3" x14ac:dyDescent="0.35">
      <c r="A5" t="s">
        <v>15</v>
      </c>
      <c r="B5" t="s">
        <v>16</v>
      </c>
      <c r="C5">
        <v>3</v>
      </c>
    </row>
    <row r="6" spans="1:3" x14ac:dyDescent="0.35">
      <c r="A6" t="s">
        <v>15</v>
      </c>
      <c r="B6" t="s">
        <v>45</v>
      </c>
      <c r="C6">
        <v>13.5</v>
      </c>
    </row>
    <row r="7" spans="1:3" x14ac:dyDescent="0.35">
      <c r="A7" t="s">
        <v>15</v>
      </c>
      <c r="B7" t="s">
        <v>66</v>
      </c>
      <c r="C7">
        <v>2840.44</v>
      </c>
    </row>
    <row r="8" spans="1:3" x14ac:dyDescent="0.35">
      <c r="A8" t="s">
        <v>58</v>
      </c>
      <c r="B8" t="s">
        <v>79</v>
      </c>
      <c r="C8">
        <v>6.84</v>
      </c>
    </row>
    <row r="9" spans="1:3" x14ac:dyDescent="0.35">
      <c r="A9" t="s">
        <v>58</v>
      </c>
      <c r="B9" t="s">
        <v>79</v>
      </c>
      <c r="C9">
        <v>8.1199999999999992</v>
      </c>
    </row>
    <row r="10" spans="1:3" x14ac:dyDescent="0.35">
      <c r="A10" t="s">
        <v>58</v>
      </c>
      <c r="B10" t="s">
        <v>68</v>
      </c>
      <c r="C10">
        <v>38.14</v>
      </c>
    </row>
    <row r="11" spans="1:3" x14ac:dyDescent="0.35">
      <c r="A11" t="s">
        <v>58</v>
      </c>
      <c r="B11" t="s">
        <v>67</v>
      </c>
      <c r="C11">
        <v>338.63</v>
      </c>
    </row>
    <row r="12" spans="1:3" x14ac:dyDescent="0.35">
      <c r="A12" t="s">
        <v>58</v>
      </c>
      <c r="B12" t="s">
        <v>59</v>
      </c>
      <c r="C12">
        <v>384.89</v>
      </c>
    </row>
    <row r="13" spans="1:3" x14ac:dyDescent="0.35">
      <c r="A13" t="s">
        <v>31</v>
      </c>
      <c r="B13" t="s">
        <v>74</v>
      </c>
      <c r="C13">
        <v>-38.46</v>
      </c>
    </row>
    <row r="14" spans="1:3" x14ac:dyDescent="0.35">
      <c r="A14" t="s">
        <v>31</v>
      </c>
      <c r="B14" t="s">
        <v>32</v>
      </c>
      <c r="C14">
        <v>8.01</v>
      </c>
    </row>
    <row r="15" spans="1:3" x14ac:dyDescent="0.35">
      <c r="A15" t="s">
        <v>24</v>
      </c>
      <c r="B15" t="s">
        <v>25</v>
      </c>
      <c r="C15">
        <v>136.68</v>
      </c>
    </row>
    <row r="16" spans="1:3" x14ac:dyDescent="0.35">
      <c r="A16" t="s">
        <v>24</v>
      </c>
      <c r="B16" t="s">
        <v>51</v>
      </c>
      <c r="C16">
        <v>31.93</v>
      </c>
    </row>
    <row r="17" spans="1:3" x14ac:dyDescent="0.35">
      <c r="A17" t="s">
        <v>24</v>
      </c>
      <c r="B17" t="s">
        <v>49</v>
      </c>
      <c r="C17">
        <v>100.07</v>
      </c>
    </row>
    <row r="18" spans="1:3" x14ac:dyDescent="0.35">
      <c r="A18" t="s">
        <v>24</v>
      </c>
      <c r="B18" t="s">
        <v>69</v>
      </c>
      <c r="C18">
        <v>262.95</v>
      </c>
    </row>
    <row r="19" spans="1:3" x14ac:dyDescent="0.35">
      <c r="A19" t="s">
        <v>24</v>
      </c>
      <c r="B19" t="s">
        <v>71</v>
      </c>
      <c r="C19">
        <v>15</v>
      </c>
    </row>
    <row r="20" spans="1:3" x14ac:dyDescent="0.35">
      <c r="A20" t="s">
        <v>26</v>
      </c>
      <c r="B20" t="s">
        <v>79</v>
      </c>
      <c r="C20">
        <v>16.989999999999998</v>
      </c>
    </row>
    <row r="21" spans="1:3" x14ac:dyDescent="0.35">
      <c r="A21" t="s">
        <v>26</v>
      </c>
      <c r="B21" t="s">
        <v>54</v>
      </c>
      <c r="C21">
        <v>24.97</v>
      </c>
    </row>
    <row r="22" spans="1:3" x14ac:dyDescent="0.35">
      <c r="A22" t="s">
        <v>26</v>
      </c>
      <c r="B22" t="s">
        <v>28</v>
      </c>
      <c r="C22">
        <v>1.97</v>
      </c>
    </row>
    <row r="23" spans="1:3" x14ac:dyDescent="0.35">
      <c r="A23" t="s">
        <v>26</v>
      </c>
      <c r="B23" t="s">
        <v>27</v>
      </c>
      <c r="C23">
        <v>8.8699999999999992</v>
      </c>
    </row>
    <row r="24" spans="1:3" x14ac:dyDescent="0.35">
      <c r="A24" t="s">
        <v>26</v>
      </c>
      <c r="B24" t="s">
        <v>67</v>
      </c>
      <c r="C24">
        <v>175.99</v>
      </c>
    </row>
    <row r="25" spans="1:3" x14ac:dyDescent="0.35">
      <c r="A25" t="s">
        <v>26</v>
      </c>
      <c r="B25" t="s">
        <v>72</v>
      </c>
      <c r="C25">
        <v>411</v>
      </c>
    </row>
    <row r="26" spans="1:3" x14ac:dyDescent="0.35">
      <c r="A26" t="s">
        <v>29</v>
      </c>
      <c r="B26" t="s">
        <v>27</v>
      </c>
      <c r="C26">
        <v>9.6199999999999992</v>
      </c>
    </row>
    <row r="27" spans="1:3" x14ac:dyDescent="0.35">
      <c r="A27" t="s">
        <v>29</v>
      </c>
      <c r="B27" t="s">
        <v>41</v>
      </c>
      <c r="C27">
        <v>91.46</v>
      </c>
    </row>
    <row r="28" spans="1:3" x14ac:dyDescent="0.35">
      <c r="A28" t="s">
        <v>29</v>
      </c>
      <c r="B28" t="s">
        <v>43</v>
      </c>
      <c r="C28">
        <v>44.95</v>
      </c>
    </row>
    <row r="29" spans="1:3" x14ac:dyDescent="0.35">
      <c r="A29" t="s">
        <v>30</v>
      </c>
      <c r="B29" t="s">
        <v>27</v>
      </c>
      <c r="C29">
        <v>7.8</v>
      </c>
    </row>
    <row r="30" spans="1:3" x14ac:dyDescent="0.35">
      <c r="A30" t="s">
        <v>38</v>
      </c>
      <c r="B30" t="s">
        <v>52</v>
      </c>
      <c r="C30">
        <v>4.71</v>
      </c>
    </row>
    <row r="31" spans="1:3" x14ac:dyDescent="0.35">
      <c r="A31" t="s">
        <v>38</v>
      </c>
      <c r="B31" t="s">
        <v>55</v>
      </c>
      <c r="C31">
        <v>8.6999999999999993</v>
      </c>
    </row>
    <row r="32" spans="1:3" x14ac:dyDescent="0.35">
      <c r="A32" t="s">
        <v>38</v>
      </c>
      <c r="B32" t="s">
        <v>57</v>
      </c>
      <c r="C32">
        <v>21.33</v>
      </c>
    </row>
    <row r="33" spans="1:3" x14ac:dyDescent="0.35">
      <c r="A33" t="s">
        <v>38</v>
      </c>
      <c r="B33" t="s">
        <v>42</v>
      </c>
      <c r="C33">
        <v>21.99</v>
      </c>
    </row>
    <row r="34" spans="1:3" x14ac:dyDescent="0.35">
      <c r="A34" t="s">
        <v>38</v>
      </c>
      <c r="B34" t="s">
        <v>39</v>
      </c>
      <c r="C34">
        <v>-63.73</v>
      </c>
    </row>
    <row r="35" spans="1:3" x14ac:dyDescent="0.35">
      <c r="A35" t="s">
        <v>38</v>
      </c>
      <c r="B35" t="s">
        <v>84</v>
      </c>
      <c r="C35">
        <v>1000</v>
      </c>
    </row>
    <row r="36" spans="1:3" x14ac:dyDescent="0.35">
      <c r="A36" t="s">
        <v>17</v>
      </c>
      <c r="B36" t="s">
        <v>18</v>
      </c>
      <c r="C36">
        <v>14.32</v>
      </c>
    </row>
    <row r="37" spans="1:3" x14ac:dyDescent="0.35">
      <c r="A37" t="s">
        <v>17</v>
      </c>
      <c r="B37" t="s">
        <v>18</v>
      </c>
      <c r="C37">
        <v>5.34</v>
      </c>
    </row>
    <row r="38" spans="1:3" x14ac:dyDescent="0.35">
      <c r="A38" t="s">
        <v>17</v>
      </c>
      <c r="B38" t="s">
        <v>18</v>
      </c>
      <c r="C38">
        <v>1.53</v>
      </c>
    </row>
    <row r="39" spans="1:3" x14ac:dyDescent="0.35">
      <c r="A39" t="s">
        <v>17</v>
      </c>
      <c r="B39" t="s">
        <v>18</v>
      </c>
      <c r="C39">
        <v>9.0299999999999994</v>
      </c>
    </row>
    <row r="40" spans="1:3" x14ac:dyDescent="0.35">
      <c r="A40" t="s">
        <v>33</v>
      </c>
      <c r="B40" t="s">
        <v>32</v>
      </c>
      <c r="C40">
        <v>5.78</v>
      </c>
    </row>
    <row r="41" spans="1:3" x14ac:dyDescent="0.35">
      <c r="A41" t="s">
        <v>4</v>
      </c>
      <c r="B41" t="s">
        <v>73</v>
      </c>
      <c r="C41">
        <v>15</v>
      </c>
    </row>
    <row r="42" spans="1:3" x14ac:dyDescent="0.35">
      <c r="A42" t="s">
        <v>4</v>
      </c>
      <c r="B42" t="s">
        <v>60</v>
      </c>
      <c r="C42">
        <v>980.01</v>
      </c>
    </row>
    <row r="43" spans="1:3" x14ac:dyDescent="0.35">
      <c r="A43" t="s">
        <v>4</v>
      </c>
      <c r="B43" t="s">
        <v>61</v>
      </c>
      <c r="C43">
        <v>549.08000000000004</v>
      </c>
    </row>
    <row r="44" spans="1:3" x14ac:dyDescent="0.35">
      <c r="A44" t="s">
        <v>4</v>
      </c>
      <c r="B44" t="s">
        <v>23</v>
      </c>
      <c r="C44">
        <v>-757.18</v>
      </c>
    </row>
    <row r="45" spans="1:3" x14ac:dyDescent="0.35">
      <c r="A45" t="s">
        <v>4</v>
      </c>
      <c r="B45" t="s">
        <v>5</v>
      </c>
      <c r="C45">
        <v>7412</v>
      </c>
    </row>
    <row r="46" spans="1:3" x14ac:dyDescent="0.35">
      <c r="A46" t="s">
        <v>4</v>
      </c>
      <c r="B46" t="s">
        <v>50</v>
      </c>
      <c r="C46">
        <v>0</v>
      </c>
    </row>
    <row r="47" spans="1:3" x14ac:dyDescent="0.35">
      <c r="A47" t="s">
        <v>4</v>
      </c>
      <c r="B47" t="s">
        <v>56</v>
      </c>
      <c r="C47">
        <v>8.99</v>
      </c>
    </row>
    <row r="48" spans="1:3" x14ac:dyDescent="0.35">
      <c r="A48" t="s">
        <v>4</v>
      </c>
      <c r="B48" t="s">
        <v>75</v>
      </c>
      <c r="C48">
        <v>-549.08000000000004</v>
      </c>
    </row>
    <row r="49" spans="1:6" x14ac:dyDescent="0.35">
      <c r="C49">
        <v>0</v>
      </c>
      <c r="D49">
        <f>SUM(C2:C48)</f>
        <v>15452.029999999999</v>
      </c>
      <c r="E49">
        <f>SUM(C2:C48)</f>
        <v>15452.029999999999</v>
      </c>
      <c r="F49" t="s">
        <v>6</v>
      </c>
    </row>
    <row r="50" spans="1:6" x14ac:dyDescent="0.35">
      <c r="A50" t="s">
        <v>19</v>
      </c>
      <c r="B50" t="s">
        <v>83</v>
      </c>
      <c r="C50">
        <v>-0.01</v>
      </c>
    </row>
    <row r="51" spans="1:6" x14ac:dyDescent="0.35">
      <c r="A51" t="s">
        <v>19</v>
      </c>
      <c r="B51" t="s">
        <v>40</v>
      </c>
      <c r="C51">
        <v>156</v>
      </c>
    </row>
    <row r="52" spans="1:6" x14ac:dyDescent="0.35">
      <c r="A52" t="s">
        <v>19</v>
      </c>
      <c r="B52" t="s">
        <v>32</v>
      </c>
      <c r="C52">
        <v>3.35</v>
      </c>
    </row>
    <row r="53" spans="1:6" x14ac:dyDescent="0.35">
      <c r="A53" t="s">
        <v>19</v>
      </c>
      <c r="B53" t="s">
        <v>34</v>
      </c>
      <c r="C53">
        <v>3.32</v>
      </c>
    </row>
    <row r="54" spans="1:6" x14ac:dyDescent="0.35">
      <c r="A54" t="s">
        <v>19</v>
      </c>
      <c r="B54" t="s">
        <v>20</v>
      </c>
      <c r="C54">
        <v>86.23</v>
      </c>
    </row>
    <row r="55" spans="1:6" x14ac:dyDescent="0.35">
      <c r="A55" t="s">
        <v>19</v>
      </c>
      <c r="B55" t="s">
        <v>35</v>
      </c>
      <c r="C55">
        <v>3</v>
      </c>
    </row>
    <row r="56" spans="1:6" x14ac:dyDescent="0.35">
      <c r="A56" t="s">
        <v>19</v>
      </c>
      <c r="B56" t="s">
        <v>36</v>
      </c>
      <c r="C56">
        <v>88.61</v>
      </c>
    </row>
    <row r="57" spans="1:6" x14ac:dyDescent="0.35">
      <c r="A57" t="s">
        <v>19</v>
      </c>
      <c r="B57" t="s">
        <v>44</v>
      </c>
      <c r="C57">
        <v>5</v>
      </c>
    </row>
    <row r="58" spans="1:6" x14ac:dyDescent="0.35">
      <c r="A58" t="s">
        <v>21</v>
      </c>
      <c r="B58" t="s">
        <v>22</v>
      </c>
      <c r="C58">
        <v>76.349999999999994</v>
      </c>
    </row>
    <row r="59" spans="1:6" x14ac:dyDescent="0.35">
      <c r="A59" t="s">
        <v>21</v>
      </c>
      <c r="B59" t="s">
        <v>37</v>
      </c>
      <c r="C59">
        <v>60.01</v>
      </c>
    </row>
    <row r="60" spans="1:6" x14ac:dyDescent="0.35">
      <c r="A60" t="s">
        <v>21</v>
      </c>
      <c r="B60" t="s">
        <v>32</v>
      </c>
      <c r="C60">
        <v>2.23</v>
      </c>
    </row>
    <row r="61" spans="1:6" x14ac:dyDescent="0.35">
      <c r="A61" t="s">
        <v>21</v>
      </c>
      <c r="B61" t="s">
        <v>80</v>
      </c>
      <c r="C61">
        <v>20</v>
      </c>
    </row>
    <row r="62" spans="1:6" x14ac:dyDescent="0.35">
      <c r="A62" t="s">
        <v>46</v>
      </c>
      <c r="B62" t="s">
        <v>45</v>
      </c>
      <c r="C62">
        <v>5</v>
      </c>
    </row>
    <row r="63" spans="1:6" x14ac:dyDescent="0.35">
      <c r="A63" t="s">
        <v>46</v>
      </c>
      <c r="B63" t="s">
        <v>53</v>
      </c>
      <c r="C63">
        <v>-682.6</v>
      </c>
    </row>
    <row r="64" spans="1:6" x14ac:dyDescent="0.35">
      <c r="A64" t="s">
        <v>46</v>
      </c>
      <c r="B64" t="s">
        <v>133</v>
      </c>
      <c r="C64">
        <v>4.2300000000000004</v>
      </c>
    </row>
    <row r="65" spans="1:3" x14ac:dyDescent="0.35">
      <c r="A65" t="s">
        <v>62</v>
      </c>
      <c r="B65" t="s">
        <v>79</v>
      </c>
      <c r="C65">
        <v>9.99</v>
      </c>
    </row>
    <row r="66" spans="1:3" x14ac:dyDescent="0.35">
      <c r="A66" t="s">
        <v>62</v>
      </c>
      <c r="B66" t="s">
        <v>128</v>
      </c>
      <c r="C66">
        <v>0.12</v>
      </c>
    </row>
    <row r="67" spans="1:3" x14ac:dyDescent="0.35">
      <c r="A67" t="s">
        <v>62</v>
      </c>
      <c r="B67" t="s">
        <v>70</v>
      </c>
      <c r="C67">
        <v>28.18</v>
      </c>
    </row>
    <row r="68" spans="1:3" x14ac:dyDescent="0.35">
      <c r="A68" t="s">
        <v>62</v>
      </c>
      <c r="B68" t="s">
        <v>63</v>
      </c>
      <c r="C68">
        <v>682.6</v>
      </c>
    </row>
    <row r="69" spans="1:3" x14ac:dyDescent="0.35">
      <c r="A69" t="s">
        <v>47</v>
      </c>
      <c r="B69" t="s">
        <v>169</v>
      </c>
      <c r="C69">
        <v>55.99</v>
      </c>
    </row>
    <row r="70" spans="1:3" x14ac:dyDescent="0.35">
      <c r="A70" t="s">
        <v>47</v>
      </c>
      <c r="B70" t="s">
        <v>18</v>
      </c>
      <c r="C70">
        <v>22.4</v>
      </c>
    </row>
    <row r="71" spans="1:3" x14ac:dyDescent="0.35">
      <c r="A71" t="s">
        <v>47</v>
      </c>
      <c r="B71" t="s">
        <v>92</v>
      </c>
      <c r="C71">
        <v>6</v>
      </c>
    </row>
    <row r="72" spans="1:3" x14ac:dyDescent="0.35">
      <c r="A72" t="s">
        <v>47</v>
      </c>
      <c r="B72" t="s">
        <v>48</v>
      </c>
      <c r="C72">
        <v>49</v>
      </c>
    </row>
    <row r="73" spans="1:3" x14ac:dyDescent="0.35">
      <c r="A73" t="s">
        <v>99</v>
      </c>
      <c r="B73" t="s">
        <v>170</v>
      </c>
      <c r="C73">
        <v>55</v>
      </c>
    </row>
    <row r="74" spans="1:3" x14ac:dyDescent="0.35">
      <c r="A74" t="s">
        <v>99</v>
      </c>
      <c r="B74" t="s">
        <v>110</v>
      </c>
      <c r="C74">
        <v>16.7</v>
      </c>
    </row>
    <row r="75" spans="1:3" x14ac:dyDescent="0.35">
      <c r="A75" t="s">
        <v>99</v>
      </c>
      <c r="B75" t="s">
        <v>100</v>
      </c>
      <c r="C75">
        <v>27.75</v>
      </c>
    </row>
    <row r="76" spans="1:3" x14ac:dyDescent="0.35">
      <c r="A76" t="s">
        <v>93</v>
      </c>
      <c r="B76" t="s">
        <v>160</v>
      </c>
      <c r="C76">
        <v>15</v>
      </c>
    </row>
    <row r="77" spans="1:3" x14ac:dyDescent="0.35">
      <c r="A77" t="s">
        <v>93</v>
      </c>
      <c r="B77" t="s">
        <v>144</v>
      </c>
      <c r="C77">
        <v>6.62</v>
      </c>
    </row>
    <row r="78" spans="1:3" x14ac:dyDescent="0.35">
      <c r="A78" t="s">
        <v>93</v>
      </c>
      <c r="B78" t="s">
        <v>143</v>
      </c>
      <c r="C78">
        <v>7.39</v>
      </c>
    </row>
    <row r="79" spans="1:3" x14ac:dyDescent="0.35">
      <c r="A79" t="s">
        <v>93</v>
      </c>
      <c r="B79" t="s">
        <v>18</v>
      </c>
      <c r="C79">
        <v>5.34</v>
      </c>
    </row>
    <row r="80" spans="1:3" x14ac:dyDescent="0.35">
      <c r="A80" t="s">
        <v>93</v>
      </c>
      <c r="B80" t="s">
        <v>18</v>
      </c>
      <c r="C80">
        <v>207.28</v>
      </c>
    </row>
    <row r="81" spans="1:3" x14ac:dyDescent="0.35">
      <c r="A81" t="s">
        <v>93</v>
      </c>
      <c r="B81" t="s">
        <v>16</v>
      </c>
      <c r="C81">
        <v>3</v>
      </c>
    </row>
    <row r="82" spans="1:3" x14ac:dyDescent="0.35">
      <c r="A82" t="s">
        <v>94</v>
      </c>
      <c r="B82" t="s">
        <v>95</v>
      </c>
      <c r="C82">
        <v>32.19</v>
      </c>
    </row>
    <row r="83" spans="1:3" x14ac:dyDescent="0.35">
      <c r="A83" t="s">
        <v>81</v>
      </c>
      <c r="B83" t="s">
        <v>82</v>
      </c>
      <c r="C83">
        <v>-0.03</v>
      </c>
    </row>
    <row r="84" spans="1:3" x14ac:dyDescent="0.35">
      <c r="A84" t="s">
        <v>81</v>
      </c>
      <c r="B84" t="s">
        <v>32</v>
      </c>
      <c r="C84">
        <v>8.01</v>
      </c>
    </row>
    <row r="85" spans="1:3" x14ac:dyDescent="0.35">
      <c r="A85" t="s">
        <v>10</v>
      </c>
      <c r="B85" t="s">
        <v>146</v>
      </c>
      <c r="C85">
        <v>29.53</v>
      </c>
    </row>
    <row r="86" spans="1:3" x14ac:dyDescent="0.35">
      <c r="A86" t="s">
        <v>10</v>
      </c>
      <c r="B86" t="s">
        <v>137</v>
      </c>
      <c r="C86">
        <v>86.24</v>
      </c>
    </row>
    <row r="87" spans="1:3" x14ac:dyDescent="0.35">
      <c r="A87" t="s">
        <v>10</v>
      </c>
      <c r="B87" t="s">
        <v>11</v>
      </c>
      <c r="C87">
        <v>42</v>
      </c>
    </row>
    <row r="88" spans="1:3" x14ac:dyDescent="0.35">
      <c r="A88" t="s">
        <v>10</v>
      </c>
      <c r="B88" t="s">
        <v>120</v>
      </c>
      <c r="C88">
        <v>8.92</v>
      </c>
    </row>
    <row r="89" spans="1:3" x14ac:dyDescent="0.35">
      <c r="A89" t="s">
        <v>10</v>
      </c>
      <c r="B89" t="s">
        <v>18</v>
      </c>
      <c r="C89">
        <v>-4.4000000000000004</v>
      </c>
    </row>
    <row r="90" spans="1:3" x14ac:dyDescent="0.35">
      <c r="A90" t="s">
        <v>10</v>
      </c>
      <c r="B90" t="s">
        <v>119</v>
      </c>
      <c r="C90">
        <v>6.62</v>
      </c>
    </row>
    <row r="91" spans="1:3" x14ac:dyDescent="0.35">
      <c r="A91" t="s">
        <v>10</v>
      </c>
      <c r="B91" t="s">
        <v>149</v>
      </c>
      <c r="C91">
        <v>155.68</v>
      </c>
    </row>
    <row r="92" spans="1:3" x14ac:dyDescent="0.35">
      <c r="A92" t="s">
        <v>10</v>
      </c>
      <c r="B92" t="s">
        <v>156</v>
      </c>
      <c r="C92">
        <v>156.46</v>
      </c>
    </row>
    <row r="93" spans="1:3" x14ac:dyDescent="0.35">
      <c r="A93" t="s">
        <v>111</v>
      </c>
      <c r="B93" t="s">
        <v>112</v>
      </c>
      <c r="C93">
        <v>3.97</v>
      </c>
    </row>
    <row r="94" spans="1:3" x14ac:dyDescent="0.35">
      <c r="A94" t="s">
        <v>111</v>
      </c>
      <c r="B94" t="s">
        <v>112</v>
      </c>
      <c r="C94">
        <v>49.62</v>
      </c>
    </row>
    <row r="95" spans="1:3" x14ac:dyDescent="0.35">
      <c r="A95" t="s">
        <v>125</v>
      </c>
      <c r="B95" t="s">
        <v>126</v>
      </c>
      <c r="C95">
        <v>7</v>
      </c>
    </row>
    <row r="96" spans="1:3" x14ac:dyDescent="0.35">
      <c r="A96" t="s">
        <v>125</v>
      </c>
      <c r="B96" t="s">
        <v>131</v>
      </c>
      <c r="C96">
        <v>92</v>
      </c>
    </row>
    <row r="97" spans="1:3" x14ac:dyDescent="0.35">
      <c r="A97" t="s">
        <v>157</v>
      </c>
      <c r="B97" t="s">
        <v>168</v>
      </c>
      <c r="C97">
        <v>20.2</v>
      </c>
    </row>
    <row r="98" spans="1:3" x14ac:dyDescent="0.35">
      <c r="A98" t="s">
        <v>157</v>
      </c>
      <c r="B98" t="s">
        <v>68</v>
      </c>
      <c r="C98">
        <v>92.25</v>
      </c>
    </row>
    <row r="99" spans="1:3" x14ac:dyDescent="0.35">
      <c r="A99" t="s">
        <v>7</v>
      </c>
      <c r="B99" t="s">
        <v>8</v>
      </c>
      <c r="C99">
        <v>9400</v>
      </c>
    </row>
    <row r="100" spans="1:3" x14ac:dyDescent="0.35">
      <c r="A100" t="s">
        <v>7</v>
      </c>
      <c r="B100" t="s">
        <v>114</v>
      </c>
      <c r="C100">
        <v>129</v>
      </c>
    </row>
    <row r="101" spans="1:3" x14ac:dyDescent="0.35">
      <c r="A101" t="s">
        <v>7</v>
      </c>
      <c r="B101" t="s">
        <v>114</v>
      </c>
      <c r="C101">
        <v>199</v>
      </c>
    </row>
    <row r="102" spans="1:3" x14ac:dyDescent="0.35">
      <c r="A102" t="s">
        <v>7</v>
      </c>
      <c r="B102" t="s">
        <v>113</v>
      </c>
      <c r="C102">
        <v>8.18</v>
      </c>
    </row>
    <row r="103" spans="1:3" x14ac:dyDescent="0.35">
      <c r="A103" t="s">
        <v>7</v>
      </c>
      <c r="B103" t="s">
        <v>132</v>
      </c>
      <c r="C103">
        <v>20.5</v>
      </c>
    </row>
    <row r="104" spans="1:3" x14ac:dyDescent="0.35">
      <c r="A104" t="s">
        <v>7</v>
      </c>
      <c r="B104" t="s">
        <v>161</v>
      </c>
      <c r="C104">
        <v>15</v>
      </c>
    </row>
    <row r="105" spans="1:3" x14ac:dyDescent="0.35">
      <c r="A105" t="s">
        <v>12</v>
      </c>
      <c r="B105" t="s">
        <v>13</v>
      </c>
      <c r="C105">
        <v>2838</v>
      </c>
    </row>
    <row r="106" spans="1:3" x14ac:dyDescent="0.35">
      <c r="A106" t="s">
        <v>12</v>
      </c>
      <c r="B106" t="s">
        <v>14</v>
      </c>
      <c r="C106">
        <v>495</v>
      </c>
    </row>
    <row r="107" spans="1:3" x14ac:dyDescent="0.35">
      <c r="A107" t="s">
        <v>12</v>
      </c>
      <c r="B107" t="s">
        <v>152</v>
      </c>
      <c r="C107">
        <v>5500</v>
      </c>
    </row>
    <row r="108" spans="1:3" x14ac:dyDescent="0.35">
      <c r="A108" t="s">
        <v>12</v>
      </c>
      <c r="B108" t="s">
        <v>174</v>
      </c>
      <c r="C108">
        <v>-9400</v>
      </c>
    </row>
    <row r="109" spans="1:3" x14ac:dyDescent="0.35">
      <c r="A109" t="s">
        <v>87</v>
      </c>
      <c r="B109" t="s">
        <v>175</v>
      </c>
      <c r="C109">
        <v>1000</v>
      </c>
    </row>
    <row r="110" spans="1:3" x14ac:dyDescent="0.35">
      <c r="A110" t="s">
        <v>87</v>
      </c>
      <c r="B110" t="s">
        <v>176</v>
      </c>
      <c r="C110">
        <v>2000</v>
      </c>
    </row>
    <row r="111" spans="1:3" x14ac:dyDescent="0.35">
      <c r="A111" t="s">
        <v>87</v>
      </c>
      <c r="B111" t="s">
        <v>65</v>
      </c>
      <c r="C111">
        <v>1572.12</v>
      </c>
    </row>
    <row r="112" spans="1:3" x14ac:dyDescent="0.35">
      <c r="A112" t="s">
        <v>87</v>
      </c>
      <c r="B112" t="s">
        <v>88</v>
      </c>
      <c r="C112">
        <v>417.96</v>
      </c>
    </row>
    <row r="113" spans="1:3" x14ac:dyDescent="0.35">
      <c r="A113" t="s">
        <v>87</v>
      </c>
      <c r="B113" t="s">
        <v>80</v>
      </c>
      <c r="C113">
        <v>20</v>
      </c>
    </row>
    <row r="114" spans="1:3" x14ac:dyDescent="0.35">
      <c r="A114" t="s">
        <v>87</v>
      </c>
      <c r="B114" t="s">
        <v>77</v>
      </c>
      <c r="C114">
        <v>80.19</v>
      </c>
    </row>
    <row r="115" spans="1:3" x14ac:dyDescent="0.35">
      <c r="A115" t="s">
        <v>96</v>
      </c>
      <c r="B115" t="s">
        <v>20</v>
      </c>
      <c r="C115">
        <v>156.24</v>
      </c>
    </row>
    <row r="116" spans="1:3" x14ac:dyDescent="0.35">
      <c r="A116" t="s">
        <v>96</v>
      </c>
      <c r="B116" t="s">
        <v>133</v>
      </c>
      <c r="C116">
        <v>9.8699999999999992</v>
      </c>
    </row>
    <row r="117" spans="1:3" x14ac:dyDescent="0.35">
      <c r="A117" t="s">
        <v>96</v>
      </c>
      <c r="B117" t="s">
        <v>133</v>
      </c>
      <c r="C117">
        <v>7.05</v>
      </c>
    </row>
    <row r="118" spans="1:3" x14ac:dyDescent="0.35">
      <c r="A118" t="s">
        <v>96</v>
      </c>
      <c r="B118" t="s">
        <v>36</v>
      </c>
      <c r="C118">
        <v>105.72</v>
      </c>
    </row>
    <row r="119" spans="1:3" x14ac:dyDescent="0.35">
      <c r="A119" t="s">
        <v>96</v>
      </c>
      <c r="B119" t="s">
        <v>78</v>
      </c>
      <c r="C119">
        <v>118.49</v>
      </c>
    </row>
    <row r="120" spans="1:3" x14ac:dyDescent="0.35">
      <c r="A120" t="s">
        <v>127</v>
      </c>
      <c r="B120" t="s">
        <v>162</v>
      </c>
      <c r="C120">
        <v>15</v>
      </c>
    </row>
    <row r="121" spans="1:3" x14ac:dyDescent="0.35">
      <c r="A121" t="s">
        <v>127</v>
      </c>
      <c r="B121" t="s">
        <v>66</v>
      </c>
      <c r="C121">
        <v>2840.44</v>
      </c>
    </row>
    <row r="122" spans="1:3" x14ac:dyDescent="0.35">
      <c r="A122" t="s">
        <v>127</v>
      </c>
      <c r="B122" t="s">
        <v>67</v>
      </c>
      <c r="C122">
        <v>322.27999999999997</v>
      </c>
    </row>
    <row r="123" spans="1:3" x14ac:dyDescent="0.35">
      <c r="A123" t="s">
        <v>127</v>
      </c>
      <c r="B123" t="s">
        <v>59</v>
      </c>
      <c r="C123">
        <v>307.52</v>
      </c>
    </row>
    <row r="124" spans="1:3" x14ac:dyDescent="0.35">
      <c r="A124" t="s">
        <v>127</v>
      </c>
      <c r="B124" t="s">
        <v>163</v>
      </c>
      <c r="C124">
        <v>203.44</v>
      </c>
    </row>
    <row r="125" spans="1:3" x14ac:dyDescent="0.35">
      <c r="A125" t="s">
        <v>127</v>
      </c>
      <c r="B125" t="s">
        <v>150</v>
      </c>
      <c r="C125">
        <v>195.25</v>
      </c>
    </row>
    <row r="126" spans="1:3" x14ac:dyDescent="0.35">
      <c r="A126" t="s">
        <v>127</v>
      </c>
      <c r="B126" t="s">
        <v>151</v>
      </c>
      <c r="C126">
        <v>136.74</v>
      </c>
    </row>
    <row r="127" spans="1:3" x14ac:dyDescent="0.35">
      <c r="A127" t="s">
        <v>127</v>
      </c>
      <c r="B127" t="s">
        <v>128</v>
      </c>
      <c r="C127">
        <v>0.28999999999999998</v>
      </c>
    </row>
    <row r="128" spans="1:3" x14ac:dyDescent="0.35">
      <c r="A128" t="s">
        <v>127</v>
      </c>
      <c r="B128" t="s">
        <v>128</v>
      </c>
      <c r="C128">
        <v>0.21</v>
      </c>
    </row>
    <row r="129" spans="1:3" x14ac:dyDescent="0.35">
      <c r="A129" t="s">
        <v>97</v>
      </c>
      <c r="B129" t="s">
        <v>72</v>
      </c>
      <c r="C129">
        <v>407.18</v>
      </c>
    </row>
    <row r="130" spans="1:3" x14ac:dyDescent="0.35">
      <c r="A130" t="s">
        <v>97</v>
      </c>
      <c r="B130" t="s">
        <v>95</v>
      </c>
      <c r="C130">
        <v>43.98</v>
      </c>
    </row>
    <row r="131" spans="1:3" x14ac:dyDescent="0.35">
      <c r="A131" t="s">
        <v>158</v>
      </c>
      <c r="B131" t="s">
        <v>178</v>
      </c>
      <c r="C131">
        <v>2201.7199999999998</v>
      </c>
    </row>
    <row r="132" spans="1:3" x14ac:dyDescent="0.35">
      <c r="A132" t="s">
        <v>158</v>
      </c>
      <c r="B132" t="s">
        <v>69</v>
      </c>
      <c r="C132">
        <v>262.95</v>
      </c>
    </row>
    <row r="133" spans="1:3" x14ac:dyDescent="0.35">
      <c r="A133" t="s">
        <v>159</v>
      </c>
      <c r="B133" t="s">
        <v>67</v>
      </c>
      <c r="C133">
        <v>164.23</v>
      </c>
    </row>
    <row r="134" spans="1:3" x14ac:dyDescent="0.35">
      <c r="A134" t="s">
        <v>159</v>
      </c>
      <c r="B134" t="s">
        <v>68</v>
      </c>
      <c r="C134">
        <v>49.81</v>
      </c>
    </row>
    <row r="135" spans="1:3" x14ac:dyDescent="0.35">
      <c r="A135" t="s">
        <v>121</v>
      </c>
      <c r="B135" t="s">
        <v>179</v>
      </c>
      <c r="C135">
        <v>270</v>
      </c>
    </row>
    <row r="136" spans="1:3" x14ac:dyDescent="0.35">
      <c r="A136" t="s">
        <v>121</v>
      </c>
      <c r="B136" t="s">
        <v>122</v>
      </c>
      <c r="C136">
        <v>73.55</v>
      </c>
    </row>
    <row r="137" spans="1:3" x14ac:dyDescent="0.35">
      <c r="A137" t="s">
        <v>121</v>
      </c>
      <c r="B137" t="s">
        <v>140</v>
      </c>
      <c r="C137">
        <v>42.13</v>
      </c>
    </row>
    <row r="138" spans="1:3" x14ac:dyDescent="0.35">
      <c r="A138" t="s">
        <v>121</v>
      </c>
      <c r="B138" t="s">
        <v>147</v>
      </c>
      <c r="C138">
        <v>-56.47</v>
      </c>
    </row>
    <row r="139" spans="1:3" x14ac:dyDescent="0.35">
      <c r="A139" t="s">
        <v>121</v>
      </c>
      <c r="B139" t="s">
        <v>79</v>
      </c>
      <c r="C139">
        <v>4.6399999999999997</v>
      </c>
    </row>
    <row r="140" spans="1:3" x14ac:dyDescent="0.35">
      <c r="A140" t="s">
        <v>115</v>
      </c>
      <c r="B140" t="s">
        <v>134</v>
      </c>
      <c r="C140">
        <v>6.05</v>
      </c>
    </row>
    <row r="141" spans="1:3" x14ac:dyDescent="0.35">
      <c r="A141" t="s">
        <v>115</v>
      </c>
      <c r="B141" t="s">
        <v>116</v>
      </c>
      <c r="C141">
        <v>19.190000000000001</v>
      </c>
    </row>
    <row r="142" spans="1:3" x14ac:dyDescent="0.35">
      <c r="A142" t="s">
        <v>115</v>
      </c>
      <c r="B142" t="s">
        <v>141</v>
      </c>
      <c r="C142">
        <v>4</v>
      </c>
    </row>
    <row r="143" spans="1:3" x14ac:dyDescent="0.35">
      <c r="A143" t="s">
        <v>129</v>
      </c>
      <c r="B143" t="s">
        <v>130</v>
      </c>
      <c r="C143">
        <v>298</v>
      </c>
    </row>
    <row r="144" spans="1:3" x14ac:dyDescent="0.35">
      <c r="A144" t="s">
        <v>129</v>
      </c>
      <c r="B144" t="s">
        <v>134</v>
      </c>
      <c r="C144">
        <v>6.16</v>
      </c>
    </row>
    <row r="145" spans="1:3" x14ac:dyDescent="0.35">
      <c r="A145" t="s">
        <v>129</v>
      </c>
      <c r="B145" t="s">
        <v>171</v>
      </c>
      <c r="C145">
        <v>5</v>
      </c>
    </row>
    <row r="146" spans="1:3" x14ac:dyDescent="0.35">
      <c r="A146" t="s">
        <v>135</v>
      </c>
      <c r="B146" t="s">
        <v>164</v>
      </c>
      <c r="C146">
        <v>15</v>
      </c>
    </row>
    <row r="147" spans="1:3" x14ac:dyDescent="0.35">
      <c r="A147" t="s">
        <v>135</v>
      </c>
      <c r="B147" t="s">
        <v>134</v>
      </c>
      <c r="C147">
        <v>6.23</v>
      </c>
    </row>
    <row r="148" spans="1:3" x14ac:dyDescent="0.35">
      <c r="A148" t="s">
        <v>135</v>
      </c>
      <c r="B148" t="s">
        <v>148</v>
      </c>
      <c r="C148">
        <v>31.74</v>
      </c>
    </row>
    <row r="149" spans="1:3" x14ac:dyDescent="0.35">
      <c r="A149" t="s">
        <v>135</v>
      </c>
      <c r="B149" t="s">
        <v>142</v>
      </c>
      <c r="C149">
        <v>14.37</v>
      </c>
    </row>
    <row r="150" spans="1:3" x14ac:dyDescent="0.35">
      <c r="A150" t="s">
        <v>101</v>
      </c>
      <c r="B150" t="s">
        <v>177</v>
      </c>
      <c r="C150">
        <v>2157</v>
      </c>
    </row>
    <row r="151" spans="1:3" x14ac:dyDescent="0.35">
      <c r="A151" t="s">
        <v>101</v>
      </c>
      <c r="B151" t="s">
        <v>165</v>
      </c>
      <c r="C151">
        <v>1</v>
      </c>
    </row>
    <row r="152" spans="1:3" x14ac:dyDescent="0.35">
      <c r="A152" t="s">
        <v>101</v>
      </c>
      <c r="B152" t="s">
        <v>39</v>
      </c>
      <c r="C152">
        <v>51.71</v>
      </c>
    </row>
    <row r="153" spans="1:3" x14ac:dyDescent="0.35">
      <c r="A153" t="s">
        <v>101</v>
      </c>
      <c r="B153" t="s">
        <v>102</v>
      </c>
      <c r="C153">
        <v>5.34</v>
      </c>
    </row>
    <row r="154" spans="1:3" x14ac:dyDescent="0.35">
      <c r="A154" t="s">
        <v>101</v>
      </c>
      <c r="B154" t="s">
        <v>138</v>
      </c>
      <c r="C154">
        <v>32.270000000000003</v>
      </c>
    </row>
    <row r="155" spans="1:3" x14ac:dyDescent="0.35">
      <c r="A155" t="s">
        <v>101</v>
      </c>
      <c r="B155" t="s">
        <v>138</v>
      </c>
      <c r="C155">
        <v>5.5</v>
      </c>
    </row>
    <row r="156" spans="1:3" x14ac:dyDescent="0.35">
      <c r="A156" t="s">
        <v>101</v>
      </c>
      <c r="B156" t="s">
        <v>172</v>
      </c>
      <c r="C156">
        <v>54.83</v>
      </c>
    </row>
    <row r="157" spans="1:3" x14ac:dyDescent="0.35">
      <c r="A157" t="s">
        <v>85</v>
      </c>
      <c r="B157" t="s">
        <v>82</v>
      </c>
      <c r="C157">
        <v>-0.03</v>
      </c>
    </row>
    <row r="158" spans="1:3" x14ac:dyDescent="0.35">
      <c r="A158" t="s">
        <v>85</v>
      </c>
      <c r="B158" t="s">
        <v>153</v>
      </c>
      <c r="C158">
        <v>4000</v>
      </c>
    </row>
    <row r="159" spans="1:3" x14ac:dyDescent="0.35">
      <c r="A159" t="s">
        <v>85</v>
      </c>
      <c r="B159" t="s">
        <v>166</v>
      </c>
      <c r="C159">
        <v>1199</v>
      </c>
    </row>
    <row r="160" spans="1:3" x14ac:dyDescent="0.35">
      <c r="A160" t="s">
        <v>85</v>
      </c>
      <c r="B160" t="s">
        <v>154</v>
      </c>
      <c r="C160">
        <v>485.1</v>
      </c>
    </row>
    <row r="161" spans="1:6" x14ac:dyDescent="0.35">
      <c r="A161" t="s">
        <v>85</v>
      </c>
      <c r="B161" t="s">
        <v>23</v>
      </c>
      <c r="C161">
        <v>-2157.69</v>
      </c>
    </row>
    <row r="162" spans="1:6" x14ac:dyDescent="0.35">
      <c r="A162" t="s">
        <v>85</v>
      </c>
      <c r="B162" t="s">
        <v>124</v>
      </c>
      <c r="C162">
        <v>180.08</v>
      </c>
    </row>
    <row r="163" spans="1:6" x14ac:dyDescent="0.35">
      <c r="A163" t="s">
        <v>85</v>
      </c>
      <c r="B163" t="s">
        <v>103</v>
      </c>
      <c r="C163">
        <v>20.21</v>
      </c>
    </row>
    <row r="164" spans="1:6" x14ac:dyDescent="0.35">
      <c r="A164" t="s">
        <v>85</v>
      </c>
      <c r="B164" t="s">
        <v>104</v>
      </c>
      <c r="C164">
        <v>6.63</v>
      </c>
    </row>
    <row r="165" spans="1:6" x14ac:dyDescent="0.35">
      <c r="A165" t="s">
        <v>85</v>
      </c>
      <c r="B165" t="s">
        <v>86</v>
      </c>
      <c r="C165">
        <v>7412</v>
      </c>
    </row>
    <row r="166" spans="1:6" x14ac:dyDescent="0.35">
      <c r="A166" t="s">
        <v>85</v>
      </c>
      <c r="B166" t="s">
        <v>145</v>
      </c>
      <c r="C166">
        <v>8.99</v>
      </c>
    </row>
    <row r="167" spans="1:6" x14ac:dyDescent="0.35">
      <c r="A167" t="s">
        <v>85</v>
      </c>
      <c r="B167" t="s">
        <v>75</v>
      </c>
      <c r="C167">
        <v>-485.1</v>
      </c>
    </row>
    <row r="168" spans="1:6" x14ac:dyDescent="0.35">
      <c r="C168">
        <v>0</v>
      </c>
      <c r="D168">
        <f>SUM(C50:C167)</f>
        <v>37375.130000000005</v>
      </c>
      <c r="E168">
        <f>SUM(C2:C167)</f>
        <v>52827.159999999996</v>
      </c>
      <c r="F168" t="s">
        <v>89</v>
      </c>
    </row>
    <row r="169" spans="1:6" x14ac:dyDescent="0.35">
      <c r="A169" t="s">
        <v>105</v>
      </c>
      <c r="B169" t="s">
        <v>117</v>
      </c>
      <c r="C169">
        <v>8.36</v>
      </c>
    </row>
    <row r="170" spans="1:6" x14ac:dyDescent="0.35">
      <c r="A170" t="s">
        <v>105</v>
      </c>
      <c r="B170" t="s">
        <v>106</v>
      </c>
      <c r="C170">
        <v>18.75</v>
      </c>
    </row>
    <row r="171" spans="1:6" x14ac:dyDescent="0.35">
      <c r="A171" t="s">
        <v>105</v>
      </c>
      <c r="B171" t="s">
        <v>107</v>
      </c>
      <c r="C171">
        <v>4.37</v>
      </c>
    </row>
    <row r="172" spans="1:6" x14ac:dyDescent="0.35">
      <c r="A172" t="s">
        <v>105</v>
      </c>
      <c r="B172" t="s">
        <v>108</v>
      </c>
      <c r="C172">
        <v>23.39</v>
      </c>
    </row>
    <row r="173" spans="1:6" x14ac:dyDescent="0.35">
      <c r="A173" t="s">
        <v>105</v>
      </c>
      <c r="B173" t="s">
        <v>109</v>
      </c>
      <c r="C173">
        <v>18.75</v>
      </c>
    </row>
    <row r="174" spans="1:6" x14ac:dyDescent="0.35">
      <c r="A174" t="s">
        <v>105</v>
      </c>
      <c r="B174" t="s">
        <v>274</v>
      </c>
      <c r="C174">
        <v>360</v>
      </c>
    </row>
    <row r="175" spans="1:6" x14ac:dyDescent="0.35">
      <c r="A175" t="s">
        <v>118</v>
      </c>
      <c r="B175" t="s">
        <v>79</v>
      </c>
      <c r="C175">
        <v>18.97</v>
      </c>
    </row>
    <row r="176" spans="1:6" x14ac:dyDescent="0.35">
      <c r="A176" t="s">
        <v>118</v>
      </c>
      <c r="B176" t="s">
        <v>136</v>
      </c>
      <c r="C176">
        <v>16.53</v>
      </c>
    </row>
    <row r="177" spans="1:3" x14ac:dyDescent="0.35">
      <c r="A177" t="s">
        <v>118</v>
      </c>
      <c r="B177" t="s">
        <v>116</v>
      </c>
      <c r="C177">
        <v>15.76</v>
      </c>
    </row>
    <row r="178" spans="1:3" x14ac:dyDescent="0.35">
      <c r="A178" t="s">
        <v>118</v>
      </c>
      <c r="B178" t="s">
        <v>136</v>
      </c>
      <c r="C178">
        <v>8.75</v>
      </c>
    </row>
    <row r="179" spans="1:3" x14ac:dyDescent="0.35">
      <c r="A179" t="s">
        <v>118</v>
      </c>
      <c r="B179" t="s">
        <v>116</v>
      </c>
      <c r="C179">
        <v>-6.6</v>
      </c>
    </row>
    <row r="180" spans="1:3" x14ac:dyDescent="0.35">
      <c r="A180" t="s">
        <v>139</v>
      </c>
      <c r="B180" t="s">
        <v>53</v>
      </c>
      <c r="C180">
        <v>-384</v>
      </c>
    </row>
    <row r="181" spans="1:3" x14ac:dyDescent="0.35">
      <c r="A181" t="s">
        <v>98</v>
      </c>
      <c r="B181" t="s">
        <v>123</v>
      </c>
      <c r="C181">
        <v>11.6</v>
      </c>
    </row>
    <row r="182" spans="1:3" x14ac:dyDescent="0.35">
      <c r="A182" t="s">
        <v>98</v>
      </c>
      <c r="B182" t="s">
        <v>18</v>
      </c>
      <c r="C182">
        <v>38.479999999999997</v>
      </c>
    </row>
    <row r="183" spans="1:3" x14ac:dyDescent="0.35">
      <c r="A183" t="s">
        <v>98</v>
      </c>
      <c r="B183" t="s">
        <v>18</v>
      </c>
      <c r="C183">
        <v>1.1000000000000001</v>
      </c>
    </row>
    <row r="184" spans="1:3" x14ac:dyDescent="0.35">
      <c r="A184" t="s">
        <v>90</v>
      </c>
      <c r="B184" t="s">
        <v>273</v>
      </c>
      <c r="C184">
        <v>133.25</v>
      </c>
    </row>
    <row r="185" spans="1:3" x14ac:dyDescent="0.35">
      <c r="A185" t="s">
        <v>90</v>
      </c>
      <c r="B185" t="s">
        <v>169</v>
      </c>
      <c r="C185">
        <v>55.99</v>
      </c>
    </row>
    <row r="186" spans="1:3" x14ac:dyDescent="0.35">
      <c r="A186" t="s">
        <v>90</v>
      </c>
      <c r="B186" t="s">
        <v>91</v>
      </c>
      <c r="C186">
        <v>149</v>
      </c>
    </row>
    <row r="187" spans="1:3" x14ac:dyDescent="0.35">
      <c r="A187" t="s">
        <v>90</v>
      </c>
      <c r="B187" t="s">
        <v>117</v>
      </c>
      <c r="C187">
        <v>3.32</v>
      </c>
    </row>
    <row r="188" spans="1:3" x14ac:dyDescent="0.35">
      <c r="A188" t="s">
        <v>90</v>
      </c>
      <c r="B188" t="s">
        <v>155</v>
      </c>
      <c r="C188">
        <v>384</v>
      </c>
    </row>
    <row r="189" spans="1:3" x14ac:dyDescent="0.35">
      <c r="A189" t="s">
        <v>90</v>
      </c>
      <c r="B189" t="s">
        <v>167</v>
      </c>
      <c r="C189">
        <v>15</v>
      </c>
    </row>
    <row r="190" spans="1:3" x14ac:dyDescent="0.35">
      <c r="A190" t="s">
        <v>183</v>
      </c>
      <c r="B190" t="s">
        <v>124</v>
      </c>
      <c r="C190">
        <v>104.4</v>
      </c>
    </row>
    <row r="191" spans="1:3" x14ac:dyDescent="0.35">
      <c r="A191" t="s">
        <v>183</v>
      </c>
      <c r="B191" t="s">
        <v>95</v>
      </c>
      <c r="C191">
        <v>28.23</v>
      </c>
    </row>
    <row r="192" spans="1:3" x14ac:dyDescent="0.35">
      <c r="A192" t="s">
        <v>183</v>
      </c>
      <c r="B192" t="s">
        <v>133</v>
      </c>
      <c r="C192">
        <v>14.1</v>
      </c>
    </row>
    <row r="193" spans="1:3" x14ac:dyDescent="0.35">
      <c r="A193" t="s">
        <v>263</v>
      </c>
      <c r="B193" t="s">
        <v>128</v>
      </c>
      <c r="C193">
        <v>0.42</v>
      </c>
    </row>
    <row r="194" spans="1:3" x14ac:dyDescent="0.35">
      <c r="A194" t="s">
        <v>263</v>
      </c>
      <c r="B194" t="s">
        <v>170</v>
      </c>
      <c r="C194">
        <v>55</v>
      </c>
    </row>
    <row r="195" spans="1:3" x14ac:dyDescent="0.35">
      <c r="A195" t="s">
        <v>192</v>
      </c>
      <c r="B195" t="s">
        <v>275</v>
      </c>
      <c r="C195">
        <v>320</v>
      </c>
    </row>
    <row r="196" spans="1:3" x14ac:dyDescent="0.35">
      <c r="A196" t="s">
        <v>192</v>
      </c>
      <c r="B196" t="s">
        <v>134</v>
      </c>
      <c r="C196">
        <v>4.24</v>
      </c>
    </row>
    <row r="197" spans="1:3" x14ac:dyDescent="0.35">
      <c r="A197" t="s">
        <v>192</v>
      </c>
      <c r="B197" t="s">
        <v>134</v>
      </c>
      <c r="C197">
        <v>9.74</v>
      </c>
    </row>
    <row r="198" spans="1:3" x14ac:dyDescent="0.35">
      <c r="A198" t="s">
        <v>192</v>
      </c>
      <c r="B198" t="s">
        <v>124</v>
      </c>
      <c r="C198">
        <v>70.510000000000005</v>
      </c>
    </row>
    <row r="199" spans="1:3" x14ac:dyDescent="0.35">
      <c r="A199" t="s">
        <v>192</v>
      </c>
      <c r="B199" t="s">
        <v>203</v>
      </c>
      <c r="C199">
        <v>15.5</v>
      </c>
    </row>
    <row r="200" spans="1:3" x14ac:dyDescent="0.35">
      <c r="A200" t="s">
        <v>192</v>
      </c>
      <c r="B200" t="s">
        <v>193</v>
      </c>
      <c r="C200">
        <v>11</v>
      </c>
    </row>
    <row r="201" spans="1:3" x14ac:dyDescent="0.35">
      <c r="A201" t="s">
        <v>204</v>
      </c>
      <c r="B201" t="s">
        <v>112</v>
      </c>
      <c r="C201">
        <v>41.15</v>
      </c>
    </row>
    <row r="202" spans="1:3" x14ac:dyDescent="0.35">
      <c r="A202" t="s">
        <v>204</v>
      </c>
      <c r="B202" t="s">
        <v>238</v>
      </c>
      <c r="C202">
        <v>34.479999999999997</v>
      </c>
    </row>
    <row r="203" spans="1:3" x14ac:dyDescent="0.35">
      <c r="A203" t="s">
        <v>184</v>
      </c>
      <c r="B203" t="s">
        <v>231</v>
      </c>
      <c r="C203">
        <v>44.52</v>
      </c>
    </row>
    <row r="204" spans="1:3" x14ac:dyDescent="0.35">
      <c r="A204" t="s">
        <v>184</v>
      </c>
      <c r="B204" t="s">
        <v>20</v>
      </c>
      <c r="C204">
        <v>139.01</v>
      </c>
    </row>
    <row r="205" spans="1:3" x14ac:dyDescent="0.35">
      <c r="A205" t="s">
        <v>184</v>
      </c>
      <c r="B205" t="s">
        <v>206</v>
      </c>
      <c r="C205">
        <v>4</v>
      </c>
    </row>
    <row r="206" spans="1:3" x14ac:dyDescent="0.35">
      <c r="A206" t="s">
        <v>184</v>
      </c>
      <c r="B206" t="s">
        <v>195</v>
      </c>
      <c r="C206">
        <v>5.55</v>
      </c>
    </row>
    <row r="207" spans="1:3" x14ac:dyDescent="0.35">
      <c r="A207" t="s">
        <v>184</v>
      </c>
      <c r="B207" t="s">
        <v>205</v>
      </c>
      <c r="C207">
        <v>33.28</v>
      </c>
    </row>
    <row r="208" spans="1:3" x14ac:dyDescent="0.35">
      <c r="A208" t="s">
        <v>184</v>
      </c>
      <c r="B208" t="s">
        <v>18</v>
      </c>
      <c r="C208">
        <v>10.68</v>
      </c>
    </row>
    <row r="209" spans="1:3" x14ac:dyDescent="0.35">
      <c r="A209" t="s">
        <v>173</v>
      </c>
      <c r="B209" t="s">
        <v>82</v>
      </c>
      <c r="C209">
        <v>-0.03</v>
      </c>
    </row>
    <row r="210" spans="1:3" x14ac:dyDescent="0.35">
      <c r="A210" t="s">
        <v>173</v>
      </c>
      <c r="B210" t="s">
        <v>206</v>
      </c>
      <c r="C210">
        <v>4</v>
      </c>
    </row>
    <row r="211" spans="1:3" x14ac:dyDescent="0.35">
      <c r="A211" t="s">
        <v>173</v>
      </c>
      <c r="B211" t="s">
        <v>258</v>
      </c>
      <c r="C211">
        <v>15</v>
      </c>
    </row>
    <row r="212" spans="1:3" x14ac:dyDescent="0.35">
      <c r="A212" t="s">
        <v>173</v>
      </c>
      <c r="B212" t="s">
        <v>80</v>
      </c>
      <c r="C212">
        <v>20</v>
      </c>
    </row>
    <row r="213" spans="1:3" x14ac:dyDescent="0.35">
      <c r="A213" t="s">
        <v>207</v>
      </c>
      <c r="B213" t="s">
        <v>248</v>
      </c>
      <c r="C213">
        <v>339.15</v>
      </c>
    </row>
    <row r="214" spans="1:3" x14ac:dyDescent="0.35">
      <c r="A214" t="s">
        <v>207</v>
      </c>
      <c r="B214" t="s">
        <v>227</v>
      </c>
      <c r="C214">
        <v>139</v>
      </c>
    </row>
    <row r="215" spans="1:3" x14ac:dyDescent="0.35">
      <c r="A215" t="s">
        <v>207</v>
      </c>
      <c r="B215" t="s">
        <v>124</v>
      </c>
      <c r="C215">
        <v>115.97</v>
      </c>
    </row>
    <row r="216" spans="1:3" x14ac:dyDescent="0.35">
      <c r="A216" t="s">
        <v>207</v>
      </c>
      <c r="B216" t="s">
        <v>123</v>
      </c>
      <c r="C216">
        <v>11.27</v>
      </c>
    </row>
    <row r="217" spans="1:3" x14ac:dyDescent="0.35">
      <c r="A217" t="s">
        <v>207</v>
      </c>
      <c r="B217" t="s">
        <v>266</v>
      </c>
      <c r="C217">
        <v>3.27</v>
      </c>
    </row>
    <row r="218" spans="1:3" x14ac:dyDescent="0.35">
      <c r="A218" t="s">
        <v>207</v>
      </c>
      <c r="B218" t="s">
        <v>265</v>
      </c>
      <c r="C218">
        <v>3.65</v>
      </c>
    </row>
    <row r="219" spans="1:3" x14ac:dyDescent="0.35">
      <c r="A219" t="s">
        <v>207</v>
      </c>
      <c r="B219" t="s">
        <v>227</v>
      </c>
      <c r="C219">
        <v>139</v>
      </c>
    </row>
    <row r="220" spans="1:3" x14ac:dyDescent="0.35">
      <c r="A220" t="s">
        <v>251</v>
      </c>
      <c r="B220" t="s">
        <v>272</v>
      </c>
      <c r="C220">
        <v>-1000</v>
      </c>
    </row>
    <row r="221" spans="1:3" x14ac:dyDescent="0.35">
      <c r="A221" t="s">
        <v>251</v>
      </c>
      <c r="B221" t="s">
        <v>252</v>
      </c>
      <c r="C221">
        <v>1000</v>
      </c>
    </row>
    <row r="222" spans="1:3" x14ac:dyDescent="0.35">
      <c r="A222" t="s">
        <v>251</v>
      </c>
      <c r="B222" t="s">
        <v>68</v>
      </c>
      <c r="C222">
        <v>95.15</v>
      </c>
    </row>
    <row r="223" spans="1:3" x14ac:dyDescent="0.35">
      <c r="A223" t="s">
        <v>251</v>
      </c>
      <c r="B223" t="s">
        <v>261</v>
      </c>
      <c r="C223">
        <v>12</v>
      </c>
    </row>
    <row r="224" spans="1:3" x14ac:dyDescent="0.35">
      <c r="A224" t="s">
        <v>251</v>
      </c>
      <c r="B224" t="s">
        <v>133</v>
      </c>
      <c r="C224">
        <v>4.2300000000000004</v>
      </c>
    </row>
    <row r="225" spans="1:3" x14ac:dyDescent="0.35">
      <c r="A225" t="s">
        <v>251</v>
      </c>
      <c r="B225" t="s">
        <v>267</v>
      </c>
      <c r="C225">
        <v>7.14</v>
      </c>
    </row>
    <row r="226" spans="1:3" x14ac:dyDescent="0.35">
      <c r="A226" t="s">
        <v>251</v>
      </c>
      <c r="B226" t="s">
        <v>133</v>
      </c>
      <c r="C226">
        <v>4.2300000000000004</v>
      </c>
    </row>
    <row r="227" spans="1:3" x14ac:dyDescent="0.35">
      <c r="A227" t="s">
        <v>251</v>
      </c>
      <c r="B227" t="s">
        <v>262</v>
      </c>
      <c r="C227">
        <v>2</v>
      </c>
    </row>
    <row r="228" spans="1:3" x14ac:dyDescent="0.35">
      <c r="A228" t="s">
        <v>251</v>
      </c>
      <c r="B228" t="s">
        <v>264</v>
      </c>
      <c r="C228">
        <v>80.27</v>
      </c>
    </row>
    <row r="229" spans="1:3" x14ac:dyDescent="0.35">
      <c r="A229" t="s">
        <v>251</v>
      </c>
      <c r="B229" t="s">
        <v>267</v>
      </c>
      <c r="C229">
        <v>7.14</v>
      </c>
    </row>
    <row r="230" spans="1:3" x14ac:dyDescent="0.35">
      <c r="A230" t="s">
        <v>228</v>
      </c>
      <c r="B230" t="s">
        <v>253</v>
      </c>
      <c r="C230">
        <v>5500</v>
      </c>
    </row>
    <row r="231" spans="1:3" x14ac:dyDescent="0.35">
      <c r="A231" t="s">
        <v>228</v>
      </c>
      <c r="B231" t="s">
        <v>134</v>
      </c>
      <c r="C231">
        <v>6.43</v>
      </c>
    </row>
    <row r="232" spans="1:3" x14ac:dyDescent="0.35">
      <c r="A232" t="s">
        <v>228</v>
      </c>
      <c r="B232" t="s">
        <v>128</v>
      </c>
      <c r="C232">
        <v>0.12</v>
      </c>
    </row>
    <row r="233" spans="1:3" x14ac:dyDescent="0.35">
      <c r="A233" t="s">
        <v>228</v>
      </c>
      <c r="B233" t="s">
        <v>128</v>
      </c>
      <c r="C233">
        <v>0.12</v>
      </c>
    </row>
    <row r="234" spans="1:3" x14ac:dyDescent="0.35">
      <c r="A234" t="s">
        <v>228</v>
      </c>
      <c r="B234" t="s">
        <v>128</v>
      </c>
      <c r="C234">
        <v>2.4</v>
      </c>
    </row>
    <row r="235" spans="1:3" x14ac:dyDescent="0.35">
      <c r="A235" t="s">
        <v>208</v>
      </c>
      <c r="B235" t="s">
        <v>276</v>
      </c>
      <c r="C235">
        <v>330</v>
      </c>
    </row>
    <row r="236" spans="1:3" x14ac:dyDescent="0.35">
      <c r="A236" t="s">
        <v>208</v>
      </c>
      <c r="B236" t="s">
        <v>257</v>
      </c>
      <c r="C236">
        <v>1572.12</v>
      </c>
    </row>
    <row r="237" spans="1:3" x14ac:dyDescent="0.35">
      <c r="A237" t="s">
        <v>208</v>
      </c>
      <c r="B237" t="s">
        <v>134</v>
      </c>
      <c r="C237">
        <v>6.49</v>
      </c>
    </row>
    <row r="238" spans="1:3" x14ac:dyDescent="0.35">
      <c r="A238" t="s">
        <v>208</v>
      </c>
      <c r="B238" t="s">
        <v>209</v>
      </c>
      <c r="C238">
        <v>72.819999999999993</v>
      </c>
    </row>
    <row r="239" spans="1:3" x14ac:dyDescent="0.35">
      <c r="A239" t="s">
        <v>208</v>
      </c>
      <c r="B239" t="s">
        <v>239</v>
      </c>
      <c r="C239">
        <v>895</v>
      </c>
    </row>
    <row r="240" spans="1:3" x14ac:dyDescent="0.35">
      <c r="A240" t="s">
        <v>185</v>
      </c>
      <c r="B240" t="s">
        <v>186</v>
      </c>
      <c r="C240">
        <v>3.84</v>
      </c>
    </row>
    <row r="241" spans="1:3" x14ac:dyDescent="0.35">
      <c r="A241" t="s">
        <v>187</v>
      </c>
      <c r="B241" t="s">
        <v>188</v>
      </c>
      <c r="C241">
        <v>18.3</v>
      </c>
    </row>
    <row r="242" spans="1:3" x14ac:dyDescent="0.35">
      <c r="A242" t="s">
        <v>187</v>
      </c>
      <c r="B242" t="s">
        <v>78</v>
      </c>
      <c r="C242">
        <v>200.67</v>
      </c>
    </row>
    <row r="243" spans="1:3" x14ac:dyDescent="0.35">
      <c r="A243" t="s">
        <v>189</v>
      </c>
      <c r="B243" t="s">
        <v>259</v>
      </c>
      <c r="C243">
        <v>15</v>
      </c>
    </row>
    <row r="244" spans="1:3" x14ac:dyDescent="0.35">
      <c r="A244" t="s">
        <v>189</v>
      </c>
      <c r="B244" t="s">
        <v>249</v>
      </c>
      <c r="C244">
        <v>139.44</v>
      </c>
    </row>
    <row r="245" spans="1:3" x14ac:dyDescent="0.35">
      <c r="A245" t="s">
        <v>189</v>
      </c>
      <c r="B245" t="s">
        <v>190</v>
      </c>
      <c r="C245">
        <v>87.39</v>
      </c>
    </row>
    <row r="246" spans="1:3" x14ac:dyDescent="0.35">
      <c r="A246" t="s">
        <v>189</v>
      </c>
      <c r="B246" t="s">
        <v>16</v>
      </c>
      <c r="C246">
        <v>3</v>
      </c>
    </row>
    <row r="247" spans="1:3" x14ac:dyDescent="0.35">
      <c r="A247" t="s">
        <v>189</v>
      </c>
      <c r="B247" t="s">
        <v>206</v>
      </c>
      <c r="C247">
        <v>-4</v>
      </c>
    </row>
    <row r="248" spans="1:3" x14ac:dyDescent="0.35">
      <c r="A248" t="s">
        <v>189</v>
      </c>
      <c r="B248" t="s">
        <v>267</v>
      </c>
      <c r="C248">
        <v>7.14</v>
      </c>
    </row>
    <row r="249" spans="1:3" x14ac:dyDescent="0.35">
      <c r="A249" t="s">
        <v>189</v>
      </c>
      <c r="B249" t="s">
        <v>77</v>
      </c>
      <c r="C249">
        <v>80.19</v>
      </c>
    </row>
    <row r="250" spans="1:3" x14ac:dyDescent="0.35">
      <c r="A250" t="s">
        <v>221</v>
      </c>
      <c r="B250" t="s">
        <v>66</v>
      </c>
      <c r="C250">
        <v>2840.44</v>
      </c>
    </row>
    <row r="251" spans="1:3" x14ac:dyDescent="0.35">
      <c r="A251" t="s">
        <v>221</v>
      </c>
      <c r="B251" t="s">
        <v>59</v>
      </c>
      <c r="C251">
        <v>541.87</v>
      </c>
    </row>
    <row r="252" spans="1:3" x14ac:dyDescent="0.35">
      <c r="A252" t="s">
        <v>221</v>
      </c>
      <c r="B252" t="s">
        <v>222</v>
      </c>
      <c r="C252">
        <v>24</v>
      </c>
    </row>
    <row r="253" spans="1:3" x14ac:dyDescent="0.35">
      <c r="A253" t="s">
        <v>221</v>
      </c>
      <c r="B253" t="s">
        <v>223</v>
      </c>
      <c r="C253">
        <v>103.27</v>
      </c>
    </row>
    <row r="254" spans="1:3" x14ac:dyDescent="0.35">
      <c r="A254" t="s">
        <v>221</v>
      </c>
      <c r="B254" t="s">
        <v>232</v>
      </c>
      <c r="C254">
        <v>97.25</v>
      </c>
    </row>
    <row r="255" spans="1:3" x14ac:dyDescent="0.35">
      <c r="A255" t="s">
        <v>221</v>
      </c>
      <c r="B255" t="s">
        <v>240</v>
      </c>
      <c r="C255">
        <v>36.659999999999997</v>
      </c>
    </row>
    <row r="256" spans="1:3" x14ac:dyDescent="0.35">
      <c r="A256" t="s">
        <v>196</v>
      </c>
      <c r="B256" t="s">
        <v>277</v>
      </c>
      <c r="C256">
        <v>2193.73</v>
      </c>
    </row>
    <row r="257" spans="1:3" x14ac:dyDescent="0.35">
      <c r="A257" t="s">
        <v>196</v>
      </c>
      <c r="B257" t="s">
        <v>69</v>
      </c>
      <c r="C257">
        <v>262.95</v>
      </c>
    </row>
    <row r="258" spans="1:3" x14ac:dyDescent="0.35">
      <c r="A258" t="s">
        <v>196</v>
      </c>
      <c r="B258" t="s">
        <v>134</v>
      </c>
      <c r="C258">
        <v>6.38</v>
      </c>
    </row>
    <row r="259" spans="1:3" x14ac:dyDescent="0.35">
      <c r="A259" t="s">
        <v>196</v>
      </c>
      <c r="B259" t="s">
        <v>123</v>
      </c>
      <c r="C259">
        <v>11.6</v>
      </c>
    </row>
    <row r="260" spans="1:3" x14ac:dyDescent="0.35">
      <c r="A260" t="s">
        <v>196</v>
      </c>
      <c r="B260" t="s">
        <v>197</v>
      </c>
      <c r="C260">
        <v>85</v>
      </c>
    </row>
    <row r="261" spans="1:3" x14ac:dyDescent="0.35">
      <c r="A261" t="s">
        <v>210</v>
      </c>
      <c r="B261" t="s">
        <v>278</v>
      </c>
      <c r="C261">
        <v>265</v>
      </c>
    </row>
    <row r="262" spans="1:3" x14ac:dyDescent="0.35">
      <c r="A262" t="s">
        <v>210</v>
      </c>
      <c r="B262" t="s">
        <v>134</v>
      </c>
      <c r="C262">
        <v>6.27</v>
      </c>
    </row>
    <row r="263" spans="1:3" x14ac:dyDescent="0.35">
      <c r="A263" t="s">
        <v>210</v>
      </c>
      <c r="B263" t="s">
        <v>124</v>
      </c>
      <c r="C263">
        <v>130.83000000000001</v>
      </c>
    </row>
    <row r="264" spans="1:3" x14ac:dyDescent="0.35">
      <c r="A264" t="s">
        <v>210</v>
      </c>
      <c r="B264" t="s">
        <v>117</v>
      </c>
      <c r="C264">
        <v>5.94</v>
      </c>
    </row>
    <row r="265" spans="1:3" x14ac:dyDescent="0.35">
      <c r="A265" t="s">
        <v>210</v>
      </c>
      <c r="B265" t="s">
        <v>236</v>
      </c>
      <c r="C265">
        <v>-2263.89</v>
      </c>
    </row>
    <row r="266" spans="1:3" x14ac:dyDescent="0.35">
      <c r="A266" t="s">
        <v>210</v>
      </c>
      <c r="B266" t="s">
        <v>80</v>
      </c>
      <c r="C266">
        <v>20</v>
      </c>
    </row>
    <row r="267" spans="1:3" x14ac:dyDescent="0.35">
      <c r="A267" t="s">
        <v>211</v>
      </c>
      <c r="B267" t="s">
        <v>254</v>
      </c>
      <c r="C267">
        <v>2263.89</v>
      </c>
    </row>
    <row r="268" spans="1:3" x14ac:dyDescent="0.35">
      <c r="A268" t="s">
        <v>211</v>
      </c>
      <c r="B268" t="s">
        <v>123</v>
      </c>
      <c r="C268">
        <v>12.38</v>
      </c>
    </row>
    <row r="269" spans="1:3" x14ac:dyDescent="0.35">
      <c r="A269" t="s">
        <v>211</v>
      </c>
      <c r="B269" t="s">
        <v>117</v>
      </c>
      <c r="C269">
        <v>4.62</v>
      </c>
    </row>
    <row r="270" spans="1:3" x14ac:dyDescent="0.35">
      <c r="A270" t="s">
        <v>191</v>
      </c>
      <c r="B270" t="s">
        <v>212</v>
      </c>
      <c r="C270">
        <v>59.76</v>
      </c>
    </row>
    <row r="271" spans="1:3" x14ac:dyDescent="0.35">
      <c r="A271" t="s">
        <v>191</v>
      </c>
      <c r="B271" t="s">
        <v>20</v>
      </c>
      <c r="C271">
        <v>123.82</v>
      </c>
    </row>
    <row r="272" spans="1:3" x14ac:dyDescent="0.35">
      <c r="A272" t="s">
        <v>191</v>
      </c>
      <c r="B272" t="s">
        <v>212</v>
      </c>
      <c r="C272">
        <v>8.8000000000000007</v>
      </c>
    </row>
    <row r="273" spans="1:3" x14ac:dyDescent="0.35">
      <c r="A273" t="s">
        <v>217</v>
      </c>
      <c r="B273" t="s">
        <v>124</v>
      </c>
      <c r="C273">
        <v>245.21</v>
      </c>
    </row>
    <row r="274" spans="1:3" x14ac:dyDescent="0.35">
      <c r="A274" t="s">
        <v>217</v>
      </c>
      <c r="B274" t="s">
        <v>219</v>
      </c>
      <c r="C274">
        <v>115.71</v>
      </c>
    </row>
    <row r="275" spans="1:3" x14ac:dyDescent="0.35">
      <c r="A275" t="s">
        <v>217</v>
      </c>
      <c r="B275" t="s">
        <v>229</v>
      </c>
      <c r="C275">
        <v>47.96</v>
      </c>
    </row>
    <row r="276" spans="1:3" x14ac:dyDescent="0.35">
      <c r="A276" t="s">
        <v>194</v>
      </c>
      <c r="B276" t="s">
        <v>260</v>
      </c>
      <c r="C276">
        <v>15</v>
      </c>
    </row>
    <row r="277" spans="1:3" x14ac:dyDescent="0.35">
      <c r="A277" t="s">
        <v>194</v>
      </c>
      <c r="B277" t="s">
        <v>67</v>
      </c>
      <c r="C277">
        <v>224.57</v>
      </c>
    </row>
    <row r="278" spans="1:3" x14ac:dyDescent="0.35">
      <c r="A278" t="s">
        <v>194</v>
      </c>
      <c r="B278" t="s">
        <v>218</v>
      </c>
      <c r="C278">
        <v>52.88</v>
      </c>
    </row>
    <row r="279" spans="1:3" x14ac:dyDescent="0.35">
      <c r="A279" t="s">
        <v>194</v>
      </c>
      <c r="B279" t="s">
        <v>134</v>
      </c>
      <c r="C279">
        <v>6.46</v>
      </c>
    </row>
    <row r="280" spans="1:3" x14ac:dyDescent="0.35">
      <c r="A280" t="s">
        <v>194</v>
      </c>
      <c r="B280" t="s">
        <v>123</v>
      </c>
      <c r="C280">
        <v>8.56</v>
      </c>
    </row>
    <row r="281" spans="1:3" x14ac:dyDescent="0.35">
      <c r="A281" t="s">
        <v>194</v>
      </c>
      <c r="B281" t="s">
        <v>198</v>
      </c>
      <c r="C281">
        <v>99</v>
      </c>
    </row>
    <row r="282" spans="1:3" x14ac:dyDescent="0.35">
      <c r="A282" t="s">
        <v>194</v>
      </c>
      <c r="B282" t="s">
        <v>16</v>
      </c>
      <c r="C282">
        <v>3</v>
      </c>
    </row>
    <row r="283" spans="1:3" x14ac:dyDescent="0.35">
      <c r="A283" t="s">
        <v>194</v>
      </c>
      <c r="B283" t="s">
        <v>244</v>
      </c>
      <c r="C283">
        <v>895</v>
      </c>
    </row>
    <row r="284" spans="1:3" x14ac:dyDescent="0.35">
      <c r="A284" t="s">
        <v>194</v>
      </c>
      <c r="B284" t="s">
        <v>243</v>
      </c>
      <c r="C284">
        <v>849</v>
      </c>
    </row>
    <row r="285" spans="1:3" x14ac:dyDescent="0.35">
      <c r="A285" t="s">
        <v>194</v>
      </c>
      <c r="B285" t="s">
        <v>242</v>
      </c>
      <c r="C285">
        <v>849</v>
      </c>
    </row>
    <row r="286" spans="1:3" x14ac:dyDescent="0.35">
      <c r="A286" t="s">
        <v>194</v>
      </c>
      <c r="B286" t="s">
        <v>241</v>
      </c>
      <c r="C286">
        <v>285</v>
      </c>
    </row>
    <row r="287" spans="1:3" x14ac:dyDescent="0.35">
      <c r="A287" t="s">
        <v>213</v>
      </c>
      <c r="B287" t="s">
        <v>67</v>
      </c>
      <c r="C287">
        <v>252.77</v>
      </c>
    </row>
    <row r="288" spans="1:3" x14ac:dyDescent="0.35">
      <c r="A288" t="s">
        <v>213</v>
      </c>
      <c r="B288" t="s">
        <v>68</v>
      </c>
      <c r="C288">
        <v>132.47999999999999</v>
      </c>
    </row>
    <row r="289" spans="1:3" x14ac:dyDescent="0.35">
      <c r="A289" t="s">
        <v>213</v>
      </c>
      <c r="B289" t="s">
        <v>134</v>
      </c>
      <c r="C289">
        <v>5.9</v>
      </c>
    </row>
    <row r="290" spans="1:3" x14ac:dyDescent="0.35">
      <c r="A290" t="s">
        <v>213</v>
      </c>
      <c r="B290" t="s">
        <v>134</v>
      </c>
      <c r="C290">
        <v>6.49</v>
      </c>
    </row>
    <row r="291" spans="1:3" x14ac:dyDescent="0.35">
      <c r="A291" t="s">
        <v>213</v>
      </c>
      <c r="B291" t="s">
        <v>123</v>
      </c>
      <c r="C291">
        <v>12.65</v>
      </c>
    </row>
    <row r="292" spans="1:3" x14ac:dyDescent="0.35">
      <c r="A292" t="s">
        <v>180</v>
      </c>
      <c r="B292" t="s">
        <v>23</v>
      </c>
      <c r="C292">
        <v>-2425.12</v>
      </c>
    </row>
    <row r="293" spans="1:3" x14ac:dyDescent="0.35">
      <c r="A293" t="s">
        <v>180</v>
      </c>
      <c r="B293" t="s">
        <v>134</v>
      </c>
      <c r="C293">
        <v>6.41</v>
      </c>
    </row>
    <row r="294" spans="1:3" x14ac:dyDescent="0.35">
      <c r="A294" t="s">
        <v>180</v>
      </c>
      <c r="B294" t="s">
        <v>45</v>
      </c>
      <c r="C294">
        <v>38.5</v>
      </c>
    </row>
    <row r="295" spans="1:3" x14ac:dyDescent="0.35">
      <c r="A295" t="s">
        <v>180</v>
      </c>
      <c r="B295" t="s">
        <v>131</v>
      </c>
      <c r="C295">
        <v>72</v>
      </c>
    </row>
    <row r="296" spans="1:3" x14ac:dyDescent="0.35">
      <c r="A296" t="s">
        <v>180</v>
      </c>
      <c r="B296" t="s">
        <v>199</v>
      </c>
      <c r="C296">
        <v>86.55</v>
      </c>
    </row>
    <row r="297" spans="1:3" x14ac:dyDescent="0.35">
      <c r="A297" t="s">
        <v>180</v>
      </c>
      <c r="B297" t="s">
        <v>126</v>
      </c>
      <c r="C297">
        <v>7</v>
      </c>
    </row>
    <row r="298" spans="1:3" x14ac:dyDescent="0.35">
      <c r="A298" t="s">
        <v>180</v>
      </c>
      <c r="B298" t="s">
        <v>182</v>
      </c>
      <c r="C298">
        <v>7412</v>
      </c>
    </row>
    <row r="299" spans="1:3" x14ac:dyDescent="0.35">
      <c r="A299" t="s">
        <v>180</v>
      </c>
      <c r="B299" t="s">
        <v>181</v>
      </c>
      <c r="C299">
        <v>5000</v>
      </c>
    </row>
    <row r="300" spans="1:3" x14ac:dyDescent="0.35">
      <c r="A300" t="s">
        <v>220</v>
      </c>
      <c r="B300" t="s">
        <v>83</v>
      </c>
      <c r="C300">
        <v>-0.01</v>
      </c>
    </row>
    <row r="301" spans="1:3" x14ac:dyDescent="0.35">
      <c r="A301" t="s">
        <v>220</v>
      </c>
      <c r="B301" t="s">
        <v>255</v>
      </c>
      <c r="C301">
        <v>2425.12</v>
      </c>
    </row>
    <row r="302" spans="1:3" x14ac:dyDescent="0.35">
      <c r="A302" t="s">
        <v>220</v>
      </c>
      <c r="B302" t="s">
        <v>256</v>
      </c>
      <c r="C302">
        <v>447.65</v>
      </c>
    </row>
    <row r="303" spans="1:3" x14ac:dyDescent="0.35">
      <c r="A303" t="s">
        <v>220</v>
      </c>
      <c r="B303" t="s">
        <v>250</v>
      </c>
      <c r="C303">
        <v>187.4</v>
      </c>
    </row>
    <row r="304" spans="1:3" x14ac:dyDescent="0.35">
      <c r="A304" t="s">
        <v>220</v>
      </c>
      <c r="B304" t="s">
        <v>134</v>
      </c>
      <c r="C304">
        <v>6.53</v>
      </c>
    </row>
    <row r="305" spans="1:6" x14ac:dyDescent="0.35">
      <c r="A305" t="s">
        <v>220</v>
      </c>
      <c r="B305" t="s">
        <v>130</v>
      </c>
      <c r="C305">
        <v>204</v>
      </c>
    </row>
    <row r="306" spans="1:6" x14ac:dyDescent="0.35">
      <c r="A306" t="s">
        <v>220</v>
      </c>
      <c r="B306" t="s">
        <v>224</v>
      </c>
      <c r="C306">
        <v>4.05</v>
      </c>
    </row>
    <row r="307" spans="1:6" x14ac:dyDescent="0.35">
      <c r="A307" t="s">
        <v>220</v>
      </c>
      <c r="B307" t="s">
        <v>237</v>
      </c>
      <c r="C307">
        <v>8.99</v>
      </c>
    </row>
    <row r="308" spans="1:6" x14ac:dyDescent="0.35">
      <c r="A308" t="s">
        <v>220</v>
      </c>
      <c r="B308" t="s">
        <v>268</v>
      </c>
      <c r="C308">
        <v>7.96</v>
      </c>
    </row>
    <row r="309" spans="1:6" x14ac:dyDescent="0.35">
      <c r="A309" t="s">
        <v>220</v>
      </c>
      <c r="B309" t="s">
        <v>75</v>
      </c>
      <c r="C309">
        <v>-447.65</v>
      </c>
    </row>
    <row r="310" spans="1:6" x14ac:dyDescent="0.35">
      <c r="A310" t="s">
        <v>220</v>
      </c>
      <c r="B310" t="s">
        <v>279</v>
      </c>
      <c r="C310">
        <v>-618.57000000000005</v>
      </c>
    </row>
    <row r="311" spans="1:6" x14ac:dyDescent="0.35">
      <c r="C311">
        <v>0</v>
      </c>
      <c r="D311">
        <f>SUM(C169:C310)</f>
        <v>35149.510000000009</v>
      </c>
      <c r="E311">
        <f>SUM(C2:C310)</f>
        <v>87976.670000000071</v>
      </c>
      <c r="F311" t="s">
        <v>200</v>
      </c>
    </row>
    <row r="312" spans="1:6" x14ac:dyDescent="0.35">
      <c r="A312" t="s">
        <v>201</v>
      </c>
      <c r="B312" t="s">
        <v>225</v>
      </c>
      <c r="C312">
        <v>0.36</v>
      </c>
    </row>
    <row r="313" spans="1:6" x14ac:dyDescent="0.35">
      <c r="A313" t="s">
        <v>201</v>
      </c>
      <c r="B313" t="s">
        <v>225</v>
      </c>
      <c r="C313">
        <v>0.49</v>
      </c>
    </row>
    <row r="314" spans="1:6" x14ac:dyDescent="0.35">
      <c r="A314" t="s">
        <v>201</v>
      </c>
      <c r="B314" t="s">
        <v>202</v>
      </c>
      <c r="C314">
        <v>165.8</v>
      </c>
    </row>
    <row r="315" spans="1:6" x14ac:dyDescent="0.35">
      <c r="A315" t="s">
        <v>201</v>
      </c>
      <c r="B315" t="s">
        <v>134</v>
      </c>
      <c r="C315">
        <v>5.88</v>
      </c>
    </row>
    <row r="316" spans="1:6" x14ac:dyDescent="0.35">
      <c r="A316" t="s">
        <v>201</v>
      </c>
      <c r="B316" t="s">
        <v>336</v>
      </c>
      <c r="C316">
        <v>-5000</v>
      </c>
    </row>
    <row r="317" spans="1:6" x14ac:dyDescent="0.35">
      <c r="A317" t="s">
        <v>214</v>
      </c>
      <c r="B317" t="s">
        <v>215</v>
      </c>
      <c r="C317">
        <v>18.510000000000002</v>
      </c>
    </row>
    <row r="318" spans="1:6" x14ac:dyDescent="0.35">
      <c r="A318" t="s">
        <v>214</v>
      </c>
      <c r="B318" t="s">
        <v>134</v>
      </c>
      <c r="C318">
        <v>25.5</v>
      </c>
    </row>
    <row r="319" spans="1:6" x14ac:dyDescent="0.35">
      <c r="A319" t="s">
        <v>214</v>
      </c>
      <c r="B319" t="s">
        <v>230</v>
      </c>
      <c r="C319">
        <v>17.25</v>
      </c>
    </row>
    <row r="320" spans="1:6" x14ac:dyDescent="0.35">
      <c r="A320" t="s">
        <v>214</v>
      </c>
      <c r="B320" t="s">
        <v>216</v>
      </c>
      <c r="C320">
        <v>92.11</v>
      </c>
    </row>
    <row r="321" spans="1:3" x14ac:dyDescent="0.35">
      <c r="A321" t="s">
        <v>214</v>
      </c>
      <c r="B321" t="s">
        <v>226</v>
      </c>
      <c r="C321">
        <v>6</v>
      </c>
    </row>
    <row r="322" spans="1:3" x14ac:dyDescent="0.35">
      <c r="A322" t="s">
        <v>214</v>
      </c>
      <c r="B322" t="s">
        <v>233</v>
      </c>
      <c r="C322">
        <v>115.47</v>
      </c>
    </row>
    <row r="323" spans="1:3" x14ac:dyDescent="0.35">
      <c r="A323" t="s">
        <v>214</v>
      </c>
      <c r="B323" t="s">
        <v>245</v>
      </c>
      <c r="C323">
        <v>36.200000000000003</v>
      </c>
    </row>
    <row r="324" spans="1:3" x14ac:dyDescent="0.35">
      <c r="A324" t="s">
        <v>214</v>
      </c>
      <c r="B324" t="s">
        <v>269</v>
      </c>
      <c r="C324">
        <v>35.94</v>
      </c>
    </row>
    <row r="325" spans="1:3" x14ac:dyDescent="0.35">
      <c r="A325" t="s">
        <v>234</v>
      </c>
      <c r="B325" t="s">
        <v>235</v>
      </c>
      <c r="C325">
        <v>2.06</v>
      </c>
    </row>
    <row r="326" spans="1:3" x14ac:dyDescent="0.35">
      <c r="A326" t="s">
        <v>338</v>
      </c>
      <c r="B326" t="s">
        <v>339</v>
      </c>
      <c r="C326">
        <v>505</v>
      </c>
    </row>
    <row r="327" spans="1:3" x14ac:dyDescent="0.35">
      <c r="A327" t="s">
        <v>246</v>
      </c>
      <c r="B327" t="s">
        <v>169</v>
      </c>
      <c r="C327">
        <v>55.99</v>
      </c>
    </row>
    <row r="328" spans="1:3" x14ac:dyDescent="0.35">
      <c r="A328" t="s">
        <v>246</v>
      </c>
      <c r="B328" t="s">
        <v>247</v>
      </c>
      <c r="C328">
        <v>359.02</v>
      </c>
    </row>
    <row r="329" spans="1:3" x14ac:dyDescent="0.35">
      <c r="A329" t="s">
        <v>293</v>
      </c>
      <c r="B329" t="s">
        <v>304</v>
      </c>
      <c r="C329">
        <v>57.8</v>
      </c>
    </row>
    <row r="330" spans="1:3" x14ac:dyDescent="0.35">
      <c r="A330" t="s">
        <v>293</v>
      </c>
      <c r="B330" t="s">
        <v>294</v>
      </c>
      <c r="C330">
        <v>2</v>
      </c>
    </row>
    <row r="331" spans="1:3" x14ac:dyDescent="0.35">
      <c r="A331" t="s">
        <v>312</v>
      </c>
      <c r="B331" t="s">
        <v>132</v>
      </c>
      <c r="C331">
        <v>19.190000000000001</v>
      </c>
    </row>
    <row r="332" spans="1:3" x14ac:dyDescent="0.35">
      <c r="A332" t="s">
        <v>312</v>
      </c>
      <c r="B332" t="s">
        <v>70</v>
      </c>
      <c r="C332">
        <v>77.599999999999994</v>
      </c>
    </row>
    <row r="333" spans="1:3" x14ac:dyDescent="0.35">
      <c r="A333" t="s">
        <v>312</v>
      </c>
      <c r="B333" t="s">
        <v>170</v>
      </c>
      <c r="C333">
        <v>55</v>
      </c>
    </row>
    <row r="334" spans="1:3" x14ac:dyDescent="0.35">
      <c r="A334" t="s">
        <v>270</v>
      </c>
      <c r="B334" t="s">
        <v>271</v>
      </c>
      <c r="C334">
        <v>-0.02</v>
      </c>
    </row>
    <row r="335" spans="1:3" x14ac:dyDescent="0.35">
      <c r="A335" t="s">
        <v>270</v>
      </c>
      <c r="B335" t="s">
        <v>123</v>
      </c>
      <c r="C335">
        <v>5.8</v>
      </c>
    </row>
    <row r="336" spans="1:3" x14ac:dyDescent="0.35">
      <c r="A336" t="s">
        <v>301</v>
      </c>
      <c r="B336" t="s">
        <v>340</v>
      </c>
      <c r="C336">
        <v>475</v>
      </c>
    </row>
    <row r="337" spans="1:3" x14ac:dyDescent="0.35">
      <c r="A337" t="s">
        <v>301</v>
      </c>
      <c r="B337" t="s">
        <v>317</v>
      </c>
      <c r="C337">
        <v>55.98</v>
      </c>
    </row>
    <row r="338" spans="1:3" x14ac:dyDescent="0.35">
      <c r="A338" t="s">
        <v>301</v>
      </c>
      <c r="B338" t="s">
        <v>119</v>
      </c>
      <c r="C338">
        <v>10.93</v>
      </c>
    </row>
    <row r="339" spans="1:3" x14ac:dyDescent="0.35">
      <c r="A339" t="s">
        <v>295</v>
      </c>
      <c r="B339" t="s">
        <v>156</v>
      </c>
      <c r="C339">
        <v>166.54</v>
      </c>
    </row>
    <row r="340" spans="1:3" x14ac:dyDescent="0.35">
      <c r="A340" t="s">
        <v>295</v>
      </c>
      <c r="B340" t="s">
        <v>305</v>
      </c>
      <c r="C340">
        <v>112</v>
      </c>
    </row>
    <row r="341" spans="1:3" x14ac:dyDescent="0.35">
      <c r="A341" t="s">
        <v>295</v>
      </c>
      <c r="B341" t="s">
        <v>117</v>
      </c>
      <c r="C341">
        <v>3.32</v>
      </c>
    </row>
    <row r="342" spans="1:3" x14ac:dyDescent="0.35">
      <c r="A342" t="s">
        <v>295</v>
      </c>
      <c r="B342" t="s">
        <v>302</v>
      </c>
      <c r="C342">
        <v>18.61</v>
      </c>
    </row>
    <row r="343" spans="1:3" x14ac:dyDescent="0.35">
      <c r="A343" t="s">
        <v>306</v>
      </c>
      <c r="B343" t="s">
        <v>68</v>
      </c>
      <c r="C343">
        <v>67.81</v>
      </c>
    </row>
    <row r="344" spans="1:3" x14ac:dyDescent="0.35">
      <c r="A344" t="s">
        <v>306</v>
      </c>
      <c r="B344" t="s">
        <v>130</v>
      </c>
      <c r="C344">
        <v>520</v>
      </c>
    </row>
    <row r="345" spans="1:3" x14ac:dyDescent="0.35">
      <c r="A345" t="s">
        <v>306</v>
      </c>
      <c r="B345" t="s">
        <v>130</v>
      </c>
      <c r="C345">
        <v>104</v>
      </c>
    </row>
    <row r="346" spans="1:3" x14ac:dyDescent="0.35">
      <c r="A346" t="s">
        <v>296</v>
      </c>
      <c r="B346" t="s">
        <v>328</v>
      </c>
      <c r="C346">
        <v>5500</v>
      </c>
    </row>
    <row r="347" spans="1:3" x14ac:dyDescent="0.35">
      <c r="A347" t="s">
        <v>296</v>
      </c>
      <c r="B347" t="s">
        <v>313</v>
      </c>
      <c r="C347">
        <v>15.34</v>
      </c>
    </row>
    <row r="348" spans="1:3" x14ac:dyDescent="0.35">
      <c r="A348" t="s">
        <v>296</v>
      </c>
      <c r="B348" t="s">
        <v>117</v>
      </c>
      <c r="C348">
        <v>9.4600000000000009</v>
      </c>
    </row>
    <row r="349" spans="1:3" x14ac:dyDescent="0.35">
      <c r="A349" t="s">
        <v>318</v>
      </c>
      <c r="B349" t="s">
        <v>319</v>
      </c>
      <c r="C349">
        <v>64.069999999999993</v>
      </c>
    </row>
    <row r="350" spans="1:3" x14ac:dyDescent="0.35">
      <c r="A350" t="s">
        <v>289</v>
      </c>
      <c r="B350" t="s">
        <v>290</v>
      </c>
      <c r="C350">
        <v>-2.74</v>
      </c>
    </row>
    <row r="351" spans="1:3" x14ac:dyDescent="0.35">
      <c r="A351" t="s">
        <v>289</v>
      </c>
      <c r="B351" t="s">
        <v>290</v>
      </c>
      <c r="C351">
        <v>3.69</v>
      </c>
    </row>
    <row r="352" spans="1:3" x14ac:dyDescent="0.35">
      <c r="A352" t="s">
        <v>289</v>
      </c>
      <c r="B352" t="s">
        <v>307</v>
      </c>
      <c r="C352">
        <v>10</v>
      </c>
    </row>
    <row r="353" spans="1:3" x14ac:dyDescent="0.35">
      <c r="A353" t="s">
        <v>289</v>
      </c>
      <c r="B353" t="s">
        <v>290</v>
      </c>
      <c r="C353">
        <v>11.82</v>
      </c>
    </row>
    <row r="354" spans="1:3" x14ac:dyDescent="0.35">
      <c r="A354" t="s">
        <v>289</v>
      </c>
      <c r="B354" t="s">
        <v>308</v>
      </c>
      <c r="C354">
        <v>226.5</v>
      </c>
    </row>
    <row r="355" spans="1:3" x14ac:dyDescent="0.35">
      <c r="A355" t="s">
        <v>303</v>
      </c>
      <c r="B355" t="s">
        <v>341</v>
      </c>
      <c r="C355">
        <v>475</v>
      </c>
    </row>
    <row r="356" spans="1:3" x14ac:dyDescent="0.35">
      <c r="A356" t="s">
        <v>303</v>
      </c>
      <c r="B356" t="s">
        <v>257</v>
      </c>
      <c r="C356">
        <v>1572.12</v>
      </c>
    </row>
    <row r="357" spans="1:3" x14ac:dyDescent="0.35">
      <c r="A357" t="s">
        <v>303</v>
      </c>
      <c r="B357" t="s">
        <v>123</v>
      </c>
      <c r="C357">
        <v>3.04</v>
      </c>
    </row>
    <row r="358" spans="1:3" x14ac:dyDescent="0.35">
      <c r="A358" t="s">
        <v>303</v>
      </c>
      <c r="B358" t="s">
        <v>77</v>
      </c>
      <c r="C358">
        <v>80.19</v>
      </c>
    </row>
    <row r="359" spans="1:3" x14ac:dyDescent="0.35">
      <c r="A359" t="s">
        <v>297</v>
      </c>
      <c r="B359" t="s">
        <v>66</v>
      </c>
      <c r="C359">
        <v>2840.44</v>
      </c>
    </row>
    <row r="360" spans="1:3" x14ac:dyDescent="0.35">
      <c r="A360" t="s">
        <v>297</v>
      </c>
      <c r="B360" t="s">
        <v>298</v>
      </c>
      <c r="C360">
        <v>33.17</v>
      </c>
    </row>
    <row r="361" spans="1:3" x14ac:dyDescent="0.35">
      <c r="A361" t="s">
        <v>297</v>
      </c>
      <c r="B361" t="s">
        <v>320</v>
      </c>
      <c r="C361">
        <v>2.25</v>
      </c>
    </row>
    <row r="362" spans="1:3" x14ac:dyDescent="0.35">
      <c r="A362" t="s">
        <v>309</v>
      </c>
      <c r="B362" t="s">
        <v>131</v>
      </c>
      <c r="C362">
        <v>60</v>
      </c>
    </row>
    <row r="363" spans="1:3" x14ac:dyDescent="0.35">
      <c r="A363" t="s">
        <v>309</v>
      </c>
      <c r="B363" t="s">
        <v>314</v>
      </c>
      <c r="C363">
        <v>80</v>
      </c>
    </row>
    <row r="364" spans="1:3" x14ac:dyDescent="0.35">
      <c r="A364" t="s">
        <v>309</v>
      </c>
      <c r="B364" t="s">
        <v>315</v>
      </c>
      <c r="C364">
        <v>19.100000000000001</v>
      </c>
    </row>
    <row r="365" spans="1:3" x14ac:dyDescent="0.35">
      <c r="A365" t="s">
        <v>309</v>
      </c>
      <c r="B365" t="s">
        <v>334</v>
      </c>
      <c r="C365">
        <v>5.3</v>
      </c>
    </row>
    <row r="366" spans="1:3" x14ac:dyDescent="0.35">
      <c r="A366" t="s">
        <v>309</v>
      </c>
      <c r="B366" t="s">
        <v>78</v>
      </c>
      <c r="C366">
        <v>249.51</v>
      </c>
    </row>
    <row r="367" spans="1:3" x14ac:dyDescent="0.35">
      <c r="A367" t="s">
        <v>311</v>
      </c>
      <c r="B367" t="s">
        <v>316</v>
      </c>
      <c r="C367">
        <v>20.29</v>
      </c>
    </row>
    <row r="368" spans="1:3" x14ac:dyDescent="0.35">
      <c r="A368" t="s">
        <v>311</v>
      </c>
      <c r="B368" t="s">
        <v>45</v>
      </c>
      <c r="C368">
        <v>23.5</v>
      </c>
    </row>
    <row r="369" spans="1:3" x14ac:dyDescent="0.35">
      <c r="A369" t="s">
        <v>288</v>
      </c>
      <c r="B369" t="s">
        <v>23</v>
      </c>
      <c r="C369">
        <v>-2190.5700000000002</v>
      </c>
    </row>
    <row r="370" spans="1:3" x14ac:dyDescent="0.35">
      <c r="A370" t="s">
        <v>288</v>
      </c>
      <c r="B370" t="s">
        <v>224</v>
      </c>
      <c r="C370">
        <v>4.05</v>
      </c>
    </row>
    <row r="371" spans="1:3" x14ac:dyDescent="0.35">
      <c r="A371" t="s">
        <v>288</v>
      </c>
      <c r="B371" t="s">
        <v>117</v>
      </c>
      <c r="C371">
        <v>6.38</v>
      </c>
    </row>
    <row r="372" spans="1:3" x14ac:dyDescent="0.35">
      <c r="A372" t="s">
        <v>288</v>
      </c>
      <c r="B372" t="s">
        <v>236</v>
      </c>
      <c r="C372">
        <v>-3565.31</v>
      </c>
    </row>
    <row r="373" spans="1:3" x14ac:dyDescent="0.35">
      <c r="A373" t="s">
        <v>310</v>
      </c>
      <c r="B373" t="s">
        <v>226</v>
      </c>
      <c r="C373">
        <v>6</v>
      </c>
    </row>
    <row r="374" spans="1:3" x14ac:dyDescent="0.35">
      <c r="A374" t="s">
        <v>310</v>
      </c>
      <c r="B374" t="s">
        <v>226</v>
      </c>
      <c r="C374">
        <v>6</v>
      </c>
    </row>
    <row r="375" spans="1:3" x14ac:dyDescent="0.35">
      <c r="A375" t="s">
        <v>299</v>
      </c>
      <c r="B375" t="s">
        <v>300</v>
      </c>
      <c r="C375">
        <v>19.37</v>
      </c>
    </row>
    <row r="376" spans="1:3" x14ac:dyDescent="0.35">
      <c r="A376" t="s">
        <v>299</v>
      </c>
      <c r="B376" t="s">
        <v>316</v>
      </c>
      <c r="C376">
        <v>78.239999999999995</v>
      </c>
    </row>
    <row r="377" spans="1:3" x14ac:dyDescent="0.35">
      <c r="A377" t="s">
        <v>280</v>
      </c>
      <c r="B377" t="s">
        <v>342</v>
      </c>
      <c r="C377">
        <v>450</v>
      </c>
    </row>
    <row r="378" spans="1:3" x14ac:dyDescent="0.35">
      <c r="A378" t="s">
        <v>280</v>
      </c>
      <c r="B378" t="s">
        <v>343</v>
      </c>
      <c r="C378">
        <v>200</v>
      </c>
    </row>
    <row r="379" spans="1:3" x14ac:dyDescent="0.35">
      <c r="A379" t="s">
        <v>280</v>
      </c>
      <c r="B379" t="s">
        <v>277</v>
      </c>
      <c r="C379">
        <v>2193.73</v>
      </c>
    </row>
    <row r="380" spans="1:3" x14ac:dyDescent="0.35">
      <c r="A380" t="s">
        <v>280</v>
      </c>
      <c r="B380" t="s">
        <v>329</v>
      </c>
      <c r="C380">
        <v>2190.5700000000002</v>
      </c>
    </row>
    <row r="381" spans="1:3" x14ac:dyDescent="0.35">
      <c r="A381" t="s">
        <v>280</v>
      </c>
      <c r="B381" t="s">
        <v>330</v>
      </c>
      <c r="C381">
        <v>3565.31</v>
      </c>
    </row>
    <row r="382" spans="1:3" x14ac:dyDescent="0.35">
      <c r="A382" t="s">
        <v>280</v>
      </c>
      <c r="B382" t="s">
        <v>59</v>
      </c>
      <c r="C382">
        <v>472.12</v>
      </c>
    </row>
    <row r="383" spans="1:3" x14ac:dyDescent="0.35">
      <c r="A383" t="s">
        <v>280</v>
      </c>
      <c r="B383" t="s">
        <v>332</v>
      </c>
      <c r="C383">
        <v>262.95</v>
      </c>
    </row>
    <row r="384" spans="1:3" x14ac:dyDescent="0.35">
      <c r="A384" t="s">
        <v>280</v>
      </c>
      <c r="B384" t="s">
        <v>67</v>
      </c>
      <c r="C384">
        <v>46.79</v>
      </c>
    </row>
    <row r="385" spans="1:6" x14ac:dyDescent="0.35">
      <c r="A385" t="s">
        <v>280</v>
      </c>
      <c r="B385" t="s">
        <v>281</v>
      </c>
      <c r="C385">
        <v>7412</v>
      </c>
    </row>
    <row r="386" spans="1:6" x14ac:dyDescent="0.35">
      <c r="A386" t="s">
        <v>280</v>
      </c>
      <c r="B386" t="s">
        <v>344</v>
      </c>
      <c r="C386">
        <v>300</v>
      </c>
    </row>
    <row r="387" spans="1:6" x14ac:dyDescent="0.35">
      <c r="A387" t="s">
        <v>333</v>
      </c>
      <c r="B387" t="s">
        <v>68</v>
      </c>
      <c r="C387">
        <v>19.79</v>
      </c>
    </row>
    <row r="388" spans="1:6" x14ac:dyDescent="0.35">
      <c r="A388" t="s">
        <v>333</v>
      </c>
      <c r="B388" t="s">
        <v>67</v>
      </c>
      <c r="C388">
        <v>167.2</v>
      </c>
    </row>
    <row r="389" spans="1:6" x14ac:dyDescent="0.35">
      <c r="A389" t="s">
        <v>291</v>
      </c>
      <c r="B389" t="s">
        <v>323</v>
      </c>
      <c r="C389">
        <v>216.82</v>
      </c>
    </row>
    <row r="390" spans="1:6" x14ac:dyDescent="0.35">
      <c r="A390" t="s">
        <v>291</v>
      </c>
      <c r="B390" t="s">
        <v>198</v>
      </c>
      <c r="C390">
        <v>-134.97</v>
      </c>
    </row>
    <row r="391" spans="1:6" x14ac:dyDescent="0.35">
      <c r="A391" t="s">
        <v>292</v>
      </c>
      <c r="B391" t="s">
        <v>334</v>
      </c>
      <c r="C391">
        <v>5.3</v>
      </c>
    </row>
    <row r="392" spans="1:6" x14ac:dyDescent="0.35">
      <c r="A392" t="s">
        <v>292</v>
      </c>
      <c r="B392" t="s">
        <v>199</v>
      </c>
      <c r="C392">
        <v>31.92</v>
      </c>
    </row>
    <row r="393" spans="1:6" x14ac:dyDescent="0.35">
      <c r="A393" t="s">
        <v>337</v>
      </c>
      <c r="B393" t="s">
        <v>82</v>
      </c>
      <c r="C393">
        <v>-0.03</v>
      </c>
    </row>
    <row r="394" spans="1:6" x14ac:dyDescent="0.35">
      <c r="A394" t="s">
        <v>321</v>
      </c>
      <c r="B394" t="s">
        <v>75</v>
      </c>
      <c r="C394">
        <v>-762.98</v>
      </c>
    </row>
    <row r="395" spans="1:6" x14ac:dyDescent="0.35">
      <c r="A395" t="s">
        <v>321</v>
      </c>
      <c r="B395" t="s">
        <v>324</v>
      </c>
      <c r="C395">
        <v>145.77000000000001</v>
      </c>
    </row>
    <row r="396" spans="1:6" x14ac:dyDescent="0.35">
      <c r="A396" t="s">
        <v>321</v>
      </c>
      <c r="B396" t="s">
        <v>322</v>
      </c>
      <c r="C396">
        <v>8.99</v>
      </c>
    </row>
    <row r="397" spans="1:6" x14ac:dyDescent="0.35">
      <c r="C397">
        <v>0</v>
      </c>
      <c r="D397">
        <f>SUM(C312:C396)</f>
        <v>20650.63</v>
      </c>
      <c r="E397">
        <f>SUM(C2:C396)</f>
        <v>108627.30000000009</v>
      </c>
      <c r="F397" t="s">
        <v>282</v>
      </c>
    </row>
    <row r="398" spans="1:6" x14ac:dyDescent="0.35">
      <c r="A398" t="s">
        <v>331</v>
      </c>
      <c r="B398" t="s">
        <v>256</v>
      </c>
      <c r="C398">
        <v>762.98</v>
      </c>
    </row>
    <row r="399" spans="1:6" x14ac:dyDescent="0.35">
      <c r="A399" t="s">
        <v>325</v>
      </c>
      <c r="B399" t="s">
        <v>326</v>
      </c>
      <c r="C399">
        <v>40.770000000000003</v>
      </c>
    </row>
    <row r="400" spans="1:6" x14ac:dyDescent="0.35">
      <c r="A400" t="s">
        <v>325</v>
      </c>
      <c r="B400" t="s">
        <v>327</v>
      </c>
      <c r="C400">
        <v>476</v>
      </c>
    </row>
    <row r="401" spans="1:3" x14ac:dyDescent="0.35">
      <c r="A401" t="s">
        <v>403</v>
      </c>
      <c r="B401" t="s">
        <v>169</v>
      </c>
      <c r="C401">
        <v>55.99</v>
      </c>
    </row>
    <row r="402" spans="1:3" x14ac:dyDescent="0.35">
      <c r="A402" t="s">
        <v>387</v>
      </c>
      <c r="B402" t="s">
        <v>170</v>
      </c>
      <c r="C402">
        <v>55</v>
      </c>
    </row>
    <row r="403" spans="1:3" x14ac:dyDescent="0.35">
      <c r="A403" t="s">
        <v>387</v>
      </c>
      <c r="B403" t="s">
        <v>388</v>
      </c>
      <c r="C403">
        <v>231.11</v>
      </c>
    </row>
    <row r="404" spans="1:3" x14ac:dyDescent="0.35">
      <c r="A404" t="s">
        <v>335</v>
      </c>
      <c r="B404" t="s">
        <v>82</v>
      </c>
      <c r="C404">
        <v>-0.03</v>
      </c>
    </row>
    <row r="405" spans="1:3" x14ac:dyDescent="0.35">
      <c r="A405" t="s">
        <v>335</v>
      </c>
      <c r="B405" t="s">
        <v>378</v>
      </c>
      <c r="C405">
        <v>75</v>
      </c>
    </row>
    <row r="406" spans="1:3" x14ac:dyDescent="0.35">
      <c r="A406" t="s">
        <v>283</v>
      </c>
      <c r="B406" t="s">
        <v>227</v>
      </c>
      <c r="C406">
        <v>152</v>
      </c>
    </row>
    <row r="407" spans="1:3" x14ac:dyDescent="0.35">
      <c r="A407" t="s">
        <v>283</v>
      </c>
      <c r="B407" t="s">
        <v>227</v>
      </c>
      <c r="C407">
        <v>36</v>
      </c>
    </row>
    <row r="408" spans="1:3" x14ac:dyDescent="0.35">
      <c r="A408" t="s">
        <v>283</v>
      </c>
      <c r="B408" t="s">
        <v>117</v>
      </c>
      <c r="C408">
        <v>9.7799999999999994</v>
      </c>
    </row>
    <row r="409" spans="1:3" x14ac:dyDescent="0.35">
      <c r="A409" t="s">
        <v>283</v>
      </c>
      <c r="B409" t="s">
        <v>227</v>
      </c>
      <c r="C409">
        <v>152</v>
      </c>
    </row>
    <row r="410" spans="1:3" x14ac:dyDescent="0.35">
      <c r="A410" t="s">
        <v>283</v>
      </c>
      <c r="B410" t="s">
        <v>284</v>
      </c>
      <c r="C410">
        <v>3000</v>
      </c>
    </row>
    <row r="411" spans="1:3" x14ac:dyDescent="0.35">
      <c r="A411" t="s">
        <v>283</v>
      </c>
      <c r="B411" t="s">
        <v>382</v>
      </c>
      <c r="C411">
        <v>50.92</v>
      </c>
    </row>
    <row r="412" spans="1:3" x14ac:dyDescent="0.35">
      <c r="A412" t="s">
        <v>379</v>
      </c>
      <c r="B412" t="s">
        <v>227</v>
      </c>
      <c r="C412">
        <v>-34</v>
      </c>
    </row>
    <row r="413" spans="1:3" x14ac:dyDescent="0.35">
      <c r="A413" t="s">
        <v>406</v>
      </c>
      <c r="B413" t="s">
        <v>407</v>
      </c>
      <c r="C413">
        <v>-3000</v>
      </c>
    </row>
    <row r="414" spans="1:3" x14ac:dyDescent="0.35">
      <c r="A414" t="s">
        <v>369</v>
      </c>
      <c r="B414" t="s">
        <v>408</v>
      </c>
      <c r="C414">
        <v>2000</v>
      </c>
    </row>
    <row r="415" spans="1:3" x14ac:dyDescent="0.35">
      <c r="A415" t="s">
        <v>369</v>
      </c>
      <c r="B415" t="s">
        <v>224</v>
      </c>
      <c r="C415">
        <v>7.35</v>
      </c>
    </row>
    <row r="416" spans="1:3" x14ac:dyDescent="0.35">
      <c r="A416" t="s">
        <v>369</v>
      </c>
      <c r="B416" t="s">
        <v>370</v>
      </c>
      <c r="C416">
        <v>2.41</v>
      </c>
    </row>
    <row r="417" spans="1:3" x14ac:dyDescent="0.35">
      <c r="A417" t="s">
        <v>369</v>
      </c>
      <c r="B417" t="s">
        <v>68</v>
      </c>
      <c r="C417">
        <v>65.319999999999993</v>
      </c>
    </row>
    <row r="418" spans="1:3" x14ac:dyDescent="0.35">
      <c r="A418" t="s">
        <v>369</v>
      </c>
      <c r="B418" t="s">
        <v>413</v>
      </c>
      <c r="C418">
        <v>-2000</v>
      </c>
    </row>
    <row r="419" spans="1:3" x14ac:dyDescent="0.35">
      <c r="A419" t="s">
        <v>389</v>
      </c>
      <c r="B419" t="s">
        <v>390</v>
      </c>
      <c r="C419">
        <v>43.49</v>
      </c>
    </row>
    <row r="420" spans="1:3" x14ac:dyDescent="0.35">
      <c r="A420" t="s">
        <v>359</v>
      </c>
      <c r="B420" t="s">
        <v>360</v>
      </c>
      <c r="C420">
        <v>68.09</v>
      </c>
    </row>
    <row r="421" spans="1:3" x14ac:dyDescent="0.35">
      <c r="A421" t="s">
        <v>285</v>
      </c>
      <c r="B421" t="s">
        <v>287</v>
      </c>
      <c r="C421">
        <v>222.25</v>
      </c>
    </row>
    <row r="422" spans="1:3" x14ac:dyDescent="0.35">
      <c r="A422" t="s">
        <v>285</v>
      </c>
      <c r="B422" t="s">
        <v>286</v>
      </c>
      <c r="C422">
        <v>4200</v>
      </c>
    </row>
    <row r="423" spans="1:3" x14ac:dyDescent="0.35">
      <c r="A423" t="s">
        <v>285</v>
      </c>
      <c r="B423" t="s">
        <v>117</v>
      </c>
      <c r="C423">
        <v>10.34</v>
      </c>
    </row>
    <row r="424" spans="1:3" x14ac:dyDescent="0.35">
      <c r="A424" t="s">
        <v>285</v>
      </c>
      <c r="B424" t="s">
        <v>410</v>
      </c>
      <c r="C424">
        <v>415</v>
      </c>
    </row>
    <row r="425" spans="1:3" x14ac:dyDescent="0.35">
      <c r="A425" t="s">
        <v>396</v>
      </c>
      <c r="B425" t="s">
        <v>79</v>
      </c>
      <c r="C425">
        <v>25.37</v>
      </c>
    </row>
    <row r="426" spans="1:3" x14ac:dyDescent="0.35">
      <c r="A426" t="s">
        <v>396</v>
      </c>
      <c r="B426" t="s">
        <v>397</v>
      </c>
      <c r="C426">
        <v>5500</v>
      </c>
    </row>
    <row r="427" spans="1:3" x14ac:dyDescent="0.35">
      <c r="A427" t="s">
        <v>351</v>
      </c>
      <c r="B427" t="s">
        <v>363</v>
      </c>
      <c r="C427">
        <v>3</v>
      </c>
    </row>
    <row r="428" spans="1:3" x14ac:dyDescent="0.35">
      <c r="A428" t="s">
        <v>351</v>
      </c>
      <c r="B428" t="s">
        <v>362</v>
      </c>
      <c r="C428">
        <v>3</v>
      </c>
    </row>
    <row r="429" spans="1:3" x14ac:dyDescent="0.35">
      <c r="A429" t="s">
        <v>351</v>
      </c>
      <c r="B429" t="s">
        <v>376</v>
      </c>
      <c r="C429">
        <v>9</v>
      </c>
    </row>
    <row r="430" spans="1:3" x14ac:dyDescent="0.35">
      <c r="A430" t="s">
        <v>351</v>
      </c>
      <c r="B430" t="s">
        <v>380</v>
      </c>
      <c r="C430">
        <v>16.53</v>
      </c>
    </row>
    <row r="431" spans="1:3" x14ac:dyDescent="0.35">
      <c r="A431" t="s">
        <v>351</v>
      </c>
      <c r="B431" t="s">
        <v>361</v>
      </c>
      <c r="C431">
        <v>3</v>
      </c>
    </row>
    <row r="432" spans="1:3" x14ac:dyDescent="0.35">
      <c r="A432" t="s">
        <v>351</v>
      </c>
      <c r="B432" t="s">
        <v>74</v>
      </c>
      <c r="C432">
        <v>46.8</v>
      </c>
    </row>
    <row r="433" spans="1:3" x14ac:dyDescent="0.35">
      <c r="A433" t="s">
        <v>351</v>
      </c>
      <c r="B433" t="s">
        <v>257</v>
      </c>
      <c r="C433">
        <v>1572.12</v>
      </c>
    </row>
    <row r="434" spans="1:3" x14ac:dyDescent="0.35">
      <c r="A434" t="s">
        <v>351</v>
      </c>
      <c r="B434" t="s">
        <v>409</v>
      </c>
      <c r="C434">
        <v>-4200</v>
      </c>
    </row>
    <row r="435" spans="1:3" x14ac:dyDescent="0.35">
      <c r="A435" t="s">
        <v>371</v>
      </c>
      <c r="B435" t="s">
        <v>77</v>
      </c>
      <c r="C435">
        <v>80.17</v>
      </c>
    </row>
    <row r="436" spans="1:3" x14ac:dyDescent="0.35">
      <c r="A436" t="s">
        <v>371</v>
      </c>
      <c r="B436" t="s">
        <v>123</v>
      </c>
      <c r="C436">
        <v>11.6</v>
      </c>
    </row>
    <row r="437" spans="1:3" x14ac:dyDescent="0.35">
      <c r="A437" t="s">
        <v>371</v>
      </c>
      <c r="B437" t="s">
        <v>394</v>
      </c>
      <c r="C437">
        <v>294.51</v>
      </c>
    </row>
    <row r="438" spans="1:3" x14ac:dyDescent="0.35">
      <c r="A438" t="s">
        <v>371</v>
      </c>
      <c r="B438" t="s">
        <v>66</v>
      </c>
      <c r="C438">
        <v>2840.44</v>
      </c>
    </row>
    <row r="439" spans="1:3" x14ac:dyDescent="0.35">
      <c r="A439" t="s">
        <v>352</v>
      </c>
      <c r="B439" t="s">
        <v>78</v>
      </c>
      <c r="C439">
        <v>179.51</v>
      </c>
    </row>
    <row r="440" spans="1:3" x14ac:dyDescent="0.35">
      <c r="A440" t="s">
        <v>352</v>
      </c>
      <c r="B440" t="s">
        <v>80</v>
      </c>
      <c r="C440">
        <v>20</v>
      </c>
    </row>
    <row r="441" spans="1:3" x14ac:dyDescent="0.35">
      <c r="A441" t="s">
        <v>352</v>
      </c>
      <c r="B441" t="s">
        <v>79</v>
      </c>
      <c r="C441">
        <v>5.47</v>
      </c>
    </row>
    <row r="442" spans="1:3" x14ac:dyDescent="0.35">
      <c r="A442" t="s">
        <v>352</v>
      </c>
      <c r="B442" t="s">
        <v>404</v>
      </c>
      <c r="C442">
        <v>12.14</v>
      </c>
    </row>
    <row r="443" spans="1:3" x14ac:dyDescent="0.35">
      <c r="A443" t="s">
        <v>352</v>
      </c>
      <c r="B443" t="s">
        <v>377</v>
      </c>
      <c r="C443">
        <v>79.52</v>
      </c>
    </row>
    <row r="444" spans="1:3" x14ac:dyDescent="0.35">
      <c r="A444" t="s">
        <v>352</v>
      </c>
      <c r="B444" t="s">
        <v>18</v>
      </c>
      <c r="C444">
        <v>55.08</v>
      </c>
    </row>
    <row r="445" spans="1:3" x14ac:dyDescent="0.35">
      <c r="A445" t="s">
        <v>352</v>
      </c>
      <c r="B445" t="s">
        <v>134</v>
      </c>
      <c r="C445">
        <v>5.78</v>
      </c>
    </row>
    <row r="446" spans="1:3" x14ac:dyDescent="0.35">
      <c r="A446" t="s">
        <v>353</v>
      </c>
      <c r="B446" t="s">
        <v>383</v>
      </c>
      <c r="C446">
        <v>81.05</v>
      </c>
    </row>
    <row r="447" spans="1:3" x14ac:dyDescent="0.35">
      <c r="A447" t="s">
        <v>353</v>
      </c>
      <c r="B447" t="s">
        <v>20</v>
      </c>
      <c r="C447">
        <v>209.7</v>
      </c>
    </row>
    <row r="448" spans="1:3" x14ac:dyDescent="0.35">
      <c r="A448" t="s">
        <v>353</v>
      </c>
      <c r="B448" t="s">
        <v>36</v>
      </c>
      <c r="C448">
        <v>39.630000000000003</v>
      </c>
    </row>
    <row r="449" spans="1:3" x14ac:dyDescent="0.35">
      <c r="A449" t="s">
        <v>353</v>
      </c>
      <c r="B449" t="s">
        <v>117</v>
      </c>
      <c r="C449">
        <v>26.63</v>
      </c>
    </row>
    <row r="450" spans="1:3" x14ac:dyDescent="0.35">
      <c r="A450" t="s">
        <v>353</v>
      </c>
      <c r="B450" t="s">
        <v>117</v>
      </c>
      <c r="C450">
        <v>6.04</v>
      </c>
    </row>
    <row r="451" spans="1:3" x14ac:dyDescent="0.35">
      <c r="A451" t="s">
        <v>353</v>
      </c>
      <c r="B451" t="s">
        <v>134</v>
      </c>
      <c r="C451">
        <v>7</v>
      </c>
    </row>
    <row r="452" spans="1:3" x14ac:dyDescent="0.35">
      <c r="A452" t="s">
        <v>353</v>
      </c>
      <c r="B452" t="s">
        <v>134</v>
      </c>
      <c r="C452">
        <v>6.1</v>
      </c>
    </row>
    <row r="453" spans="1:3" x14ac:dyDescent="0.35">
      <c r="A453" t="s">
        <v>374</v>
      </c>
      <c r="B453" t="s">
        <v>375</v>
      </c>
      <c r="C453">
        <v>99.99</v>
      </c>
    </row>
    <row r="454" spans="1:3" x14ac:dyDescent="0.35">
      <c r="A454" t="s">
        <v>374</v>
      </c>
      <c r="B454" t="s">
        <v>395</v>
      </c>
      <c r="C454">
        <v>86</v>
      </c>
    </row>
    <row r="455" spans="1:3" x14ac:dyDescent="0.35">
      <c r="A455" t="s">
        <v>374</v>
      </c>
      <c r="B455" t="s">
        <v>59</v>
      </c>
      <c r="C455">
        <v>180.03</v>
      </c>
    </row>
    <row r="456" spans="1:3" x14ac:dyDescent="0.35">
      <c r="A456" t="s">
        <v>374</v>
      </c>
      <c r="B456" t="s">
        <v>400</v>
      </c>
      <c r="C456">
        <v>262.95</v>
      </c>
    </row>
    <row r="457" spans="1:3" x14ac:dyDescent="0.35">
      <c r="A457" t="s">
        <v>374</v>
      </c>
      <c r="B457" t="s">
        <v>402</v>
      </c>
      <c r="C457">
        <v>8</v>
      </c>
    </row>
    <row r="458" spans="1:3" x14ac:dyDescent="0.35">
      <c r="A458" t="s">
        <v>374</v>
      </c>
      <c r="B458" t="s">
        <v>411</v>
      </c>
      <c r="C458">
        <v>495</v>
      </c>
    </row>
    <row r="459" spans="1:3" x14ac:dyDescent="0.35">
      <c r="A459" t="s">
        <v>354</v>
      </c>
      <c r="B459" t="s">
        <v>16</v>
      </c>
      <c r="C459">
        <v>3</v>
      </c>
    </row>
    <row r="460" spans="1:3" x14ac:dyDescent="0.35">
      <c r="A460" t="s">
        <v>354</v>
      </c>
      <c r="B460" t="s">
        <v>67</v>
      </c>
      <c r="C460">
        <v>99.64</v>
      </c>
    </row>
    <row r="461" spans="1:3" x14ac:dyDescent="0.35">
      <c r="A461" t="s">
        <v>354</v>
      </c>
      <c r="B461" t="s">
        <v>67</v>
      </c>
      <c r="C461">
        <v>153.97</v>
      </c>
    </row>
    <row r="462" spans="1:3" x14ac:dyDescent="0.35">
      <c r="A462" t="s">
        <v>354</v>
      </c>
      <c r="B462" t="s">
        <v>277</v>
      </c>
      <c r="C462">
        <v>2193.73</v>
      </c>
    </row>
    <row r="463" spans="1:3" x14ac:dyDescent="0.35">
      <c r="A463" t="s">
        <v>372</v>
      </c>
      <c r="B463" t="s">
        <v>391</v>
      </c>
      <c r="C463">
        <v>43.04</v>
      </c>
    </row>
    <row r="464" spans="1:3" x14ac:dyDescent="0.35">
      <c r="A464" t="s">
        <v>372</v>
      </c>
      <c r="B464" t="s">
        <v>123</v>
      </c>
      <c r="C464">
        <v>8.56</v>
      </c>
    </row>
    <row r="465" spans="1:3" x14ac:dyDescent="0.35">
      <c r="A465" t="s">
        <v>364</v>
      </c>
      <c r="B465" t="s">
        <v>123</v>
      </c>
      <c r="C465">
        <v>14.92</v>
      </c>
    </row>
    <row r="466" spans="1:3" x14ac:dyDescent="0.35">
      <c r="A466" t="s">
        <v>364</v>
      </c>
      <c r="B466" t="s">
        <v>117</v>
      </c>
      <c r="C466">
        <v>6.04</v>
      </c>
    </row>
    <row r="467" spans="1:3" x14ac:dyDescent="0.35">
      <c r="A467" t="s">
        <v>364</v>
      </c>
      <c r="B467" t="s">
        <v>68</v>
      </c>
      <c r="C467">
        <v>21.2</v>
      </c>
    </row>
    <row r="468" spans="1:3" x14ac:dyDescent="0.35">
      <c r="A468" t="s">
        <v>373</v>
      </c>
      <c r="B468" t="s">
        <v>79</v>
      </c>
      <c r="C468">
        <v>8.6</v>
      </c>
    </row>
    <row r="469" spans="1:3" x14ac:dyDescent="0.35">
      <c r="A469" t="s">
        <v>373</v>
      </c>
      <c r="B469" t="s">
        <v>123</v>
      </c>
      <c r="C469">
        <v>14.37</v>
      </c>
    </row>
    <row r="470" spans="1:3" x14ac:dyDescent="0.35">
      <c r="A470" t="s">
        <v>355</v>
      </c>
      <c r="B470" t="s">
        <v>367</v>
      </c>
      <c r="C470">
        <v>143.13</v>
      </c>
    </row>
    <row r="471" spans="1:3" x14ac:dyDescent="0.35">
      <c r="A471" t="s">
        <v>355</v>
      </c>
      <c r="B471" t="s">
        <v>366</v>
      </c>
      <c r="C471">
        <v>8.94</v>
      </c>
    </row>
    <row r="472" spans="1:3" x14ac:dyDescent="0.35">
      <c r="A472" t="s">
        <v>355</v>
      </c>
      <c r="B472" t="s">
        <v>365</v>
      </c>
      <c r="C472">
        <v>3.36</v>
      </c>
    </row>
    <row r="473" spans="1:3" x14ac:dyDescent="0.35">
      <c r="A473" t="s">
        <v>355</v>
      </c>
      <c r="B473" t="s">
        <v>199</v>
      </c>
      <c r="C473">
        <v>44.99</v>
      </c>
    </row>
    <row r="474" spans="1:3" x14ac:dyDescent="0.35">
      <c r="A474" t="s">
        <v>355</v>
      </c>
      <c r="B474" t="s">
        <v>134</v>
      </c>
      <c r="C474">
        <v>6.77</v>
      </c>
    </row>
    <row r="475" spans="1:3" x14ac:dyDescent="0.35">
      <c r="A475" t="s">
        <v>355</v>
      </c>
      <c r="B475" t="s">
        <v>134</v>
      </c>
      <c r="C475">
        <v>6.48</v>
      </c>
    </row>
    <row r="476" spans="1:3" x14ac:dyDescent="0.35">
      <c r="A476" t="s">
        <v>355</v>
      </c>
      <c r="B476" t="s">
        <v>455</v>
      </c>
      <c r="C476">
        <v>68</v>
      </c>
    </row>
    <row r="477" spans="1:3" x14ac:dyDescent="0.35">
      <c r="A477" t="s">
        <v>381</v>
      </c>
      <c r="B477" t="s">
        <v>134</v>
      </c>
      <c r="C477">
        <v>6.21</v>
      </c>
    </row>
    <row r="478" spans="1:3" x14ac:dyDescent="0.35">
      <c r="A478" t="s">
        <v>381</v>
      </c>
      <c r="B478" t="s">
        <v>134</v>
      </c>
      <c r="C478">
        <v>8.5299999999999994</v>
      </c>
    </row>
    <row r="479" spans="1:3" x14ac:dyDescent="0.35">
      <c r="A479" t="s">
        <v>356</v>
      </c>
      <c r="B479" t="s">
        <v>412</v>
      </c>
      <c r="C479">
        <v>430</v>
      </c>
    </row>
    <row r="480" spans="1:3" x14ac:dyDescent="0.35">
      <c r="A480" t="s">
        <v>356</v>
      </c>
      <c r="B480" t="s">
        <v>357</v>
      </c>
      <c r="C480">
        <v>420</v>
      </c>
    </row>
    <row r="481" spans="1:6" x14ac:dyDescent="0.35">
      <c r="A481" t="s">
        <v>356</v>
      </c>
      <c r="B481" t="s">
        <v>384</v>
      </c>
      <c r="C481">
        <v>98.41</v>
      </c>
    </row>
    <row r="482" spans="1:6" x14ac:dyDescent="0.35">
      <c r="A482" t="s">
        <v>345</v>
      </c>
      <c r="B482" t="s">
        <v>271</v>
      </c>
      <c r="C482">
        <v>-0.02</v>
      </c>
    </row>
    <row r="483" spans="1:6" x14ac:dyDescent="0.35">
      <c r="A483" t="s">
        <v>345</v>
      </c>
      <c r="B483" t="s">
        <v>398</v>
      </c>
      <c r="C483">
        <v>1336.37</v>
      </c>
    </row>
    <row r="484" spans="1:6" x14ac:dyDescent="0.35">
      <c r="A484" t="s">
        <v>345</v>
      </c>
      <c r="B484" t="s">
        <v>399</v>
      </c>
      <c r="C484">
        <v>451.29</v>
      </c>
    </row>
    <row r="485" spans="1:6" x14ac:dyDescent="0.35">
      <c r="A485" t="s">
        <v>345</v>
      </c>
      <c r="B485" t="s">
        <v>23</v>
      </c>
      <c r="C485">
        <v>-1462.55</v>
      </c>
    </row>
    <row r="486" spans="1:6" x14ac:dyDescent="0.35">
      <c r="A486" t="s">
        <v>345</v>
      </c>
      <c r="B486" t="s">
        <v>124</v>
      </c>
      <c r="C486">
        <v>30.7</v>
      </c>
    </row>
    <row r="487" spans="1:6" x14ac:dyDescent="0.35">
      <c r="A487" t="s">
        <v>345</v>
      </c>
      <c r="B487" t="s">
        <v>45</v>
      </c>
      <c r="C487">
        <v>71</v>
      </c>
    </row>
    <row r="488" spans="1:6" x14ac:dyDescent="0.35">
      <c r="A488" t="s">
        <v>345</v>
      </c>
      <c r="B488" t="s">
        <v>357</v>
      </c>
      <c r="C488">
        <v>280</v>
      </c>
    </row>
    <row r="489" spans="1:6" x14ac:dyDescent="0.35">
      <c r="A489" t="s">
        <v>345</v>
      </c>
      <c r="B489" t="s">
        <v>346</v>
      </c>
      <c r="C489">
        <v>7412</v>
      </c>
    </row>
    <row r="490" spans="1:6" x14ac:dyDescent="0.35">
      <c r="A490" t="s">
        <v>345</v>
      </c>
      <c r="B490" t="s">
        <v>386</v>
      </c>
      <c r="C490">
        <v>8.99</v>
      </c>
    </row>
    <row r="491" spans="1:6" x14ac:dyDescent="0.35">
      <c r="A491" t="s">
        <v>345</v>
      </c>
      <c r="B491" t="s">
        <v>80</v>
      </c>
      <c r="C491">
        <v>20</v>
      </c>
    </row>
    <row r="492" spans="1:6" x14ac:dyDescent="0.35">
      <c r="A492" t="s">
        <v>345</v>
      </c>
      <c r="B492" t="s">
        <v>75</v>
      </c>
      <c r="C492">
        <v>-451.29</v>
      </c>
    </row>
    <row r="493" spans="1:6" x14ac:dyDescent="0.35">
      <c r="A493" t="s">
        <v>345</v>
      </c>
      <c r="B493" t="s">
        <v>415</v>
      </c>
      <c r="C493">
        <v>40</v>
      </c>
    </row>
    <row r="494" spans="1:6" x14ac:dyDescent="0.35">
      <c r="A494" t="s">
        <v>345</v>
      </c>
      <c r="B494" t="s">
        <v>414</v>
      </c>
      <c r="C494">
        <v>126.18</v>
      </c>
    </row>
    <row r="495" spans="1:6" x14ac:dyDescent="0.35">
      <c r="C495">
        <v>0</v>
      </c>
      <c r="D495">
        <f>SUM(C398:C494)</f>
        <v>26843.49</v>
      </c>
      <c r="E495">
        <f>SUM(C2:C494)</f>
        <v>135470.79000000007</v>
      </c>
      <c r="F495" t="s">
        <v>347</v>
      </c>
    </row>
    <row r="496" spans="1:6" x14ac:dyDescent="0.35">
      <c r="A496" t="s">
        <v>401</v>
      </c>
      <c r="B496" t="s">
        <v>70</v>
      </c>
      <c r="C496">
        <v>19</v>
      </c>
    </row>
    <row r="497" spans="1:3" x14ac:dyDescent="0.35">
      <c r="A497" t="s">
        <v>368</v>
      </c>
      <c r="B497" t="s">
        <v>117</v>
      </c>
      <c r="C497">
        <v>2.21</v>
      </c>
    </row>
    <row r="498" spans="1:3" x14ac:dyDescent="0.35">
      <c r="A498" t="s">
        <v>368</v>
      </c>
      <c r="B498" t="s">
        <v>123</v>
      </c>
      <c r="C498">
        <v>11.6</v>
      </c>
    </row>
    <row r="499" spans="1:3" x14ac:dyDescent="0.35">
      <c r="A499" t="s">
        <v>368</v>
      </c>
      <c r="B499" t="s">
        <v>385</v>
      </c>
      <c r="C499">
        <v>129.16999999999999</v>
      </c>
    </row>
    <row r="500" spans="1:3" x14ac:dyDescent="0.35">
      <c r="A500" t="s">
        <v>368</v>
      </c>
      <c r="B500" t="s">
        <v>53</v>
      </c>
      <c r="C500">
        <v>-1555.86</v>
      </c>
    </row>
    <row r="501" spans="1:3" x14ac:dyDescent="0.35">
      <c r="A501" t="s">
        <v>368</v>
      </c>
      <c r="B501" t="s">
        <v>492</v>
      </c>
      <c r="C501">
        <v>360</v>
      </c>
    </row>
    <row r="502" spans="1:3" x14ac:dyDescent="0.35">
      <c r="A502" t="s">
        <v>358</v>
      </c>
      <c r="B502" t="s">
        <v>206</v>
      </c>
      <c r="C502">
        <v>8</v>
      </c>
    </row>
    <row r="503" spans="1:3" x14ac:dyDescent="0.35">
      <c r="A503" t="s">
        <v>358</v>
      </c>
      <c r="B503" t="s">
        <v>100</v>
      </c>
      <c r="C503">
        <v>27.75</v>
      </c>
    </row>
    <row r="504" spans="1:3" x14ac:dyDescent="0.35">
      <c r="A504" t="s">
        <v>358</v>
      </c>
      <c r="B504" t="s">
        <v>117</v>
      </c>
      <c r="C504">
        <v>4.7300000000000004</v>
      </c>
    </row>
    <row r="505" spans="1:3" x14ac:dyDescent="0.35">
      <c r="A505" t="s">
        <v>483</v>
      </c>
      <c r="B505" t="s">
        <v>169</v>
      </c>
      <c r="C505">
        <v>55.99</v>
      </c>
    </row>
    <row r="506" spans="1:3" x14ac:dyDescent="0.35">
      <c r="A506" t="s">
        <v>392</v>
      </c>
      <c r="B506" t="s">
        <v>190</v>
      </c>
      <c r="C506">
        <v>45.99</v>
      </c>
    </row>
    <row r="507" spans="1:3" x14ac:dyDescent="0.35">
      <c r="A507" t="s">
        <v>392</v>
      </c>
      <c r="B507" t="s">
        <v>393</v>
      </c>
      <c r="C507">
        <v>0</v>
      </c>
    </row>
    <row r="508" spans="1:3" x14ac:dyDescent="0.35">
      <c r="A508" t="s">
        <v>392</v>
      </c>
      <c r="B508" t="s">
        <v>473</v>
      </c>
      <c r="C508">
        <v>1555.86</v>
      </c>
    </row>
    <row r="509" spans="1:3" x14ac:dyDescent="0.35">
      <c r="A509" t="s">
        <v>471</v>
      </c>
      <c r="B509" t="s">
        <v>472</v>
      </c>
      <c r="C509">
        <v>150.83000000000001</v>
      </c>
    </row>
    <row r="510" spans="1:3" x14ac:dyDescent="0.35">
      <c r="A510" t="s">
        <v>471</v>
      </c>
      <c r="B510" t="s">
        <v>80</v>
      </c>
      <c r="C510">
        <v>20</v>
      </c>
    </row>
    <row r="511" spans="1:3" x14ac:dyDescent="0.35">
      <c r="A511" t="s">
        <v>471</v>
      </c>
      <c r="B511" t="s">
        <v>170</v>
      </c>
      <c r="C511">
        <v>55</v>
      </c>
    </row>
    <row r="512" spans="1:3" x14ac:dyDescent="0.35">
      <c r="A512" t="s">
        <v>405</v>
      </c>
      <c r="B512" t="s">
        <v>82</v>
      </c>
      <c r="C512">
        <v>-0.03</v>
      </c>
    </row>
    <row r="513" spans="1:3" x14ac:dyDescent="0.35">
      <c r="A513" t="s">
        <v>405</v>
      </c>
      <c r="B513" t="s">
        <v>456</v>
      </c>
      <c r="C513">
        <v>156.74</v>
      </c>
    </row>
    <row r="514" spans="1:3" x14ac:dyDescent="0.35">
      <c r="A514" t="s">
        <v>405</v>
      </c>
      <c r="B514" t="s">
        <v>117</v>
      </c>
      <c r="C514">
        <v>7.36</v>
      </c>
    </row>
    <row r="515" spans="1:3" x14ac:dyDescent="0.35">
      <c r="A515" t="s">
        <v>457</v>
      </c>
      <c r="B515" t="s">
        <v>456</v>
      </c>
      <c r="C515">
        <v>95.36</v>
      </c>
    </row>
    <row r="516" spans="1:3" x14ac:dyDescent="0.35">
      <c r="A516" t="s">
        <v>457</v>
      </c>
      <c r="B516" t="s">
        <v>456</v>
      </c>
      <c r="C516">
        <v>51.74</v>
      </c>
    </row>
    <row r="517" spans="1:3" x14ac:dyDescent="0.35">
      <c r="A517" t="s">
        <v>457</v>
      </c>
      <c r="B517" t="s">
        <v>128</v>
      </c>
      <c r="C517">
        <v>4.7</v>
      </c>
    </row>
    <row r="518" spans="1:3" x14ac:dyDescent="0.35">
      <c r="A518" t="s">
        <v>446</v>
      </c>
      <c r="B518" t="s">
        <v>493</v>
      </c>
      <c r="C518">
        <v>440</v>
      </c>
    </row>
    <row r="519" spans="1:3" x14ac:dyDescent="0.35">
      <c r="A519" t="s">
        <v>446</v>
      </c>
      <c r="B519" t="s">
        <v>156</v>
      </c>
      <c r="C519">
        <v>78.36</v>
      </c>
    </row>
    <row r="520" spans="1:3" x14ac:dyDescent="0.35">
      <c r="A520" t="s">
        <v>446</v>
      </c>
      <c r="B520" t="s">
        <v>134</v>
      </c>
      <c r="C520">
        <v>6.68</v>
      </c>
    </row>
    <row r="521" spans="1:3" x14ac:dyDescent="0.35">
      <c r="A521" t="s">
        <v>446</v>
      </c>
      <c r="B521" t="s">
        <v>123</v>
      </c>
      <c r="C521">
        <v>8.56</v>
      </c>
    </row>
    <row r="522" spans="1:3" x14ac:dyDescent="0.35">
      <c r="A522" t="s">
        <v>446</v>
      </c>
      <c r="B522" t="s">
        <v>134</v>
      </c>
      <c r="C522">
        <v>6.7</v>
      </c>
    </row>
    <row r="523" spans="1:3" x14ac:dyDescent="0.35">
      <c r="A523" t="s">
        <v>446</v>
      </c>
      <c r="B523" t="s">
        <v>128</v>
      </c>
      <c r="C523">
        <v>2.86</v>
      </c>
    </row>
    <row r="524" spans="1:3" x14ac:dyDescent="0.35">
      <c r="A524" t="s">
        <v>446</v>
      </c>
      <c r="B524" t="s">
        <v>128</v>
      </c>
      <c r="C524">
        <v>1.55</v>
      </c>
    </row>
    <row r="525" spans="1:3" x14ac:dyDescent="0.35">
      <c r="A525" t="s">
        <v>423</v>
      </c>
      <c r="B525" t="s">
        <v>433</v>
      </c>
      <c r="C525">
        <v>19.059999999999999</v>
      </c>
    </row>
    <row r="526" spans="1:3" x14ac:dyDescent="0.35">
      <c r="A526" t="s">
        <v>423</v>
      </c>
      <c r="B526" t="s">
        <v>35</v>
      </c>
      <c r="C526">
        <v>4</v>
      </c>
    </row>
    <row r="527" spans="1:3" x14ac:dyDescent="0.35">
      <c r="A527" t="s">
        <v>423</v>
      </c>
      <c r="B527" t="s">
        <v>20</v>
      </c>
      <c r="C527">
        <v>110.77</v>
      </c>
    </row>
    <row r="528" spans="1:3" x14ac:dyDescent="0.35">
      <c r="A528" t="s">
        <v>423</v>
      </c>
      <c r="B528" t="s">
        <v>432</v>
      </c>
      <c r="C528">
        <v>45.16</v>
      </c>
    </row>
    <row r="529" spans="1:3" x14ac:dyDescent="0.35">
      <c r="A529" t="s">
        <v>423</v>
      </c>
      <c r="B529" t="s">
        <v>34</v>
      </c>
      <c r="C529">
        <v>6.14</v>
      </c>
    </row>
    <row r="530" spans="1:3" x14ac:dyDescent="0.35">
      <c r="A530" t="s">
        <v>423</v>
      </c>
      <c r="B530" t="s">
        <v>100</v>
      </c>
      <c r="C530">
        <v>27.75</v>
      </c>
    </row>
    <row r="531" spans="1:3" x14ac:dyDescent="0.35">
      <c r="A531" t="s">
        <v>423</v>
      </c>
      <c r="B531" t="s">
        <v>134</v>
      </c>
      <c r="C531">
        <v>6.12</v>
      </c>
    </row>
    <row r="532" spans="1:3" x14ac:dyDescent="0.35">
      <c r="A532" t="s">
        <v>423</v>
      </c>
      <c r="B532" t="s">
        <v>134</v>
      </c>
      <c r="C532">
        <v>6.79</v>
      </c>
    </row>
    <row r="533" spans="1:3" x14ac:dyDescent="0.35">
      <c r="A533" t="s">
        <v>424</v>
      </c>
      <c r="B533" t="s">
        <v>434</v>
      </c>
      <c r="C533">
        <v>14.8</v>
      </c>
    </row>
    <row r="534" spans="1:3" x14ac:dyDescent="0.35">
      <c r="A534" t="s">
        <v>424</v>
      </c>
      <c r="B534" t="s">
        <v>425</v>
      </c>
      <c r="C534">
        <v>30.37</v>
      </c>
    </row>
    <row r="535" spans="1:3" x14ac:dyDescent="0.35">
      <c r="A535" t="s">
        <v>447</v>
      </c>
      <c r="B535" t="s">
        <v>68</v>
      </c>
      <c r="C535">
        <v>39.33</v>
      </c>
    </row>
    <row r="536" spans="1:3" x14ac:dyDescent="0.35">
      <c r="A536" t="s">
        <v>447</v>
      </c>
      <c r="B536" t="s">
        <v>461</v>
      </c>
      <c r="C536">
        <v>47.02</v>
      </c>
    </row>
    <row r="537" spans="1:3" x14ac:dyDescent="0.35">
      <c r="A537" t="s">
        <v>447</v>
      </c>
      <c r="B537" t="s">
        <v>123</v>
      </c>
      <c r="C537">
        <v>6.08</v>
      </c>
    </row>
    <row r="538" spans="1:3" x14ac:dyDescent="0.35">
      <c r="A538" t="s">
        <v>447</v>
      </c>
      <c r="B538" t="s">
        <v>498</v>
      </c>
      <c r="C538">
        <v>1100</v>
      </c>
    </row>
    <row r="539" spans="1:3" x14ac:dyDescent="0.35">
      <c r="A539" t="s">
        <v>447</v>
      </c>
      <c r="B539" t="s">
        <v>500</v>
      </c>
      <c r="C539">
        <v>350</v>
      </c>
    </row>
    <row r="540" spans="1:3" x14ac:dyDescent="0.35">
      <c r="A540" t="s">
        <v>485</v>
      </c>
      <c r="B540" t="s">
        <v>80</v>
      </c>
      <c r="C540">
        <v>20</v>
      </c>
    </row>
    <row r="541" spans="1:3" x14ac:dyDescent="0.35">
      <c r="A541" t="s">
        <v>450</v>
      </c>
      <c r="B541" t="s">
        <v>451</v>
      </c>
      <c r="C541">
        <v>27</v>
      </c>
    </row>
    <row r="542" spans="1:3" x14ac:dyDescent="0.35">
      <c r="A542" t="s">
        <v>450</v>
      </c>
      <c r="B542" t="s">
        <v>451</v>
      </c>
      <c r="C542">
        <v>3388.11</v>
      </c>
    </row>
    <row r="543" spans="1:3" x14ac:dyDescent="0.35">
      <c r="A543" t="s">
        <v>450</v>
      </c>
      <c r="B543" t="s">
        <v>134</v>
      </c>
      <c r="C543">
        <v>6.17</v>
      </c>
    </row>
    <row r="544" spans="1:3" x14ac:dyDescent="0.35">
      <c r="A544" t="s">
        <v>450</v>
      </c>
      <c r="B544" t="s">
        <v>134</v>
      </c>
      <c r="C544">
        <v>6.63</v>
      </c>
    </row>
    <row r="545" spans="1:3" x14ac:dyDescent="0.35">
      <c r="A545" t="s">
        <v>348</v>
      </c>
      <c r="B545" t="s">
        <v>79</v>
      </c>
      <c r="C545">
        <v>4.22</v>
      </c>
    </row>
    <row r="546" spans="1:3" x14ac:dyDescent="0.35">
      <c r="A546" t="s">
        <v>348</v>
      </c>
      <c r="B546" t="s">
        <v>468</v>
      </c>
      <c r="C546">
        <v>42.27</v>
      </c>
    </row>
    <row r="547" spans="1:3" x14ac:dyDescent="0.35">
      <c r="A547" t="s">
        <v>348</v>
      </c>
      <c r="B547" t="s">
        <v>350</v>
      </c>
      <c r="C547">
        <v>495.5</v>
      </c>
    </row>
    <row r="548" spans="1:3" x14ac:dyDescent="0.35">
      <c r="A548" t="s">
        <v>348</v>
      </c>
      <c r="B548" t="s">
        <v>349</v>
      </c>
      <c r="C548">
        <v>2838</v>
      </c>
    </row>
    <row r="549" spans="1:3" x14ac:dyDescent="0.35">
      <c r="A549" t="s">
        <v>348</v>
      </c>
      <c r="B549" t="s">
        <v>123</v>
      </c>
      <c r="C549">
        <v>9.61</v>
      </c>
    </row>
    <row r="550" spans="1:3" x14ac:dyDescent="0.35">
      <c r="A550" t="s">
        <v>348</v>
      </c>
      <c r="B550" t="s">
        <v>134</v>
      </c>
      <c r="C550">
        <v>6.17</v>
      </c>
    </row>
    <row r="551" spans="1:3" x14ac:dyDescent="0.35">
      <c r="A551" t="s">
        <v>348</v>
      </c>
      <c r="B551" t="s">
        <v>134</v>
      </c>
      <c r="C551">
        <v>6.83</v>
      </c>
    </row>
    <row r="552" spans="1:3" x14ac:dyDescent="0.35">
      <c r="A552" t="s">
        <v>348</v>
      </c>
      <c r="B552" t="s">
        <v>474</v>
      </c>
      <c r="C552">
        <v>5500</v>
      </c>
    </row>
    <row r="553" spans="1:3" x14ac:dyDescent="0.35">
      <c r="A553" t="s">
        <v>348</v>
      </c>
      <c r="B553" t="s">
        <v>494</v>
      </c>
      <c r="C553">
        <v>370</v>
      </c>
    </row>
    <row r="554" spans="1:3" x14ac:dyDescent="0.35">
      <c r="A554" t="s">
        <v>435</v>
      </c>
      <c r="B554" t="s">
        <v>77</v>
      </c>
      <c r="C554">
        <v>80.17</v>
      </c>
    </row>
    <row r="555" spans="1:3" x14ac:dyDescent="0.35">
      <c r="A555" t="s">
        <v>435</v>
      </c>
      <c r="B555" t="s">
        <v>436</v>
      </c>
      <c r="C555">
        <v>9.6300000000000008</v>
      </c>
    </row>
    <row r="556" spans="1:3" x14ac:dyDescent="0.35">
      <c r="A556" t="s">
        <v>435</v>
      </c>
      <c r="B556" t="s">
        <v>117</v>
      </c>
      <c r="C556">
        <v>7.59</v>
      </c>
    </row>
    <row r="557" spans="1:3" x14ac:dyDescent="0.35">
      <c r="A557" t="s">
        <v>437</v>
      </c>
      <c r="B557" t="s">
        <v>438</v>
      </c>
      <c r="C557">
        <v>26.68</v>
      </c>
    </row>
    <row r="558" spans="1:3" x14ac:dyDescent="0.35">
      <c r="A558" t="s">
        <v>437</v>
      </c>
      <c r="B558" t="s">
        <v>438</v>
      </c>
      <c r="C558">
        <v>5</v>
      </c>
    </row>
    <row r="559" spans="1:3" x14ac:dyDescent="0.35">
      <c r="A559" t="s">
        <v>437</v>
      </c>
      <c r="B559" t="s">
        <v>438</v>
      </c>
      <c r="C559">
        <v>5</v>
      </c>
    </row>
    <row r="560" spans="1:3" x14ac:dyDescent="0.35">
      <c r="A560" t="s">
        <v>416</v>
      </c>
      <c r="B560" t="s">
        <v>501</v>
      </c>
      <c r="C560">
        <v>20</v>
      </c>
    </row>
    <row r="561" spans="1:3" x14ac:dyDescent="0.35">
      <c r="A561" t="s">
        <v>416</v>
      </c>
      <c r="B561" t="s">
        <v>78</v>
      </c>
      <c r="C561">
        <v>179.52</v>
      </c>
    </row>
    <row r="562" spans="1:3" x14ac:dyDescent="0.35">
      <c r="A562" t="s">
        <v>416</v>
      </c>
      <c r="B562" t="s">
        <v>417</v>
      </c>
      <c r="C562">
        <v>4200</v>
      </c>
    </row>
    <row r="563" spans="1:3" x14ac:dyDescent="0.35">
      <c r="A563" t="s">
        <v>416</v>
      </c>
      <c r="B563" t="s">
        <v>35</v>
      </c>
      <c r="C563">
        <v>4</v>
      </c>
    </row>
    <row r="564" spans="1:3" x14ac:dyDescent="0.35">
      <c r="A564" t="s">
        <v>416</v>
      </c>
      <c r="B564" t="s">
        <v>257</v>
      </c>
      <c r="C564">
        <v>1572.12</v>
      </c>
    </row>
    <row r="565" spans="1:3" x14ac:dyDescent="0.35">
      <c r="A565" t="s">
        <v>416</v>
      </c>
      <c r="B565" t="s">
        <v>66</v>
      </c>
      <c r="C565">
        <v>2840.44</v>
      </c>
    </row>
    <row r="566" spans="1:3" x14ac:dyDescent="0.35">
      <c r="A566" t="s">
        <v>439</v>
      </c>
      <c r="B566" t="s">
        <v>484</v>
      </c>
      <c r="C566">
        <v>5.3</v>
      </c>
    </row>
    <row r="567" spans="1:3" x14ac:dyDescent="0.35">
      <c r="A567" t="s">
        <v>439</v>
      </c>
      <c r="B567" t="s">
        <v>452</v>
      </c>
      <c r="C567">
        <v>334.52</v>
      </c>
    </row>
    <row r="568" spans="1:3" x14ac:dyDescent="0.35">
      <c r="A568" t="s">
        <v>439</v>
      </c>
      <c r="B568" t="s">
        <v>440</v>
      </c>
      <c r="C568">
        <v>66.17</v>
      </c>
    </row>
    <row r="569" spans="1:3" x14ac:dyDescent="0.35">
      <c r="A569" t="s">
        <v>439</v>
      </c>
      <c r="B569" t="s">
        <v>308</v>
      </c>
      <c r="C569">
        <v>182.6</v>
      </c>
    </row>
    <row r="570" spans="1:3" x14ac:dyDescent="0.35">
      <c r="A570" t="s">
        <v>439</v>
      </c>
      <c r="B570" t="s">
        <v>307</v>
      </c>
      <c r="C570">
        <v>10</v>
      </c>
    </row>
    <row r="571" spans="1:3" x14ac:dyDescent="0.35">
      <c r="A571" t="s">
        <v>439</v>
      </c>
      <c r="B571" t="s">
        <v>134</v>
      </c>
      <c r="C571">
        <v>6.77</v>
      </c>
    </row>
    <row r="572" spans="1:3" x14ac:dyDescent="0.35">
      <c r="A572" t="s">
        <v>470</v>
      </c>
      <c r="B572" t="s">
        <v>502</v>
      </c>
      <c r="C572">
        <v>40</v>
      </c>
    </row>
    <row r="573" spans="1:3" x14ac:dyDescent="0.35">
      <c r="A573" t="s">
        <v>470</v>
      </c>
      <c r="B573" t="s">
        <v>478</v>
      </c>
      <c r="C573">
        <v>390.57</v>
      </c>
    </row>
    <row r="574" spans="1:3" x14ac:dyDescent="0.35">
      <c r="A574" t="s">
        <v>470</v>
      </c>
      <c r="B574" t="s">
        <v>59</v>
      </c>
      <c r="C574">
        <v>397.68</v>
      </c>
    </row>
    <row r="575" spans="1:3" x14ac:dyDescent="0.35">
      <c r="A575" t="s">
        <v>470</v>
      </c>
      <c r="B575" t="s">
        <v>409</v>
      </c>
      <c r="C575">
        <v>-4200</v>
      </c>
    </row>
    <row r="576" spans="1:3" x14ac:dyDescent="0.35">
      <c r="A576" t="s">
        <v>462</v>
      </c>
      <c r="B576" t="s">
        <v>463</v>
      </c>
      <c r="C576">
        <v>20.9</v>
      </c>
    </row>
    <row r="577" spans="1:3" x14ac:dyDescent="0.35">
      <c r="A577" t="s">
        <v>462</v>
      </c>
      <c r="B577" t="s">
        <v>479</v>
      </c>
      <c r="C577">
        <v>262.95</v>
      </c>
    </row>
    <row r="578" spans="1:3" x14ac:dyDescent="0.35">
      <c r="A578" t="s">
        <v>462</v>
      </c>
      <c r="B578" t="s">
        <v>277</v>
      </c>
      <c r="C578">
        <v>2193.73</v>
      </c>
    </row>
    <row r="579" spans="1:3" x14ac:dyDescent="0.35">
      <c r="A579" t="s">
        <v>448</v>
      </c>
      <c r="B579" t="s">
        <v>80</v>
      </c>
      <c r="C579">
        <v>20</v>
      </c>
    </row>
    <row r="580" spans="1:3" x14ac:dyDescent="0.35">
      <c r="A580" t="s">
        <v>448</v>
      </c>
      <c r="B580" t="s">
        <v>131</v>
      </c>
      <c r="C580">
        <v>92</v>
      </c>
    </row>
    <row r="581" spans="1:3" x14ac:dyDescent="0.35">
      <c r="A581" t="s">
        <v>448</v>
      </c>
      <c r="B581" t="s">
        <v>126</v>
      </c>
      <c r="C581">
        <v>7</v>
      </c>
    </row>
    <row r="582" spans="1:3" x14ac:dyDescent="0.35">
      <c r="A582" t="s">
        <v>448</v>
      </c>
      <c r="B582" t="s">
        <v>123</v>
      </c>
      <c r="C582">
        <v>8.56</v>
      </c>
    </row>
    <row r="583" spans="1:3" x14ac:dyDescent="0.35">
      <c r="A583" t="s">
        <v>448</v>
      </c>
      <c r="B583" t="s">
        <v>449</v>
      </c>
      <c r="C583">
        <v>76.69</v>
      </c>
    </row>
    <row r="584" spans="1:3" x14ac:dyDescent="0.35">
      <c r="A584" t="s">
        <v>448</v>
      </c>
      <c r="B584" t="s">
        <v>68</v>
      </c>
      <c r="C584">
        <v>22.35</v>
      </c>
    </row>
    <row r="585" spans="1:3" x14ac:dyDescent="0.35">
      <c r="A585" t="s">
        <v>448</v>
      </c>
      <c r="B585" t="s">
        <v>67</v>
      </c>
      <c r="C585">
        <v>68.430000000000007</v>
      </c>
    </row>
    <row r="586" spans="1:3" x14ac:dyDescent="0.35">
      <c r="A586" t="s">
        <v>448</v>
      </c>
      <c r="B586" t="s">
        <v>495</v>
      </c>
      <c r="C586">
        <v>280</v>
      </c>
    </row>
    <row r="587" spans="1:3" x14ac:dyDescent="0.35">
      <c r="A587" t="s">
        <v>458</v>
      </c>
      <c r="B587" t="s">
        <v>134</v>
      </c>
      <c r="C587">
        <v>6.84</v>
      </c>
    </row>
    <row r="588" spans="1:3" x14ac:dyDescent="0.35">
      <c r="A588" t="s">
        <v>458</v>
      </c>
      <c r="B588" t="s">
        <v>134</v>
      </c>
      <c r="C588">
        <v>6.09</v>
      </c>
    </row>
    <row r="589" spans="1:3" x14ac:dyDescent="0.35">
      <c r="A589" t="s">
        <v>441</v>
      </c>
      <c r="B589" t="s">
        <v>112</v>
      </c>
      <c r="C589">
        <v>40.44</v>
      </c>
    </row>
    <row r="590" spans="1:3" x14ac:dyDescent="0.35">
      <c r="A590" t="s">
        <v>459</v>
      </c>
      <c r="B590" t="s">
        <v>469</v>
      </c>
      <c r="C590">
        <v>42.5</v>
      </c>
    </row>
    <row r="591" spans="1:3" x14ac:dyDescent="0.35">
      <c r="A591" t="s">
        <v>459</v>
      </c>
      <c r="B591" t="s">
        <v>460</v>
      </c>
      <c r="C591">
        <v>725</v>
      </c>
    </row>
    <row r="592" spans="1:3" x14ac:dyDescent="0.35">
      <c r="A592" t="s">
        <v>459</v>
      </c>
      <c r="B592" t="s">
        <v>460</v>
      </c>
      <c r="C592">
        <v>725</v>
      </c>
    </row>
    <row r="593" spans="1:3" x14ac:dyDescent="0.35">
      <c r="A593" t="s">
        <v>459</v>
      </c>
      <c r="B593" t="s">
        <v>67</v>
      </c>
      <c r="C593">
        <v>75.45</v>
      </c>
    </row>
    <row r="594" spans="1:3" x14ac:dyDescent="0.35">
      <c r="A594" t="s">
        <v>459</v>
      </c>
      <c r="B594" t="s">
        <v>475</v>
      </c>
      <c r="C594">
        <v>79</v>
      </c>
    </row>
    <row r="595" spans="1:3" x14ac:dyDescent="0.35">
      <c r="A595" t="s">
        <v>459</v>
      </c>
      <c r="B595" t="s">
        <v>480</v>
      </c>
      <c r="C595">
        <v>8</v>
      </c>
    </row>
    <row r="596" spans="1:3" x14ac:dyDescent="0.35">
      <c r="A596" t="s">
        <v>459</v>
      </c>
      <c r="B596" t="s">
        <v>496</v>
      </c>
      <c r="C596">
        <v>100</v>
      </c>
    </row>
    <row r="597" spans="1:3" x14ac:dyDescent="0.35">
      <c r="A597" t="s">
        <v>442</v>
      </c>
      <c r="B597" t="s">
        <v>443</v>
      </c>
      <c r="C597">
        <v>200</v>
      </c>
    </row>
    <row r="598" spans="1:3" x14ac:dyDescent="0.35">
      <c r="A598" t="s">
        <v>442</v>
      </c>
      <c r="B598" t="s">
        <v>117</v>
      </c>
      <c r="C598">
        <v>5.05</v>
      </c>
    </row>
    <row r="599" spans="1:3" x14ac:dyDescent="0.35">
      <c r="A599" t="s">
        <v>431</v>
      </c>
      <c r="B599" t="s">
        <v>168</v>
      </c>
      <c r="C599">
        <v>17</v>
      </c>
    </row>
    <row r="600" spans="1:3" x14ac:dyDescent="0.35">
      <c r="A600" t="s">
        <v>431</v>
      </c>
      <c r="B600" t="s">
        <v>464</v>
      </c>
      <c r="C600">
        <v>74.239999999999995</v>
      </c>
    </row>
    <row r="601" spans="1:3" x14ac:dyDescent="0.35">
      <c r="A601" t="s">
        <v>431</v>
      </c>
      <c r="B601" t="s">
        <v>199</v>
      </c>
      <c r="C601">
        <v>44.99</v>
      </c>
    </row>
    <row r="602" spans="1:3" x14ac:dyDescent="0.35">
      <c r="A602" t="s">
        <v>431</v>
      </c>
      <c r="B602" t="s">
        <v>205</v>
      </c>
      <c r="C602">
        <v>46.61</v>
      </c>
    </row>
    <row r="603" spans="1:3" x14ac:dyDescent="0.35">
      <c r="A603" t="s">
        <v>426</v>
      </c>
      <c r="B603" t="s">
        <v>486</v>
      </c>
      <c r="C603">
        <v>8.7100000000000009</v>
      </c>
    </row>
    <row r="604" spans="1:3" x14ac:dyDescent="0.35">
      <c r="A604" t="s">
        <v>426</v>
      </c>
      <c r="B604" t="s">
        <v>230</v>
      </c>
      <c r="C604">
        <v>10.25</v>
      </c>
    </row>
    <row r="605" spans="1:3" x14ac:dyDescent="0.35">
      <c r="A605" t="s">
        <v>426</v>
      </c>
      <c r="B605" t="s">
        <v>45</v>
      </c>
      <c r="C605">
        <v>18.95</v>
      </c>
    </row>
    <row r="606" spans="1:3" x14ac:dyDescent="0.35">
      <c r="A606" t="s">
        <v>426</v>
      </c>
      <c r="B606" t="s">
        <v>190</v>
      </c>
      <c r="C606">
        <v>84.05</v>
      </c>
    </row>
    <row r="607" spans="1:3" x14ac:dyDescent="0.35">
      <c r="A607" t="s">
        <v>418</v>
      </c>
      <c r="B607" t="s">
        <v>499</v>
      </c>
      <c r="C607">
        <v>623.04</v>
      </c>
    </row>
    <row r="608" spans="1:3" x14ac:dyDescent="0.35">
      <c r="A608" t="s">
        <v>418</v>
      </c>
      <c r="B608" t="s">
        <v>75</v>
      </c>
      <c r="C608">
        <v>-462.25</v>
      </c>
    </row>
    <row r="609" spans="1:6" x14ac:dyDescent="0.35">
      <c r="A609" t="s">
        <v>418</v>
      </c>
      <c r="B609" t="s">
        <v>80</v>
      </c>
      <c r="C609">
        <v>20</v>
      </c>
    </row>
    <row r="610" spans="1:6" x14ac:dyDescent="0.35">
      <c r="A610" t="s">
        <v>418</v>
      </c>
      <c r="B610" t="s">
        <v>467</v>
      </c>
      <c r="C610">
        <v>8.99</v>
      </c>
    </row>
    <row r="611" spans="1:6" x14ac:dyDescent="0.35">
      <c r="A611" t="s">
        <v>418</v>
      </c>
      <c r="B611" t="s">
        <v>419</v>
      </c>
      <c r="C611">
        <v>7412</v>
      </c>
    </row>
    <row r="612" spans="1:6" x14ac:dyDescent="0.35">
      <c r="A612" t="s">
        <v>418</v>
      </c>
      <c r="B612" t="s">
        <v>117</v>
      </c>
      <c r="C612">
        <v>6.6</v>
      </c>
    </row>
    <row r="613" spans="1:6" x14ac:dyDescent="0.35">
      <c r="A613" t="s">
        <v>418</v>
      </c>
      <c r="B613" t="s">
        <v>23</v>
      </c>
      <c r="C613">
        <v>-7682.02</v>
      </c>
    </row>
    <row r="614" spans="1:6" x14ac:dyDescent="0.35">
      <c r="A614" t="s">
        <v>418</v>
      </c>
      <c r="B614" t="s">
        <v>476</v>
      </c>
      <c r="C614">
        <v>7058.49</v>
      </c>
    </row>
    <row r="615" spans="1:6" x14ac:dyDescent="0.35">
      <c r="A615" t="s">
        <v>418</v>
      </c>
      <c r="B615" t="s">
        <v>271</v>
      </c>
      <c r="C615">
        <v>-0.02</v>
      </c>
    </row>
    <row r="616" spans="1:6" x14ac:dyDescent="0.35">
      <c r="A616" t="s">
        <v>418</v>
      </c>
      <c r="B616" t="s">
        <v>497</v>
      </c>
      <c r="C616">
        <v>415</v>
      </c>
    </row>
    <row r="617" spans="1:6" x14ac:dyDescent="0.35">
      <c r="C617">
        <v>0</v>
      </c>
      <c r="D617">
        <f>SUM(C496:C616)</f>
        <v>35239.120000000003</v>
      </c>
      <c r="E617">
        <f>SUM(C2:C616)</f>
        <v>170709.90999999989</v>
      </c>
      <c r="F617" t="s">
        <v>420</v>
      </c>
    </row>
    <row r="618" spans="1:6" x14ac:dyDescent="0.35">
      <c r="A618" t="s">
        <v>427</v>
      </c>
      <c r="B618" t="s">
        <v>487</v>
      </c>
      <c r="C618">
        <v>50.64</v>
      </c>
    </row>
    <row r="619" spans="1:6" x14ac:dyDescent="0.35">
      <c r="A619" t="s">
        <v>427</v>
      </c>
      <c r="B619" t="s">
        <v>444</v>
      </c>
      <c r="C619">
        <v>20</v>
      </c>
    </row>
    <row r="620" spans="1:6" x14ac:dyDescent="0.35">
      <c r="A620" t="s">
        <v>427</v>
      </c>
      <c r="B620" t="s">
        <v>18</v>
      </c>
      <c r="C620">
        <v>18.649999999999999</v>
      </c>
    </row>
    <row r="621" spans="1:6" x14ac:dyDescent="0.35">
      <c r="A621" t="s">
        <v>427</v>
      </c>
      <c r="B621" t="s">
        <v>20</v>
      </c>
      <c r="C621">
        <v>49</v>
      </c>
    </row>
    <row r="622" spans="1:6" x14ac:dyDescent="0.35">
      <c r="A622" t="s">
        <v>427</v>
      </c>
      <c r="B622" t="s">
        <v>432</v>
      </c>
      <c r="C622">
        <v>63.87</v>
      </c>
    </row>
    <row r="623" spans="1:6" x14ac:dyDescent="0.35">
      <c r="A623" t="s">
        <v>445</v>
      </c>
      <c r="B623" t="s">
        <v>440</v>
      </c>
      <c r="C623">
        <v>15.45</v>
      </c>
    </row>
    <row r="624" spans="1:6" x14ac:dyDescent="0.35">
      <c r="A624" t="s">
        <v>428</v>
      </c>
      <c r="B624" t="s">
        <v>53</v>
      </c>
      <c r="C624">
        <v>-559.37</v>
      </c>
    </row>
    <row r="625" spans="1:3" x14ac:dyDescent="0.35">
      <c r="A625" t="s">
        <v>428</v>
      </c>
      <c r="B625" t="s">
        <v>18</v>
      </c>
      <c r="C625">
        <v>-12.43</v>
      </c>
    </row>
    <row r="626" spans="1:3" x14ac:dyDescent="0.35">
      <c r="A626" t="s">
        <v>428</v>
      </c>
      <c r="B626" t="s">
        <v>123</v>
      </c>
      <c r="C626">
        <v>11.6</v>
      </c>
    </row>
    <row r="627" spans="1:3" x14ac:dyDescent="0.35">
      <c r="A627" t="s">
        <v>428</v>
      </c>
      <c r="B627" t="s">
        <v>256</v>
      </c>
      <c r="C627">
        <v>462.25</v>
      </c>
    </row>
    <row r="628" spans="1:3" x14ac:dyDescent="0.35">
      <c r="A628" t="s">
        <v>428</v>
      </c>
      <c r="B628" t="s">
        <v>482</v>
      </c>
      <c r="C628">
        <v>60</v>
      </c>
    </row>
    <row r="629" spans="1:3" x14ac:dyDescent="0.35">
      <c r="A629" t="s">
        <v>428</v>
      </c>
      <c r="B629" t="s">
        <v>481</v>
      </c>
      <c r="C629">
        <v>8</v>
      </c>
    </row>
    <row r="630" spans="1:3" x14ac:dyDescent="0.35">
      <c r="A630" t="s">
        <v>465</v>
      </c>
      <c r="B630" t="s">
        <v>466</v>
      </c>
      <c r="C630">
        <v>20.9</v>
      </c>
    </row>
    <row r="631" spans="1:3" x14ac:dyDescent="0.35">
      <c r="A631" t="s">
        <v>465</v>
      </c>
      <c r="B631" t="s">
        <v>477</v>
      </c>
      <c r="C631">
        <v>559.37</v>
      </c>
    </row>
    <row r="632" spans="1:3" x14ac:dyDescent="0.35">
      <c r="A632" t="s">
        <v>429</v>
      </c>
      <c r="B632" t="s">
        <v>454</v>
      </c>
      <c r="C632">
        <v>84</v>
      </c>
    </row>
    <row r="633" spans="1:3" x14ac:dyDescent="0.35">
      <c r="A633" t="s">
        <v>429</v>
      </c>
      <c r="B633" t="s">
        <v>453</v>
      </c>
      <c r="C633">
        <v>594.32000000000005</v>
      </c>
    </row>
    <row r="634" spans="1:3" x14ac:dyDescent="0.35">
      <c r="A634" t="s">
        <v>429</v>
      </c>
      <c r="B634" t="s">
        <v>430</v>
      </c>
      <c r="C634">
        <v>222.18</v>
      </c>
    </row>
    <row r="635" spans="1:3" x14ac:dyDescent="0.35">
      <c r="A635" t="s">
        <v>429</v>
      </c>
      <c r="B635" t="s">
        <v>134</v>
      </c>
      <c r="C635">
        <v>5</v>
      </c>
    </row>
    <row r="636" spans="1:3" x14ac:dyDescent="0.35">
      <c r="A636" t="s">
        <v>429</v>
      </c>
      <c r="B636" t="s">
        <v>123</v>
      </c>
      <c r="C636">
        <v>9.06</v>
      </c>
    </row>
    <row r="637" spans="1:3" x14ac:dyDescent="0.35">
      <c r="A637" t="s">
        <v>429</v>
      </c>
      <c r="B637" t="s">
        <v>598</v>
      </c>
      <c r="C637">
        <v>32.700000000000003</v>
      </c>
    </row>
    <row r="638" spans="1:3" x14ac:dyDescent="0.35">
      <c r="A638" t="s">
        <v>429</v>
      </c>
      <c r="B638" t="s">
        <v>169</v>
      </c>
      <c r="C638">
        <v>55.99</v>
      </c>
    </row>
    <row r="639" spans="1:3" x14ac:dyDescent="0.35">
      <c r="A639" t="s">
        <v>513</v>
      </c>
      <c r="B639" t="s">
        <v>599</v>
      </c>
      <c r="C639">
        <v>6.66</v>
      </c>
    </row>
    <row r="640" spans="1:3" x14ac:dyDescent="0.35">
      <c r="A640" t="s">
        <v>513</v>
      </c>
      <c r="B640" t="s">
        <v>190</v>
      </c>
      <c r="C640">
        <v>37.57</v>
      </c>
    </row>
    <row r="641" spans="1:3" x14ac:dyDescent="0.35">
      <c r="A641" t="s">
        <v>488</v>
      </c>
      <c r="B641" t="s">
        <v>170</v>
      </c>
      <c r="C641">
        <v>55</v>
      </c>
    </row>
    <row r="642" spans="1:3" x14ac:dyDescent="0.35">
      <c r="A642" t="s">
        <v>488</v>
      </c>
      <c r="B642" t="s">
        <v>80</v>
      </c>
      <c r="C642">
        <v>20</v>
      </c>
    </row>
    <row r="643" spans="1:3" x14ac:dyDescent="0.35">
      <c r="A643" t="s">
        <v>488</v>
      </c>
      <c r="B643" t="s">
        <v>590</v>
      </c>
      <c r="C643">
        <v>8</v>
      </c>
    </row>
    <row r="644" spans="1:3" x14ac:dyDescent="0.35">
      <c r="A644" t="s">
        <v>488</v>
      </c>
      <c r="B644" t="s">
        <v>589</v>
      </c>
      <c r="C644">
        <v>400</v>
      </c>
    </row>
    <row r="645" spans="1:3" x14ac:dyDescent="0.35">
      <c r="A645" t="s">
        <v>488</v>
      </c>
      <c r="B645" t="s">
        <v>581</v>
      </c>
      <c r="C645">
        <v>13000</v>
      </c>
    </row>
    <row r="646" spans="1:3" x14ac:dyDescent="0.35">
      <c r="A646" t="s">
        <v>488</v>
      </c>
      <c r="B646" t="s">
        <v>580</v>
      </c>
      <c r="C646">
        <v>4000</v>
      </c>
    </row>
    <row r="647" spans="1:3" x14ac:dyDescent="0.35">
      <c r="A647" t="s">
        <v>488</v>
      </c>
      <c r="B647" t="s">
        <v>575</v>
      </c>
      <c r="C647">
        <v>42.88</v>
      </c>
    </row>
    <row r="648" spans="1:3" x14ac:dyDescent="0.35">
      <c r="A648" t="s">
        <v>488</v>
      </c>
      <c r="B648" t="s">
        <v>489</v>
      </c>
      <c r="C648">
        <v>-13000</v>
      </c>
    </row>
    <row r="649" spans="1:3" x14ac:dyDescent="0.35">
      <c r="A649" t="s">
        <v>488</v>
      </c>
      <c r="B649" t="s">
        <v>123</v>
      </c>
      <c r="C649">
        <v>11.6</v>
      </c>
    </row>
    <row r="650" spans="1:3" x14ac:dyDescent="0.35">
      <c r="A650" t="s">
        <v>488</v>
      </c>
      <c r="B650" t="s">
        <v>608</v>
      </c>
      <c r="C650">
        <v>465</v>
      </c>
    </row>
    <row r="651" spans="1:3" x14ac:dyDescent="0.35">
      <c r="A651" t="s">
        <v>514</v>
      </c>
      <c r="B651" t="s">
        <v>20</v>
      </c>
      <c r="C651">
        <v>151.66</v>
      </c>
    </row>
    <row r="652" spans="1:3" x14ac:dyDescent="0.35">
      <c r="A652" t="s">
        <v>514</v>
      </c>
      <c r="B652" t="s">
        <v>600</v>
      </c>
      <c r="C652">
        <v>8.23</v>
      </c>
    </row>
    <row r="653" spans="1:3" x14ac:dyDescent="0.35">
      <c r="A653" t="s">
        <v>521</v>
      </c>
      <c r="B653" t="s">
        <v>522</v>
      </c>
      <c r="C653">
        <v>15.03</v>
      </c>
    </row>
    <row r="654" spans="1:3" x14ac:dyDescent="0.35">
      <c r="A654" t="s">
        <v>490</v>
      </c>
      <c r="B654" t="s">
        <v>591</v>
      </c>
      <c r="C654">
        <v>8</v>
      </c>
    </row>
    <row r="655" spans="1:3" x14ac:dyDescent="0.35">
      <c r="A655" t="s">
        <v>490</v>
      </c>
      <c r="B655" t="s">
        <v>578</v>
      </c>
      <c r="C655">
        <v>200</v>
      </c>
    </row>
    <row r="656" spans="1:3" x14ac:dyDescent="0.35">
      <c r="A656" t="s">
        <v>490</v>
      </c>
      <c r="B656" t="s">
        <v>123</v>
      </c>
      <c r="C656">
        <v>6.08</v>
      </c>
    </row>
    <row r="657" spans="1:3" x14ac:dyDescent="0.35">
      <c r="A657" t="s">
        <v>490</v>
      </c>
      <c r="B657" t="s">
        <v>491</v>
      </c>
      <c r="C657">
        <v>-7.0000000000000007E-2</v>
      </c>
    </row>
    <row r="658" spans="1:3" x14ac:dyDescent="0.35">
      <c r="A658" t="s">
        <v>585</v>
      </c>
      <c r="B658" t="s">
        <v>68</v>
      </c>
      <c r="C658">
        <v>75.819999999999993</v>
      </c>
    </row>
    <row r="659" spans="1:3" x14ac:dyDescent="0.35">
      <c r="A659" t="s">
        <v>421</v>
      </c>
      <c r="B659" t="s">
        <v>592</v>
      </c>
      <c r="C659">
        <v>8</v>
      </c>
    </row>
    <row r="660" spans="1:3" x14ac:dyDescent="0.35">
      <c r="A660" t="s">
        <v>421</v>
      </c>
      <c r="B660" t="s">
        <v>422</v>
      </c>
      <c r="C660">
        <v>4200</v>
      </c>
    </row>
    <row r="661" spans="1:3" x14ac:dyDescent="0.35">
      <c r="A661" t="s">
        <v>421</v>
      </c>
      <c r="B661" t="s">
        <v>572</v>
      </c>
      <c r="C661">
        <v>139.76</v>
      </c>
    </row>
    <row r="662" spans="1:3" x14ac:dyDescent="0.35">
      <c r="A662" t="s">
        <v>548</v>
      </c>
      <c r="B662" t="s">
        <v>609</v>
      </c>
      <c r="C662">
        <v>575</v>
      </c>
    </row>
    <row r="663" spans="1:3" x14ac:dyDescent="0.35">
      <c r="A663" t="s">
        <v>548</v>
      </c>
      <c r="B663" t="s">
        <v>604</v>
      </c>
      <c r="C663">
        <v>1845.03</v>
      </c>
    </row>
    <row r="664" spans="1:3" x14ac:dyDescent="0.35">
      <c r="A664" t="s">
        <v>548</v>
      </c>
      <c r="B664" t="s">
        <v>582</v>
      </c>
      <c r="C664">
        <v>5500</v>
      </c>
    </row>
    <row r="665" spans="1:3" x14ac:dyDescent="0.35">
      <c r="A665" t="s">
        <v>548</v>
      </c>
      <c r="B665" t="s">
        <v>549</v>
      </c>
      <c r="C665">
        <v>50.03</v>
      </c>
    </row>
    <row r="666" spans="1:3" x14ac:dyDescent="0.35">
      <c r="A666" t="s">
        <v>523</v>
      </c>
      <c r="B666" t="s">
        <v>206</v>
      </c>
      <c r="C666">
        <v>8</v>
      </c>
    </row>
    <row r="667" spans="1:3" x14ac:dyDescent="0.35">
      <c r="A667" t="s">
        <v>523</v>
      </c>
      <c r="B667" t="s">
        <v>134</v>
      </c>
      <c r="C667">
        <v>6.14</v>
      </c>
    </row>
    <row r="668" spans="1:3" x14ac:dyDescent="0.35">
      <c r="A668" t="s">
        <v>510</v>
      </c>
      <c r="B668" t="s">
        <v>409</v>
      </c>
      <c r="C668">
        <v>-4200</v>
      </c>
    </row>
    <row r="669" spans="1:3" x14ac:dyDescent="0.35">
      <c r="A669" t="s">
        <v>510</v>
      </c>
      <c r="B669" t="s">
        <v>80</v>
      </c>
      <c r="C669">
        <v>20</v>
      </c>
    </row>
    <row r="670" spans="1:3" x14ac:dyDescent="0.35">
      <c r="A670" t="s">
        <v>510</v>
      </c>
      <c r="B670" t="s">
        <v>576</v>
      </c>
      <c r="C670">
        <v>45.86</v>
      </c>
    </row>
    <row r="671" spans="1:3" x14ac:dyDescent="0.35">
      <c r="A671" t="s">
        <v>510</v>
      </c>
      <c r="B671" t="s">
        <v>511</v>
      </c>
      <c r="C671">
        <v>2838</v>
      </c>
    </row>
    <row r="672" spans="1:3" x14ac:dyDescent="0.35">
      <c r="A672" t="s">
        <v>510</v>
      </c>
      <c r="B672" t="s">
        <v>512</v>
      </c>
      <c r="C672">
        <v>495.5</v>
      </c>
    </row>
    <row r="673" spans="1:3" x14ac:dyDescent="0.35">
      <c r="A673" t="s">
        <v>510</v>
      </c>
      <c r="B673" t="s">
        <v>45</v>
      </c>
      <c r="C673">
        <v>18.5</v>
      </c>
    </row>
    <row r="674" spans="1:3" x14ac:dyDescent="0.35">
      <c r="A674" t="s">
        <v>510</v>
      </c>
      <c r="B674" t="s">
        <v>257</v>
      </c>
      <c r="C674">
        <v>1572.12</v>
      </c>
    </row>
    <row r="675" spans="1:3" x14ac:dyDescent="0.35">
      <c r="A675" t="s">
        <v>510</v>
      </c>
      <c r="B675" t="s">
        <v>593</v>
      </c>
      <c r="C675">
        <v>8</v>
      </c>
    </row>
    <row r="676" spans="1:3" x14ac:dyDescent="0.35">
      <c r="A676" t="s">
        <v>519</v>
      </c>
      <c r="B676" t="s">
        <v>77</v>
      </c>
      <c r="C676">
        <v>80.17</v>
      </c>
    </row>
    <row r="677" spans="1:3" x14ac:dyDescent="0.35">
      <c r="A677" t="s">
        <v>519</v>
      </c>
      <c r="B677" t="s">
        <v>32</v>
      </c>
      <c r="C677">
        <v>2.88</v>
      </c>
    </row>
    <row r="678" spans="1:3" x14ac:dyDescent="0.35">
      <c r="A678" t="s">
        <v>519</v>
      </c>
      <c r="B678" t="s">
        <v>524</v>
      </c>
      <c r="C678">
        <v>59.27</v>
      </c>
    </row>
    <row r="679" spans="1:3" x14ac:dyDescent="0.35">
      <c r="A679" t="s">
        <v>519</v>
      </c>
      <c r="B679" t="s">
        <v>16</v>
      </c>
      <c r="C679">
        <v>3</v>
      </c>
    </row>
    <row r="680" spans="1:3" x14ac:dyDescent="0.35">
      <c r="A680" t="s">
        <v>519</v>
      </c>
      <c r="B680" t="s">
        <v>579</v>
      </c>
      <c r="C680">
        <v>117.55</v>
      </c>
    </row>
    <row r="681" spans="1:3" x14ac:dyDescent="0.35">
      <c r="A681" t="s">
        <v>519</v>
      </c>
      <c r="B681" t="s">
        <v>66</v>
      </c>
      <c r="C681">
        <v>2840.44</v>
      </c>
    </row>
    <row r="682" spans="1:3" x14ac:dyDescent="0.35">
      <c r="A682" t="s">
        <v>571</v>
      </c>
      <c r="B682" t="s">
        <v>610</v>
      </c>
      <c r="C682">
        <v>335</v>
      </c>
    </row>
    <row r="683" spans="1:3" x14ac:dyDescent="0.35">
      <c r="A683" t="s">
        <v>571</v>
      </c>
      <c r="B683" t="s">
        <v>78</v>
      </c>
      <c r="C683">
        <v>179.52</v>
      </c>
    </row>
    <row r="684" spans="1:3" x14ac:dyDescent="0.35">
      <c r="A684" t="s">
        <v>571</v>
      </c>
      <c r="B684" t="s">
        <v>134</v>
      </c>
      <c r="C684">
        <v>9.68</v>
      </c>
    </row>
    <row r="685" spans="1:3" x14ac:dyDescent="0.35">
      <c r="A685" t="s">
        <v>571</v>
      </c>
      <c r="B685" t="s">
        <v>134</v>
      </c>
      <c r="C685">
        <v>11.61</v>
      </c>
    </row>
    <row r="686" spans="1:3" x14ac:dyDescent="0.35">
      <c r="A686" t="s">
        <v>571</v>
      </c>
      <c r="B686" t="s">
        <v>594</v>
      </c>
      <c r="C686">
        <v>60</v>
      </c>
    </row>
    <row r="687" spans="1:3" x14ac:dyDescent="0.35">
      <c r="A687" t="s">
        <v>525</v>
      </c>
      <c r="B687" t="s">
        <v>601</v>
      </c>
      <c r="C687">
        <v>25</v>
      </c>
    </row>
    <row r="688" spans="1:3" x14ac:dyDescent="0.35">
      <c r="A688" t="s">
        <v>525</v>
      </c>
      <c r="B688" t="s">
        <v>529</v>
      </c>
      <c r="C688">
        <v>17.260000000000002</v>
      </c>
    </row>
    <row r="689" spans="1:3" x14ac:dyDescent="0.35">
      <c r="A689" t="s">
        <v>525</v>
      </c>
      <c r="B689" t="s">
        <v>551</v>
      </c>
      <c r="C689">
        <v>193.87</v>
      </c>
    </row>
    <row r="690" spans="1:3" x14ac:dyDescent="0.35">
      <c r="A690" t="s">
        <v>525</v>
      </c>
      <c r="B690" t="s">
        <v>528</v>
      </c>
      <c r="C690">
        <v>25.65</v>
      </c>
    </row>
    <row r="691" spans="1:3" x14ac:dyDescent="0.35">
      <c r="A691" t="s">
        <v>525</v>
      </c>
      <c r="B691" t="s">
        <v>556</v>
      </c>
      <c r="C691">
        <v>36.31</v>
      </c>
    </row>
    <row r="692" spans="1:3" x14ac:dyDescent="0.35">
      <c r="A692" t="s">
        <v>525</v>
      </c>
      <c r="B692" t="s">
        <v>527</v>
      </c>
      <c r="C692">
        <v>8.98</v>
      </c>
    </row>
    <row r="693" spans="1:3" x14ac:dyDescent="0.35">
      <c r="A693" t="s">
        <v>525</v>
      </c>
      <c r="B693" t="s">
        <v>555</v>
      </c>
      <c r="C693">
        <v>2.5</v>
      </c>
    </row>
    <row r="694" spans="1:3" x14ac:dyDescent="0.35">
      <c r="A694" t="s">
        <v>525</v>
      </c>
      <c r="B694" t="s">
        <v>526</v>
      </c>
      <c r="C694">
        <v>24.15</v>
      </c>
    </row>
    <row r="695" spans="1:3" x14ac:dyDescent="0.35">
      <c r="A695" t="s">
        <v>525</v>
      </c>
      <c r="B695" t="s">
        <v>570</v>
      </c>
      <c r="C695">
        <v>102.25</v>
      </c>
    </row>
    <row r="696" spans="1:3" x14ac:dyDescent="0.35">
      <c r="A696" t="s">
        <v>530</v>
      </c>
      <c r="B696" t="s">
        <v>561</v>
      </c>
      <c r="C696">
        <v>1090</v>
      </c>
    </row>
    <row r="697" spans="1:3" x14ac:dyDescent="0.35">
      <c r="A697" t="s">
        <v>530</v>
      </c>
      <c r="B697" t="s">
        <v>533</v>
      </c>
      <c r="C697">
        <v>24.84</v>
      </c>
    </row>
    <row r="698" spans="1:3" x14ac:dyDescent="0.35">
      <c r="A698" t="s">
        <v>530</v>
      </c>
      <c r="B698" t="s">
        <v>552</v>
      </c>
      <c r="C698">
        <v>25</v>
      </c>
    </row>
    <row r="699" spans="1:3" x14ac:dyDescent="0.35">
      <c r="A699" t="s">
        <v>530</v>
      </c>
      <c r="B699" t="s">
        <v>560</v>
      </c>
      <c r="C699">
        <v>22</v>
      </c>
    </row>
    <row r="700" spans="1:3" x14ac:dyDescent="0.35">
      <c r="A700" t="s">
        <v>530</v>
      </c>
      <c r="B700" t="s">
        <v>532</v>
      </c>
      <c r="C700">
        <v>20.6</v>
      </c>
    </row>
    <row r="701" spans="1:3" x14ac:dyDescent="0.35">
      <c r="A701" t="s">
        <v>530</v>
      </c>
      <c r="B701" t="s">
        <v>559</v>
      </c>
      <c r="C701">
        <v>7</v>
      </c>
    </row>
    <row r="702" spans="1:3" x14ac:dyDescent="0.35">
      <c r="A702" t="s">
        <v>530</v>
      </c>
      <c r="B702" t="s">
        <v>531</v>
      </c>
      <c r="C702">
        <v>8.7200000000000006</v>
      </c>
    </row>
    <row r="703" spans="1:3" x14ac:dyDescent="0.35">
      <c r="A703" t="s">
        <v>530</v>
      </c>
      <c r="B703" t="s">
        <v>558</v>
      </c>
      <c r="C703">
        <v>50</v>
      </c>
    </row>
    <row r="704" spans="1:3" x14ac:dyDescent="0.35">
      <c r="A704" t="s">
        <v>530</v>
      </c>
      <c r="B704" t="s">
        <v>557</v>
      </c>
      <c r="C704">
        <v>9.25</v>
      </c>
    </row>
    <row r="705" spans="1:3" x14ac:dyDescent="0.35">
      <c r="A705" t="s">
        <v>530</v>
      </c>
      <c r="B705" t="s">
        <v>134</v>
      </c>
      <c r="C705">
        <v>30.99</v>
      </c>
    </row>
    <row r="706" spans="1:3" x14ac:dyDescent="0.35">
      <c r="A706" t="s">
        <v>515</v>
      </c>
      <c r="B706" t="s">
        <v>553</v>
      </c>
      <c r="C706">
        <v>25</v>
      </c>
    </row>
    <row r="707" spans="1:3" x14ac:dyDescent="0.35">
      <c r="A707" t="s">
        <v>515</v>
      </c>
      <c r="B707" t="s">
        <v>534</v>
      </c>
      <c r="C707">
        <v>14.46</v>
      </c>
    </row>
    <row r="708" spans="1:3" x14ac:dyDescent="0.35">
      <c r="A708" t="s">
        <v>515</v>
      </c>
      <c r="B708" t="s">
        <v>516</v>
      </c>
      <c r="C708">
        <v>23.35</v>
      </c>
    </row>
    <row r="709" spans="1:3" x14ac:dyDescent="0.35">
      <c r="A709" t="s">
        <v>515</v>
      </c>
      <c r="B709" t="s">
        <v>562</v>
      </c>
      <c r="C709">
        <v>29.81</v>
      </c>
    </row>
    <row r="710" spans="1:3" x14ac:dyDescent="0.35">
      <c r="A710" t="s">
        <v>515</v>
      </c>
      <c r="B710" t="s">
        <v>534</v>
      </c>
      <c r="C710">
        <v>7.01</v>
      </c>
    </row>
    <row r="711" spans="1:3" x14ac:dyDescent="0.35">
      <c r="A711" t="s">
        <v>535</v>
      </c>
      <c r="B711" t="s">
        <v>277</v>
      </c>
      <c r="C711">
        <v>2193.73</v>
      </c>
    </row>
    <row r="712" spans="1:3" x14ac:dyDescent="0.35">
      <c r="A712" t="s">
        <v>535</v>
      </c>
      <c r="B712" t="s">
        <v>554</v>
      </c>
      <c r="C712">
        <v>25</v>
      </c>
    </row>
    <row r="713" spans="1:3" x14ac:dyDescent="0.35">
      <c r="A713" t="s">
        <v>535</v>
      </c>
      <c r="B713" t="s">
        <v>566</v>
      </c>
      <c r="C713">
        <v>37.26</v>
      </c>
    </row>
    <row r="714" spans="1:3" x14ac:dyDescent="0.35">
      <c r="A714" t="s">
        <v>535</v>
      </c>
      <c r="B714" t="s">
        <v>565</v>
      </c>
      <c r="C714">
        <v>4.04</v>
      </c>
    </row>
    <row r="715" spans="1:3" x14ac:dyDescent="0.35">
      <c r="A715" t="s">
        <v>535</v>
      </c>
      <c r="B715" t="s">
        <v>564</v>
      </c>
      <c r="C715">
        <v>58.51</v>
      </c>
    </row>
    <row r="716" spans="1:3" x14ac:dyDescent="0.35">
      <c r="A716" t="s">
        <v>535</v>
      </c>
      <c r="B716" t="s">
        <v>537</v>
      </c>
      <c r="C716">
        <v>65.09</v>
      </c>
    </row>
    <row r="717" spans="1:3" x14ac:dyDescent="0.35">
      <c r="A717" t="s">
        <v>535</v>
      </c>
      <c r="B717" t="s">
        <v>563</v>
      </c>
      <c r="C717">
        <v>21.26</v>
      </c>
    </row>
    <row r="718" spans="1:3" x14ac:dyDescent="0.35">
      <c r="A718" t="s">
        <v>535</v>
      </c>
      <c r="B718" t="s">
        <v>536</v>
      </c>
      <c r="C718">
        <v>5</v>
      </c>
    </row>
    <row r="719" spans="1:3" x14ac:dyDescent="0.35">
      <c r="A719" t="s">
        <v>535</v>
      </c>
      <c r="B719" t="s">
        <v>536</v>
      </c>
      <c r="C719">
        <v>5</v>
      </c>
    </row>
    <row r="720" spans="1:3" x14ac:dyDescent="0.35">
      <c r="A720" t="s">
        <v>535</v>
      </c>
      <c r="B720" t="s">
        <v>586</v>
      </c>
      <c r="C720">
        <v>262.95</v>
      </c>
    </row>
    <row r="721" spans="1:3" x14ac:dyDescent="0.35">
      <c r="A721" t="s">
        <v>535</v>
      </c>
      <c r="B721" t="s">
        <v>59</v>
      </c>
      <c r="C721">
        <v>496.59</v>
      </c>
    </row>
    <row r="722" spans="1:3" x14ac:dyDescent="0.35">
      <c r="A722" t="s">
        <v>538</v>
      </c>
      <c r="B722" t="s">
        <v>112</v>
      </c>
      <c r="C722">
        <v>1.68</v>
      </c>
    </row>
    <row r="723" spans="1:3" x14ac:dyDescent="0.35">
      <c r="A723" t="s">
        <v>538</v>
      </c>
      <c r="B723" t="s">
        <v>568</v>
      </c>
      <c r="C723">
        <v>42.33</v>
      </c>
    </row>
    <row r="724" spans="1:3" x14ac:dyDescent="0.35">
      <c r="A724" t="s">
        <v>538</v>
      </c>
      <c r="B724" t="s">
        <v>112</v>
      </c>
      <c r="C724">
        <v>39.6</v>
      </c>
    </row>
    <row r="725" spans="1:3" x14ac:dyDescent="0.35">
      <c r="A725" t="s">
        <v>538</v>
      </c>
      <c r="B725" t="s">
        <v>539</v>
      </c>
      <c r="C725">
        <v>85.83</v>
      </c>
    </row>
    <row r="726" spans="1:3" x14ac:dyDescent="0.35">
      <c r="A726" t="s">
        <v>538</v>
      </c>
      <c r="B726" t="s">
        <v>551</v>
      </c>
      <c r="C726">
        <v>-126.58</v>
      </c>
    </row>
    <row r="727" spans="1:3" x14ac:dyDescent="0.35">
      <c r="A727" t="s">
        <v>538</v>
      </c>
      <c r="B727" t="s">
        <v>567</v>
      </c>
      <c r="C727">
        <v>3.19</v>
      </c>
    </row>
    <row r="728" spans="1:3" x14ac:dyDescent="0.35">
      <c r="A728" t="s">
        <v>538</v>
      </c>
      <c r="B728" t="s">
        <v>68</v>
      </c>
      <c r="C728">
        <v>26.02</v>
      </c>
    </row>
    <row r="729" spans="1:3" x14ac:dyDescent="0.35">
      <c r="A729" t="s">
        <v>538</v>
      </c>
      <c r="B729" t="s">
        <v>67</v>
      </c>
      <c r="C729">
        <v>66.56</v>
      </c>
    </row>
    <row r="730" spans="1:3" x14ac:dyDescent="0.35">
      <c r="A730" t="s">
        <v>540</v>
      </c>
      <c r="B730" t="s">
        <v>602</v>
      </c>
      <c r="C730">
        <v>26.61</v>
      </c>
    </row>
    <row r="731" spans="1:3" x14ac:dyDescent="0.35">
      <c r="A731" t="s">
        <v>540</v>
      </c>
      <c r="B731" t="s">
        <v>120</v>
      </c>
      <c r="C731">
        <v>6.86</v>
      </c>
    </row>
    <row r="732" spans="1:3" x14ac:dyDescent="0.35">
      <c r="A732" t="s">
        <v>540</v>
      </c>
      <c r="B732" t="s">
        <v>541</v>
      </c>
      <c r="C732">
        <v>6.91</v>
      </c>
    </row>
    <row r="733" spans="1:3" x14ac:dyDescent="0.35">
      <c r="A733" t="s">
        <v>540</v>
      </c>
      <c r="B733" t="s">
        <v>569</v>
      </c>
      <c r="C733">
        <v>27.67</v>
      </c>
    </row>
    <row r="734" spans="1:3" x14ac:dyDescent="0.35">
      <c r="A734" t="s">
        <v>520</v>
      </c>
      <c r="B734" t="s">
        <v>611</v>
      </c>
      <c r="C734">
        <v>350</v>
      </c>
    </row>
    <row r="735" spans="1:3" x14ac:dyDescent="0.35">
      <c r="A735" t="s">
        <v>520</v>
      </c>
      <c r="B735" t="s">
        <v>603</v>
      </c>
      <c r="C735">
        <v>7.56</v>
      </c>
    </row>
    <row r="736" spans="1:3" x14ac:dyDescent="0.35">
      <c r="A736" t="s">
        <v>520</v>
      </c>
      <c r="B736" t="s">
        <v>599</v>
      </c>
      <c r="C736">
        <v>6.93</v>
      </c>
    </row>
    <row r="737" spans="1:6" x14ac:dyDescent="0.35">
      <c r="A737" t="s">
        <v>520</v>
      </c>
      <c r="B737" t="s">
        <v>199</v>
      </c>
      <c r="C737">
        <v>44.99</v>
      </c>
    </row>
    <row r="738" spans="1:6" x14ac:dyDescent="0.35">
      <c r="A738" t="s">
        <v>520</v>
      </c>
      <c r="B738" t="s">
        <v>224</v>
      </c>
      <c r="C738">
        <v>7.35</v>
      </c>
    </row>
    <row r="739" spans="1:6" x14ac:dyDescent="0.35">
      <c r="A739" t="s">
        <v>542</v>
      </c>
      <c r="B739" t="s">
        <v>573</v>
      </c>
      <c r="C739">
        <v>72.260000000000005</v>
      </c>
    </row>
    <row r="740" spans="1:6" x14ac:dyDescent="0.35">
      <c r="A740" t="s">
        <v>542</v>
      </c>
      <c r="B740" t="s">
        <v>545</v>
      </c>
      <c r="C740">
        <v>20.04</v>
      </c>
    </row>
    <row r="741" spans="1:6" x14ac:dyDescent="0.35">
      <c r="A741" t="s">
        <v>542</v>
      </c>
      <c r="B741" t="s">
        <v>544</v>
      </c>
      <c r="C741">
        <v>3.35</v>
      </c>
    </row>
    <row r="742" spans="1:6" x14ac:dyDescent="0.35">
      <c r="A742" t="s">
        <v>542</v>
      </c>
      <c r="B742" t="s">
        <v>544</v>
      </c>
      <c r="C742">
        <v>5.35</v>
      </c>
    </row>
    <row r="743" spans="1:6" x14ac:dyDescent="0.35">
      <c r="A743" t="s">
        <v>542</v>
      </c>
      <c r="B743" t="s">
        <v>543</v>
      </c>
      <c r="C743">
        <v>7.94</v>
      </c>
    </row>
    <row r="744" spans="1:6" x14ac:dyDescent="0.35">
      <c r="A744" t="s">
        <v>542</v>
      </c>
      <c r="B744" t="s">
        <v>587</v>
      </c>
      <c r="C744">
        <v>100</v>
      </c>
    </row>
    <row r="745" spans="1:6" x14ac:dyDescent="0.35">
      <c r="A745" t="s">
        <v>542</v>
      </c>
      <c r="B745" t="s">
        <v>595</v>
      </c>
      <c r="C745">
        <v>8</v>
      </c>
    </row>
    <row r="746" spans="1:6" x14ac:dyDescent="0.35">
      <c r="A746" t="s">
        <v>517</v>
      </c>
      <c r="B746" t="s">
        <v>20</v>
      </c>
      <c r="C746">
        <v>148.16</v>
      </c>
    </row>
    <row r="747" spans="1:6" x14ac:dyDescent="0.35">
      <c r="A747" t="s">
        <v>517</v>
      </c>
      <c r="B747" t="s">
        <v>23</v>
      </c>
      <c r="C747">
        <v>-3751.59</v>
      </c>
    </row>
    <row r="748" spans="1:6" x14ac:dyDescent="0.35">
      <c r="A748" t="s">
        <v>518</v>
      </c>
      <c r="B748" t="s">
        <v>75</v>
      </c>
      <c r="C748">
        <v>-536.54999999999995</v>
      </c>
    </row>
    <row r="749" spans="1:6" x14ac:dyDescent="0.35">
      <c r="A749" t="s">
        <v>518</v>
      </c>
      <c r="B749" t="s">
        <v>574</v>
      </c>
      <c r="C749">
        <v>8.99</v>
      </c>
    </row>
    <row r="750" spans="1:6" x14ac:dyDescent="0.35">
      <c r="A750" t="s">
        <v>518</v>
      </c>
      <c r="B750" t="s">
        <v>190</v>
      </c>
      <c r="C750">
        <v>70.62</v>
      </c>
    </row>
    <row r="751" spans="1:6" x14ac:dyDescent="0.35">
      <c r="C751">
        <v>0</v>
      </c>
      <c r="D751">
        <f>SUM(C618:C750)</f>
        <v>25890.209999999992</v>
      </c>
      <c r="E751">
        <f>SUM(C2:C750)</f>
        <v>196600.11999999994</v>
      </c>
      <c r="F751" t="s">
        <v>503</v>
      </c>
    </row>
    <row r="752" spans="1:6" x14ac:dyDescent="0.35">
      <c r="A752" t="s">
        <v>504</v>
      </c>
      <c r="B752" t="s">
        <v>82</v>
      </c>
      <c r="C752">
        <v>-0.03</v>
      </c>
    </row>
    <row r="753" spans="1:3" x14ac:dyDescent="0.35">
      <c r="A753" t="s">
        <v>504</v>
      </c>
      <c r="B753" t="s">
        <v>80</v>
      </c>
      <c r="C753">
        <v>20</v>
      </c>
    </row>
    <row r="754" spans="1:3" x14ac:dyDescent="0.35">
      <c r="A754" t="s">
        <v>504</v>
      </c>
      <c r="B754" t="s">
        <v>505</v>
      </c>
      <c r="C754">
        <v>7412</v>
      </c>
    </row>
    <row r="755" spans="1:3" x14ac:dyDescent="0.35">
      <c r="A755" t="s">
        <v>504</v>
      </c>
      <c r="B755" t="s">
        <v>120</v>
      </c>
      <c r="C755">
        <v>9.14</v>
      </c>
    </row>
    <row r="756" spans="1:3" x14ac:dyDescent="0.35">
      <c r="A756" t="s">
        <v>504</v>
      </c>
      <c r="B756" t="s">
        <v>543</v>
      </c>
      <c r="C756">
        <v>7.94</v>
      </c>
    </row>
    <row r="757" spans="1:3" x14ac:dyDescent="0.35">
      <c r="A757" t="s">
        <v>504</v>
      </c>
      <c r="B757" t="s">
        <v>588</v>
      </c>
      <c r="C757">
        <v>135</v>
      </c>
    </row>
    <row r="758" spans="1:3" x14ac:dyDescent="0.35">
      <c r="A758" t="s">
        <v>504</v>
      </c>
      <c r="B758" t="s">
        <v>256</v>
      </c>
      <c r="C758">
        <v>536.54999999999995</v>
      </c>
    </row>
    <row r="759" spans="1:3" x14ac:dyDescent="0.35">
      <c r="A759" t="s">
        <v>504</v>
      </c>
      <c r="B759" t="s">
        <v>597</v>
      </c>
      <c r="C759">
        <v>8</v>
      </c>
    </row>
    <row r="760" spans="1:3" x14ac:dyDescent="0.35">
      <c r="A760" t="s">
        <v>504</v>
      </c>
      <c r="B760" t="s">
        <v>583</v>
      </c>
      <c r="C760">
        <v>3553.8</v>
      </c>
    </row>
    <row r="761" spans="1:3" x14ac:dyDescent="0.35">
      <c r="A761" t="s">
        <v>504</v>
      </c>
      <c r="B761" t="s">
        <v>596</v>
      </c>
      <c r="C761">
        <v>8</v>
      </c>
    </row>
    <row r="762" spans="1:3" x14ac:dyDescent="0.35">
      <c r="A762" t="s">
        <v>504</v>
      </c>
      <c r="B762" t="s">
        <v>605</v>
      </c>
      <c r="C762">
        <v>2276.2600000000002</v>
      </c>
    </row>
    <row r="763" spans="1:3" x14ac:dyDescent="0.35">
      <c r="A763" t="s">
        <v>547</v>
      </c>
      <c r="B763" t="s">
        <v>53</v>
      </c>
      <c r="C763">
        <v>-256.82</v>
      </c>
    </row>
    <row r="764" spans="1:3" x14ac:dyDescent="0.35">
      <c r="A764" t="s">
        <v>547</v>
      </c>
      <c r="B764" t="s">
        <v>577</v>
      </c>
      <c r="C764">
        <v>42.84</v>
      </c>
    </row>
    <row r="765" spans="1:3" x14ac:dyDescent="0.35">
      <c r="A765" t="s">
        <v>547</v>
      </c>
      <c r="B765" t="s">
        <v>113</v>
      </c>
      <c r="C765">
        <v>10.9</v>
      </c>
    </row>
    <row r="766" spans="1:3" x14ac:dyDescent="0.35">
      <c r="A766" t="s">
        <v>547</v>
      </c>
      <c r="B766" t="s">
        <v>550</v>
      </c>
      <c r="C766">
        <v>4.99</v>
      </c>
    </row>
    <row r="767" spans="1:3" x14ac:dyDescent="0.35">
      <c r="A767" t="s">
        <v>546</v>
      </c>
      <c r="B767" t="s">
        <v>545</v>
      </c>
      <c r="C767">
        <v>12.25</v>
      </c>
    </row>
    <row r="768" spans="1:3" x14ac:dyDescent="0.35">
      <c r="A768" t="s">
        <v>546</v>
      </c>
      <c r="B768" t="s">
        <v>117</v>
      </c>
      <c r="C768">
        <v>2.85</v>
      </c>
    </row>
    <row r="769" spans="1:3" x14ac:dyDescent="0.35">
      <c r="A769" t="s">
        <v>546</v>
      </c>
      <c r="B769" t="s">
        <v>70</v>
      </c>
      <c r="C769">
        <v>19</v>
      </c>
    </row>
    <row r="770" spans="1:3" x14ac:dyDescent="0.35">
      <c r="A770" t="s">
        <v>546</v>
      </c>
      <c r="B770" t="s">
        <v>584</v>
      </c>
      <c r="C770">
        <v>256.82</v>
      </c>
    </row>
    <row r="771" spans="1:3" x14ac:dyDescent="0.35">
      <c r="A771" t="s">
        <v>622</v>
      </c>
      <c r="B771" t="s">
        <v>638</v>
      </c>
      <c r="C771">
        <v>6.4</v>
      </c>
    </row>
    <row r="772" spans="1:3" x14ac:dyDescent="0.35">
      <c r="A772" t="s">
        <v>622</v>
      </c>
      <c r="B772" t="s">
        <v>190</v>
      </c>
      <c r="C772">
        <v>123.3</v>
      </c>
    </row>
    <row r="773" spans="1:3" x14ac:dyDescent="0.35">
      <c r="A773" t="s">
        <v>622</v>
      </c>
      <c r="B773" t="s">
        <v>598</v>
      </c>
      <c r="C773">
        <v>32.700000000000003</v>
      </c>
    </row>
    <row r="774" spans="1:3" x14ac:dyDescent="0.35">
      <c r="A774" t="s">
        <v>622</v>
      </c>
      <c r="B774" t="s">
        <v>80</v>
      </c>
      <c r="C774">
        <v>20</v>
      </c>
    </row>
    <row r="775" spans="1:3" x14ac:dyDescent="0.35">
      <c r="A775" t="s">
        <v>622</v>
      </c>
      <c r="B775" t="s">
        <v>169</v>
      </c>
      <c r="C775">
        <v>55.99</v>
      </c>
    </row>
    <row r="776" spans="1:3" x14ac:dyDescent="0.35">
      <c r="A776" t="s">
        <v>622</v>
      </c>
      <c r="B776" t="s">
        <v>690</v>
      </c>
      <c r="C776">
        <v>585</v>
      </c>
    </row>
    <row r="777" spans="1:3" x14ac:dyDescent="0.35">
      <c r="A777" t="s">
        <v>662</v>
      </c>
      <c r="B777" t="s">
        <v>663</v>
      </c>
      <c r="C777">
        <v>337.85</v>
      </c>
    </row>
    <row r="778" spans="1:3" x14ac:dyDescent="0.35">
      <c r="A778" t="s">
        <v>639</v>
      </c>
      <c r="B778" t="s">
        <v>36</v>
      </c>
      <c r="C778">
        <v>125.67</v>
      </c>
    </row>
    <row r="779" spans="1:3" x14ac:dyDescent="0.35">
      <c r="A779" t="s">
        <v>639</v>
      </c>
      <c r="B779" t="s">
        <v>170</v>
      </c>
      <c r="C779">
        <v>55</v>
      </c>
    </row>
    <row r="780" spans="1:3" x14ac:dyDescent="0.35">
      <c r="A780" t="s">
        <v>506</v>
      </c>
      <c r="B780" t="s">
        <v>691</v>
      </c>
      <c r="C780">
        <v>40</v>
      </c>
    </row>
    <row r="781" spans="1:3" x14ac:dyDescent="0.35">
      <c r="A781" t="s">
        <v>506</v>
      </c>
      <c r="B781" t="s">
        <v>507</v>
      </c>
      <c r="C781">
        <v>20900</v>
      </c>
    </row>
    <row r="782" spans="1:3" x14ac:dyDescent="0.35">
      <c r="A782" t="s">
        <v>506</v>
      </c>
      <c r="B782" t="s">
        <v>652</v>
      </c>
      <c r="C782">
        <v>383.41</v>
      </c>
    </row>
    <row r="783" spans="1:3" x14ac:dyDescent="0.35">
      <c r="A783" t="s">
        <v>506</v>
      </c>
      <c r="B783" t="s">
        <v>675</v>
      </c>
      <c r="C783">
        <v>25</v>
      </c>
    </row>
    <row r="784" spans="1:3" x14ac:dyDescent="0.35">
      <c r="A784" t="s">
        <v>506</v>
      </c>
      <c r="B784" t="s">
        <v>676</v>
      </c>
      <c r="C784">
        <v>8</v>
      </c>
    </row>
    <row r="785" spans="1:3" x14ac:dyDescent="0.35">
      <c r="A785" t="s">
        <v>506</v>
      </c>
      <c r="B785" t="s">
        <v>677</v>
      </c>
      <c r="C785">
        <v>8</v>
      </c>
    </row>
    <row r="786" spans="1:3" x14ac:dyDescent="0.35">
      <c r="A786" t="s">
        <v>506</v>
      </c>
      <c r="B786" t="s">
        <v>22</v>
      </c>
      <c r="C786">
        <v>46.65</v>
      </c>
    </row>
    <row r="787" spans="1:3" x14ac:dyDescent="0.35">
      <c r="A787" t="s">
        <v>606</v>
      </c>
      <c r="B787" t="s">
        <v>134</v>
      </c>
      <c r="C787">
        <v>12.22</v>
      </c>
    </row>
    <row r="788" spans="1:3" x14ac:dyDescent="0.35">
      <c r="A788" t="s">
        <v>606</v>
      </c>
      <c r="B788" t="s">
        <v>134</v>
      </c>
      <c r="C788">
        <v>9.75</v>
      </c>
    </row>
    <row r="789" spans="1:3" x14ac:dyDescent="0.35">
      <c r="A789" t="s">
        <v>606</v>
      </c>
      <c r="B789" t="s">
        <v>607</v>
      </c>
      <c r="C789">
        <v>-0.28000000000000003</v>
      </c>
    </row>
    <row r="790" spans="1:3" x14ac:dyDescent="0.35">
      <c r="A790" t="s">
        <v>606</v>
      </c>
      <c r="B790" t="s">
        <v>659</v>
      </c>
      <c r="C790">
        <v>165.27</v>
      </c>
    </row>
    <row r="791" spans="1:3" x14ac:dyDescent="0.35">
      <c r="A791" t="s">
        <v>623</v>
      </c>
      <c r="B791" t="s">
        <v>686</v>
      </c>
      <c r="C791">
        <v>-20900</v>
      </c>
    </row>
    <row r="792" spans="1:3" x14ac:dyDescent="0.35">
      <c r="A792" t="s">
        <v>623</v>
      </c>
      <c r="B792" t="s">
        <v>687</v>
      </c>
      <c r="C792">
        <v>-11388.35</v>
      </c>
    </row>
    <row r="793" spans="1:3" x14ac:dyDescent="0.35">
      <c r="A793" t="s">
        <v>623</v>
      </c>
      <c r="B793" t="s">
        <v>688</v>
      </c>
      <c r="C793">
        <v>3117.49</v>
      </c>
    </row>
    <row r="794" spans="1:3" x14ac:dyDescent="0.35">
      <c r="A794" t="s">
        <v>623</v>
      </c>
      <c r="B794" t="s">
        <v>156</v>
      </c>
      <c r="C794">
        <v>157.91999999999999</v>
      </c>
    </row>
    <row r="795" spans="1:3" x14ac:dyDescent="0.35">
      <c r="A795" t="s">
        <v>623</v>
      </c>
      <c r="B795" t="s">
        <v>113</v>
      </c>
      <c r="C795">
        <v>6.54</v>
      </c>
    </row>
    <row r="796" spans="1:3" x14ac:dyDescent="0.35">
      <c r="A796" t="s">
        <v>623</v>
      </c>
      <c r="B796" t="s">
        <v>18</v>
      </c>
      <c r="C796">
        <v>23.13</v>
      </c>
    </row>
    <row r="797" spans="1:3" x14ac:dyDescent="0.35">
      <c r="A797" t="s">
        <v>623</v>
      </c>
      <c r="B797" t="s">
        <v>44</v>
      </c>
      <c r="C797">
        <v>2</v>
      </c>
    </row>
    <row r="798" spans="1:3" x14ac:dyDescent="0.35">
      <c r="A798" t="s">
        <v>623</v>
      </c>
      <c r="B798" t="s">
        <v>695</v>
      </c>
      <c r="C798">
        <v>-3117.49</v>
      </c>
    </row>
    <row r="799" spans="1:3" x14ac:dyDescent="0.35">
      <c r="A799" t="s">
        <v>653</v>
      </c>
      <c r="B799" t="s">
        <v>224</v>
      </c>
      <c r="C799">
        <v>7.35</v>
      </c>
    </row>
    <row r="800" spans="1:3" x14ac:dyDescent="0.35">
      <c r="A800" t="s">
        <v>653</v>
      </c>
      <c r="B800" t="s">
        <v>692</v>
      </c>
      <c r="C800">
        <v>475</v>
      </c>
    </row>
    <row r="801" spans="1:3" x14ac:dyDescent="0.35">
      <c r="A801" t="s">
        <v>673</v>
      </c>
      <c r="B801" t="s">
        <v>79</v>
      </c>
      <c r="C801">
        <v>6.08</v>
      </c>
    </row>
    <row r="802" spans="1:3" x14ac:dyDescent="0.35">
      <c r="A802" t="s">
        <v>673</v>
      </c>
      <c r="B802" t="s">
        <v>68</v>
      </c>
      <c r="C802">
        <v>99.95</v>
      </c>
    </row>
    <row r="803" spans="1:3" x14ac:dyDescent="0.35">
      <c r="A803" t="s">
        <v>624</v>
      </c>
      <c r="B803" t="s">
        <v>20</v>
      </c>
      <c r="C803">
        <v>125.22</v>
      </c>
    </row>
    <row r="804" spans="1:3" x14ac:dyDescent="0.35">
      <c r="A804" t="s">
        <v>624</v>
      </c>
      <c r="B804" t="s">
        <v>654</v>
      </c>
      <c r="C804">
        <v>23</v>
      </c>
    </row>
    <row r="805" spans="1:3" x14ac:dyDescent="0.35">
      <c r="A805" t="s">
        <v>624</v>
      </c>
      <c r="B805" t="s">
        <v>134</v>
      </c>
      <c r="C805">
        <v>11.18</v>
      </c>
    </row>
    <row r="806" spans="1:3" x14ac:dyDescent="0.35">
      <c r="A806" t="s">
        <v>624</v>
      </c>
      <c r="B806" t="s">
        <v>134</v>
      </c>
      <c r="C806">
        <v>10.01</v>
      </c>
    </row>
    <row r="807" spans="1:3" x14ac:dyDescent="0.35">
      <c r="A807" t="s">
        <v>508</v>
      </c>
      <c r="B807" t="s">
        <v>696</v>
      </c>
      <c r="C807">
        <v>319.41000000000003</v>
      </c>
    </row>
    <row r="808" spans="1:3" x14ac:dyDescent="0.35">
      <c r="A808" t="s">
        <v>508</v>
      </c>
      <c r="B808" t="s">
        <v>697</v>
      </c>
      <c r="C808">
        <v>143</v>
      </c>
    </row>
    <row r="809" spans="1:3" x14ac:dyDescent="0.35">
      <c r="A809" t="s">
        <v>508</v>
      </c>
      <c r="B809" t="s">
        <v>80</v>
      </c>
      <c r="C809">
        <v>20</v>
      </c>
    </row>
    <row r="810" spans="1:3" x14ac:dyDescent="0.35">
      <c r="A810" t="s">
        <v>508</v>
      </c>
      <c r="B810" t="s">
        <v>660</v>
      </c>
      <c r="C810">
        <v>48.46</v>
      </c>
    </row>
    <row r="811" spans="1:3" x14ac:dyDescent="0.35">
      <c r="A811" t="s">
        <v>508</v>
      </c>
      <c r="B811" t="s">
        <v>666</v>
      </c>
      <c r="C811">
        <v>49.42</v>
      </c>
    </row>
    <row r="812" spans="1:3" x14ac:dyDescent="0.35">
      <c r="A812" t="s">
        <v>508</v>
      </c>
      <c r="B812" t="s">
        <v>509</v>
      </c>
      <c r="C812">
        <v>4200</v>
      </c>
    </row>
    <row r="813" spans="1:3" x14ac:dyDescent="0.35">
      <c r="A813" t="s">
        <v>508</v>
      </c>
      <c r="B813" t="s">
        <v>649</v>
      </c>
      <c r="C813">
        <v>76.67</v>
      </c>
    </row>
    <row r="814" spans="1:3" x14ac:dyDescent="0.35">
      <c r="A814" t="s">
        <v>508</v>
      </c>
      <c r="B814" t="s">
        <v>670</v>
      </c>
      <c r="C814">
        <v>319.41000000000003</v>
      </c>
    </row>
    <row r="815" spans="1:3" x14ac:dyDescent="0.35">
      <c r="A815" t="s">
        <v>508</v>
      </c>
      <c r="B815" t="s">
        <v>678</v>
      </c>
      <c r="C815">
        <v>8</v>
      </c>
    </row>
    <row r="816" spans="1:3" x14ac:dyDescent="0.35">
      <c r="A816" t="s">
        <v>625</v>
      </c>
      <c r="B816" t="s">
        <v>656</v>
      </c>
      <c r="C816">
        <v>226.75</v>
      </c>
    </row>
    <row r="817" spans="1:3" x14ac:dyDescent="0.35">
      <c r="A817" t="s">
        <v>625</v>
      </c>
      <c r="B817" t="s">
        <v>626</v>
      </c>
      <c r="C817">
        <v>86.93</v>
      </c>
    </row>
    <row r="818" spans="1:3" x14ac:dyDescent="0.35">
      <c r="A818" t="s">
        <v>625</v>
      </c>
      <c r="B818" t="s">
        <v>119</v>
      </c>
      <c r="C818">
        <v>7.5</v>
      </c>
    </row>
    <row r="819" spans="1:3" x14ac:dyDescent="0.35">
      <c r="A819" t="s">
        <v>625</v>
      </c>
      <c r="B819" t="s">
        <v>655</v>
      </c>
      <c r="C819">
        <v>15.31</v>
      </c>
    </row>
    <row r="820" spans="1:3" x14ac:dyDescent="0.35">
      <c r="A820" t="s">
        <v>645</v>
      </c>
      <c r="B820" t="s">
        <v>484</v>
      </c>
      <c r="C820">
        <v>5.3</v>
      </c>
    </row>
    <row r="821" spans="1:3" x14ac:dyDescent="0.35">
      <c r="A821" t="s">
        <v>645</v>
      </c>
      <c r="B821" t="s">
        <v>123</v>
      </c>
      <c r="C821">
        <v>11.6</v>
      </c>
    </row>
    <row r="822" spans="1:3" x14ac:dyDescent="0.35">
      <c r="A822" t="s">
        <v>645</v>
      </c>
      <c r="B822" t="s">
        <v>672</v>
      </c>
      <c r="C822">
        <v>5500</v>
      </c>
    </row>
    <row r="823" spans="1:3" x14ac:dyDescent="0.35">
      <c r="A823" t="s">
        <v>645</v>
      </c>
      <c r="B823" t="s">
        <v>409</v>
      </c>
      <c r="C823">
        <v>-4200</v>
      </c>
    </row>
    <row r="824" spans="1:3" x14ac:dyDescent="0.35">
      <c r="A824" t="s">
        <v>617</v>
      </c>
      <c r="B824" t="s">
        <v>77</v>
      </c>
      <c r="C824">
        <v>80.28</v>
      </c>
    </row>
    <row r="825" spans="1:3" x14ac:dyDescent="0.35">
      <c r="A825" t="s">
        <v>617</v>
      </c>
      <c r="B825" t="s">
        <v>618</v>
      </c>
      <c r="C825">
        <v>189.23</v>
      </c>
    </row>
    <row r="826" spans="1:3" x14ac:dyDescent="0.35">
      <c r="A826" t="s">
        <v>617</v>
      </c>
      <c r="B826" t="s">
        <v>134</v>
      </c>
      <c r="C826">
        <v>10.68</v>
      </c>
    </row>
    <row r="827" spans="1:3" x14ac:dyDescent="0.35">
      <c r="A827" t="s">
        <v>617</v>
      </c>
      <c r="B827" t="s">
        <v>134</v>
      </c>
      <c r="C827">
        <v>10.97</v>
      </c>
    </row>
    <row r="828" spans="1:3" x14ac:dyDescent="0.35">
      <c r="A828" t="s">
        <v>617</v>
      </c>
      <c r="B828" t="s">
        <v>257</v>
      </c>
      <c r="C828">
        <v>1572.12</v>
      </c>
    </row>
    <row r="829" spans="1:3" x14ac:dyDescent="0.35">
      <c r="A829" t="s">
        <v>619</v>
      </c>
      <c r="B829" t="s">
        <v>620</v>
      </c>
      <c r="C829">
        <v>2838</v>
      </c>
    </row>
    <row r="830" spans="1:3" x14ac:dyDescent="0.35">
      <c r="A830" t="s">
        <v>619</v>
      </c>
      <c r="B830" t="s">
        <v>621</v>
      </c>
      <c r="C830">
        <v>495.5</v>
      </c>
    </row>
    <row r="831" spans="1:3" x14ac:dyDescent="0.35">
      <c r="A831" t="s">
        <v>619</v>
      </c>
      <c r="B831" t="s">
        <v>134</v>
      </c>
      <c r="C831">
        <v>11.19</v>
      </c>
    </row>
    <row r="832" spans="1:3" x14ac:dyDescent="0.35">
      <c r="A832" t="s">
        <v>619</v>
      </c>
      <c r="B832" t="s">
        <v>671</v>
      </c>
      <c r="C832">
        <v>191.81</v>
      </c>
    </row>
    <row r="833" spans="1:3" x14ac:dyDescent="0.35">
      <c r="A833" t="s">
        <v>619</v>
      </c>
      <c r="B833" t="s">
        <v>66</v>
      </c>
      <c r="C833">
        <v>2840.44</v>
      </c>
    </row>
    <row r="834" spans="1:3" x14ac:dyDescent="0.35">
      <c r="A834" t="s">
        <v>619</v>
      </c>
      <c r="B834" t="s">
        <v>693</v>
      </c>
      <c r="C834">
        <v>400</v>
      </c>
    </row>
    <row r="835" spans="1:3" x14ac:dyDescent="0.35">
      <c r="A835" t="s">
        <v>640</v>
      </c>
      <c r="B835" t="s">
        <v>78</v>
      </c>
      <c r="C835">
        <v>179.52</v>
      </c>
    </row>
    <row r="836" spans="1:3" x14ac:dyDescent="0.35">
      <c r="A836" t="s">
        <v>640</v>
      </c>
      <c r="B836" t="s">
        <v>113</v>
      </c>
      <c r="C836">
        <v>3.82</v>
      </c>
    </row>
    <row r="837" spans="1:3" x14ac:dyDescent="0.35">
      <c r="A837" t="s">
        <v>640</v>
      </c>
      <c r="B837" t="s">
        <v>113</v>
      </c>
      <c r="C837">
        <v>3.82</v>
      </c>
    </row>
    <row r="838" spans="1:3" x14ac:dyDescent="0.35">
      <c r="A838" t="s">
        <v>640</v>
      </c>
      <c r="B838" t="s">
        <v>117</v>
      </c>
      <c r="C838">
        <v>4.2699999999999996</v>
      </c>
    </row>
    <row r="839" spans="1:3" x14ac:dyDescent="0.35">
      <c r="A839" t="s">
        <v>640</v>
      </c>
      <c r="B839" t="s">
        <v>134</v>
      </c>
      <c r="C839">
        <v>11.06</v>
      </c>
    </row>
    <row r="840" spans="1:3" x14ac:dyDescent="0.35">
      <c r="A840" t="s">
        <v>640</v>
      </c>
      <c r="B840" t="s">
        <v>134</v>
      </c>
      <c r="C840">
        <v>9.59</v>
      </c>
    </row>
    <row r="841" spans="1:3" x14ac:dyDescent="0.35">
      <c r="A841" t="s">
        <v>641</v>
      </c>
      <c r="B841" t="s">
        <v>444</v>
      </c>
      <c r="C841">
        <v>15.19</v>
      </c>
    </row>
    <row r="842" spans="1:3" x14ac:dyDescent="0.35">
      <c r="A842" t="s">
        <v>641</v>
      </c>
      <c r="B842" t="s">
        <v>642</v>
      </c>
      <c r="C842">
        <v>12.76</v>
      </c>
    </row>
    <row r="843" spans="1:3" x14ac:dyDescent="0.35">
      <c r="A843" t="s">
        <v>679</v>
      </c>
      <c r="B843" t="s">
        <v>680</v>
      </c>
      <c r="C843">
        <v>8</v>
      </c>
    </row>
    <row r="844" spans="1:3" x14ac:dyDescent="0.35">
      <c r="A844" t="s">
        <v>657</v>
      </c>
      <c r="B844" t="s">
        <v>80</v>
      </c>
      <c r="C844">
        <v>20</v>
      </c>
    </row>
    <row r="845" spans="1:3" x14ac:dyDescent="0.35">
      <c r="A845" t="s">
        <v>657</v>
      </c>
      <c r="B845" t="s">
        <v>664</v>
      </c>
      <c r="C845">
        <v>2678</v>
      </c>
    </row>
    <row r="846" spans="1:3" x14ac:dyDescent="0.35">
      <c r="A846" t="s">
        <v>657</v>
      </c>
      <c r="B846" t="s">
        <v>227</v>
      </c>
      <c r="C846">
        <v>32</v>
      </c>
    </row>
    <row r="847" spans="1:3" x14ac:dyDescent="0.35">
      <c r="A847" t="s">
        <v>657</v>
      </c>
      <c r="B847" t="s">
        <v>227</v>
      </c>
      <c r="C847">
        <v>32</v>
      </c>
    </row>
    <row r="848" spans="1:3" x14ac:dyDescent="0.35">
      <c r="A848" t="s">
        <v>657</v>
      </c>
      <c r="B848" t="s">
        <v>674</v>
      </c>
      <c r="C848">
        <v>262.95</v>
      </c>
    </row>
    <row r="849" spans="1:3" x14ac:dyDescent="0.35">
      <c r="A849" t="s">
        <v>657</v>
      </c>
      <c r="B849" t="s">
        <v>277</v>
      </c>
      <c r="C849">
        <v>2193.73</v>
      </c>
    </row>
    <row r="850" spans="1:3" x14ac:dyDescent="0.35">
      <c r="A850" t="s">
        <v>646</v>
      </c>
      <c r="B850" t="s">
        <v>224</v>
      </c>
      <c r="C850">
        <v>105.55</v>
      </c>
    </row>
    <row r="851" spans="1:3" x14ac:dyDescent="0.35">
      <c r="A851" t="s">
        <v>646</v>
      </c>
      <c r="B851" t="s">
        <v>543</v>
      </c>
      <c r="C851">
        <v>7.94</v>
      </c>
    </row>
    <row r="852" spans="1:3" x14ac:dyDescent="0.35">
      <c r="A852" t="s">
        <v>646</v>
      </c>
      <c r="B852" t="s">
        <v>67</v>
      </c>
      <c r="C852">
        <v>66.849999999999994</v>
      </c>
    </row>
    <row r="853" spans="1:3" x14ac:dyDescent="0.35">
      <c r="A853" t="s">
        <v>646</v>
      </c>
      <c r="B853" t="s">
        <v>59</v>
      </c>
      <c r="C853">
        <v>578.66999999999996</v>
      </c>
    </row>
    <row r="854" spans="1:3" x14ac:dyDescent="0.35">
      <c r="A854" t="s">
        <v>647</v>
      </c>
      <c r="B854" t="s">
        <v>302</v>
      </c>
      <c r="C854">
        <v>15.71</v>
      </c>
    </row>
    <row r="855" spans="1:3" x14ac:dyDescent="0.35">
      <c r="A855" t="s">
        <v>647</v>
      </c>
      <c r="B855" t="s">
        <v>68</v>
      </c>
      <c r="C855">
        <v>28.65</v>
      </c>
    </row>
    <row r="856" spans="1:3" x14ac:dyDescent="0.35">
      <c r="A856" t="s">
        <v>650</v>
      </c>
      <c r="B856" t="s">
        <v>698</v>
      </c>
      <c r="C856">
        <v>1900</v>
      </c>
    </row>
    <row r="857" spans="1:3" x14ac:dyDescent="0.35">
      <c r="A857" t="s">
        <v>650</v>
      </c>
      <c r="B857" t="s">
        <v>131</v>
      </c>
      <c r="C857">
        <v>160</v>
      </c>
    </row>
    <row r="858" spans="1:3" x14ac:dyDescent="0.35">
      <c r="A858" t="s">
        <v>650</v>
      </c>
      <c r="B858" t="s">
        <v>126</v>
      </c>
      <c r="C858">
        <v>7</v>
      </c>
    </row>
    <row r="859" spans="1:3" x14ac:dyDescent="0.35">
      <c r="A859" t="s">
        <v>650</v>
      </c>
      <c r="B859" t="s">
        <v>134</v>
      </c>
      <c r="C859">
        <v>10.32</v>
      </c>
    </row>
    <row r="860" spans="1:3" x14ac:dyDescent="0.35">
      <c r="A860" t="s">
        <v>650</v>
      </c>
      <c r="B860" t="s">
        <v>134</v>
      </c>
      <c r="C860">
        <v>11.06</v>
      </c>
    </row>
    <row r="861" spans="1:3" x14ac:dyDescent="0.35">
      <c r="A861" t="s">
        <v>650</v>
      </c>
      <c r="B861" t="s">
        <v>694</v>
      </c>
      <c r="C861">
        <v>310</v>
      </c>
    </row>
    <row r="862" spans="1:3" x14ac:dyDescent="0.35">
      <c r="A862" t="s">
        <v>627</v>
      </c>
      <c r="B862" t="s">
        <v>667</v>
      </c>
      <c r="C862">
        <v>47.27</v>
      </c>
    </row>
    <row r="863" spans="1:3" x14ac:dyDescent="0.35">
      <c r="A863" t="s">
        <v>627</v>
      </c>
      <c r="B863" t="s">
        <v>20</v>
      </c>
      <c r="C863">
        <v>45.1</v>
      </c>
    </row>
    <row r="864" spans="1:3" x14ac:dyDescent="0.35">
      <c r="A864" t="s">
        <v>627</v>
      </c>
      <c r="B864" t="s">
        <v>119</v>
      </c>
      <c r="C864">
        <v>13.25</v>
      </c>
    </row>
    <row r="865" spans="1:3" x14ac:dyDescent="0.35">
      <c r="A865" t="s">
        <v>627</v>
      </c>
      <c r="B865" t="s">
        <v>134</v>
      </c>
      <c r="C865">
        <v>9.7799999999999994</v>
      </c>
    </row>
    <row r="866" spans="1:3" x14ac:dyDescent="0.35">
      <c r="A866" t="s">
        <v>627</v>
      </c>
      <c r="B866" t="s">
        <v>124</v>
      </c>
      <c r="C866">
        <v>35.03</v>
      </c>
    </row>
    <row r="867" spans="1:3" x14ac:dyDescent="0.35">
      <c r="A867" t="s">
        <v>627</v>
      </c>
      <c r="B867" t="s">
        <v>190</v>
      </c>
      <c r="C867">
        <v>56.43</v>
      </c>
    </row>
    <row r="868" spans="1:3" x14ac:dyDescent="0.35">
      <c r="A868" t="s">
        <v>627</v>
      </c>
      <c r="B868" t="s">
        <v>134</v>
      </c>
      <c r="C868">
        <v>10.98</v>
      </c>
    </row>
    <row r="869" spans="1:3" x14ac:dyDescent="0.35">
      <c r="A869" t="s">
        <v>637</v>
      </c>
      <c r="B869" t="s">
        <v>199</v>
      </c>
      <c r="C869">
        <v>44.99</v>
      </c>
    </row>
    <row r="870" spans="1:3" x14ac:dyDescent="0.35">
      <c r="A870" t="s">
        <v>637</v>
      </c>
      <c r="B870" t="s">
        <v>681</v>
      </c>
      <c r="C870">
        <v>8</v>
      </c>
    </row>
    <row r="871" spans="1:3" x14ac:dyDescent="0.35">
      <c r="A871" t="s">
        <v>631</v>
      </c>
      <c r="B871" t="s">
        <v>79</v>
      </c>
      <c r="C871">
        <v>13.06</v>
      </c>
    </row>
    <row r="872" spans="1:3" x14ac:dyDescent="0.35">
      <c r="A872" t="s">
        <v>631</v>
      </c>
      <c r="B872" t="s">
        <v>648</v>
      </c>
      <c r="C872">
        <v>100.87</v>
      </c>
    </row>
    <row r="873" spans="1:3" x14ac:dyDescent="0.35">
      <c r="A873" t="s">
        <v>631</v>
      </c>
      <c r="B873" t="s">
        <v>134</v>
      </c>
      <c r="C873">
        <v>10.92</v>
      </c>
    </row>
    <row r="874" spans="1:3" x14ac:dyDescent="0.35">
      <c r="A874" t="s">
        <v>631</v>
      </c>
      <c r="B874" t="s">
        <v>23</v>
      </c>
      <c r="C874">
        <v>-2242.9699999999998</v>
      </c>
    </row>
    <row r="875" spans="1:3" x14ac:dyDescent="0.35">
      <c r="A875" t="s">
        <v>612</v>
      </c>
      <c r="B875" t="s">
        <v>75</v>
      </c>
      <c r="C875">
        <v>-544.37</v>
      </c>
    </row>
    <row r="876" spans="1:3" x14ac:dyDescent="0.35">
      <c r="A876" t="s">
        <v>612</v>
      </c>
      <c r="B876" t="s">
        <v>665</v>
      </c>
      <c r="C876">
        <v>8.99</v>
      </c>
    </row>
    <row r="877" spans="1:3" x14ac:dyDescent="0.35">
      <c r="A877" t="s">
        <v>612</v>
      </c>
      <c r="B877" t="s">
        <v>613</v>
      </c>
      <c r="C877">
        <v>7412</v>
      </c>
    </row>
    <row r="878" spans="1:3" x14ac:dyDescent="0.35">
      <c r="A878" t="s">
        <v>612</v>
      </c>
      <c r="B878" t="s">
        <v>658</v>
      </c>
      <c r="C878">
        <v>56.16</v>
      </c>
    </row>
    <row r="879" spans="1:3" x14ac:dyDescent="0.35">
      <c r="A879" t="s">
        <v>612</v>
      </c>
      <c r="B879" t="s">
        <v>651</v>
      </c>
      <c r="C879">
        <v>110.46</v>
      </c>
    </row>
    <row r="880" spans="1:3" x14ac:dyDescent="0.35">
      <c r="A880" t="s">
        <v>612</v>
      </c>
      <c r="B880" t="s">
        <v>682</v>
      </c>
      <c r="C880">
        <v>8</v>
      </c>
    </row>
    <row r="881" spans="1:6" x14ac:dyDescent="0.35">
      <c r="A881" t="s">
        <v>612</v>
      </c>
      <c r="B881" t="s">
        <v>689</v>
      </c>
      <c r="C881">
        <v>-0.06</v>
      </c>
    </row>
    <row r="882" spans="1:6" x14ac:dyDescent="0.35">
      <c r="C882">
        <v>0</v>
      </c>
      <c r="D882">
        <f>SUM(C752:C881)</f>
        <v>35008.780000000006</v>
      </c>
      <c r="E882">
        <f>SUM(C2:C881)</f>
        <v>231608.89999999997</v>
      </c>
      <c r="F882" t="s">
        <v>614</v>
      </c>
    </row>
    <row r="883" spans="1:6" x14ac:dyDescent="0.35">
      <c r="A883" t="s">
        <v>643</v>
      </c>
      <c r="B883" t="s">
        <v>80</v>
      </c>
      <c r="C883">
        <v>20</v>
      </c>
    </row>
    <row r="884" spans="1:6" x14ac:dyDescent="0.35">
      <c r="A884" t="s">
        <v>643</v>
      </c>
      <c r="B884" t="s">
        <v>543</v>
      </c>
      <c r="C884">
        <v>8.02</v>
      </c>
    </row>
    <row r="885" spans="1:6" x14ac:dyDescent="0.35">
      <c r="A885" t="s">
        <v>643</v>
      </c>
      <c r="B885" t="s">
        <v>117</v>
      </c>
      <c r="C885">
        <v>2.85</v>
      </c>
    </row>
    <row r="886" spans="1:6" x14ac:dyDescent="0.35">
      <c r="A886" t="s">
        <v>643</v>
      </c>
      <c r="B886" t="s">
        <v>588</v>
      </c>
      <c r="C886">
        <v>135</v>
      </c>
    </row>
    <row r="887" spans="1:6" x14ac:dyDescent="0.35">
      <c r="A887" t="s">
        <v>643</v>
      </c>
      <c r="B887" t="s">
        <v>256</v>
      </c>
      <c r="C887">
        <v>544.37</v>
      </c>
    </row>
    <row r="888" spans="1:6" x14ac:dyDescent="0.35">
      <c r="A888" t="s">
        <v>628</v>
      </c>
      <c r="B888" t="s">
        <v>18</v>
      </c>
      <c r="C888">
        <v>7.71</v>
      </c>
    </row>
    <row r="889" spans="1:6" x14ac:dyDescent="0.35">
      <c r="A889" t="s">
        <v>628</v>
      </c>
      <c r="B889" t="s">
        <v>18</v>
      </c>
      <c r="C889">
        <v>4.68</v>
      </c>
    </row>
    <row r="890" spans="1:6" x14ac:dyDescent="0.35">
      <c r="A890" t="s">
        <v>628</v>
      </c>
      <c r="B890" t="s">
        <v>788</v>
      </c>
      <c r="C890">
        <v>400</v>
      </c>
    </row>
    <row r="891" spans="1:6" x14ac:dyDescent="0.35">
      <c r="A891" t="s">
        <v>629</v>
      </c>
      <c r="B891" t="s">
        <v>123</v>
      </c>
      <c r="C891">
        <v>8.84</v>
      </c>
    </row>
    <row r="892" spans="1:6" x14ac:dyDescent="0.35">
      <c r="A892" t="s">
        <v>629</v>
      </c>
      <c r="B892" t="s">
        <v>20</v>
      </c>
      <c r="C892">
        <v>167.04</v>
      </c>
    </row>
    <row r="893" spans="1:6" x14ac:dyDescent="0.35">
      <c r="A893" t="s">
        <v>629</v>
      </c>
      <c r="B893" t="s">
        <v>53</v>
      </c>
      <c r="C893">
        <v>-352.59</v>
      </c>
    </row>
    <row r="894" spans="1:6" x14ac:dyDescent="0.35">
      <c r="A894" t="s">
        <v>630</v>
      </c>
      <c r="B894" t="s">
        <v>783</v>
      </c>
      <c r="C894">
        <v>19.079999999999998</v>
      </c>
    </row>
    <row r="895" spans="1:6" x14ac:dyDescent="0.35">
      <c r="A895" t="s">
        <v>630</v>
      </c>
      <c r="B895" t="s">
        <v>134</v>
      </c>
      <c r="C895">
        <v>10.1</v>
      </c>
    </row>
    <row r="896" spans="1:6" x14ac:dyDescent="0.35">
      <c r="A896" t="s">
        <v>630</v>
      </c>
      <c r="B896" t="s">
        <v>134</v>
      </c>
      <c r="C896">
        <v>10.050000000000001</v>
      </c>
    </row>
    <row r="897" spans="1:3" x14ac:dyDescent="0.35">
      <c r="A897" t="s">
        <v>630</v>
      </c>
      <c r="B897" t="s">
        <v>95</v>
      </c>
      <c r="C897">
        <v>12.65</v>
      </c>
    </row>
    <row r="898" spans="1:3" x14ac:dyDescent="0.35">
      <c r="A898" t="s">
        <v>632</v>
      </c>
      <c r="B898" t="s">
        <v>661</v>
      </c>
      <c r="C898">
        <v>62.81</v>
      </c>
    </row>
    <row r="899" spans="1:3" x14ac:dyDescent="0.35">
      <c r="A899" t="s">
        <v>632</v>
      </c>
      <c r="B899" t="s">
        <v>636</v>
      </c>
      <c r="C899">
        <v>1.85</v>
      </c>
    </row>
    <row r="900" spans="1:3" x14ac:dyDescent="0.35">
      <c r="A900" t="s">
        <v>632</v>
      </c>
      <c r="B900" t="s">
        <v>644</v>
      </c>
      <c r="C900">
        <v>9.49</v>
      </c>
    </row>
    <row r="901" spans="1:3" x14ac:dyDescent="0.35">
      <c r="A901" t="s">
        <v>632</v>
      </c>
      <c r="B901" t="s">
        <v>635</v>
      </c>
      <c r="C901">
        <v>124.94</v>
      </c>
    </row>
    <row r="902" spans="1:3" x14ac:dyDescent="0.35">
      <c r="A902" t="s">
        <v>632</v>
      </c>
      <c r="B902" t="s">
        <v>633</v>
      </c>
      <c r="C902">
        <v>2.25</v>
      </c>
    </row>
    <row r="903" spans="1:3" x14ac:dyDescent="0.35">
      <c r="A903" t="s">
        <v>632</v>
      </c>
      <c r="B903" t="s">
        <v>634</v>
      </c>
      <c r="C903">
        <v>13</v>
      </c>
    </row>
    <row r="904" spans="1:3" x14ac:dyDescent="0.35">
      <c r="A904" t="s">
        <v>632</v>
      </c>
      <c r="B904" t="s">
        <v>633</v>
      </c>
      <c r="C904">
        <v>-2.25</v>
      </c>
    </row>
    <row r="905" spans="1:3" x14ac:dyDescent="0.35">
      <c r="A905" t="s">
        <v>632</v>
      </c>
      <c r="B905" t="s">
        <v>588</v>
      </c>
      <c r="C905">
        <v>100</v>
      </c>
    </row>
    <row r="906" spans="1:3" x14ac:dyDescent="0.35">
      <c r="A906" t="s">
        <v>632</v>
      </c>
      <c r="B906" t="s">
        <v>683</v>
      </c>
      <c r="C906">
        <v>8</v>
      </c>
    </row>
    <row r="907" spans="1:3" x14ac:dyDescent="0.35">
      <c r="A907" t="s">
        <v>632</v>
      </c>
      <c r="B907" t="s">
        <v>721</v>
      </c>
      <c r="C907">
        <v>4</v>
      </c>
    </row>
    <row r="908" spans="1:3" x14ac:dyDescent="0.35">
      <c r="A908" t="s">
        <v>632</v>
      </c>
      <c r="B908" t="s">
        <v>169</v>
      </c>
      <c r="C908">
        <v>55.99</v>
      </c>
    </row>
    <row r="909" spans="1:3" x14ac:dyDescent="0.35">
      <c r="A909" t="s">
        <v>632</v>
      </c>
      <c r="B909" t="s">
        <v>784</v>
      </c>
      <c r="C909">
        <v>19.77</v>
      </c>
    </row>
    <row r="910" spans="1:3" x14ac:dyDescent="0.35">
      <c r="A910" t="s">
        <v>632</v>
      </c>
      <c r="B910" t="s">
        <v>598</v>
      </c>
      <c r="C910">
        <v>32.700000000000003</v>
      </c>
    </row>
    <row r="911" spans="1:3" x14ac:dyDescent="0.35">
      <c r="A911" t="s">
        <v>668</v>
      </c>
      <c r="B911" t="s">
        <v>123</v>
      </c>
      <c r="C911">
        <v>11.6</v>
      </c>
    </row>
    <row r="912" spans="1:3" x14ac:dyDescent="0.35">
      <c r="A912" t="s">
        <v>668</v>
      </c>
      <c r="B912" t="s">
        <v>636</v>
      </c>
      <c r="C912">
        <v>1.75</v>
      </c>
    </row>
    <row r="913" spans="1:3" x14ac:dyDescent="0.35">
      <c r="A913" t="s">
        <v>668</v>
      </c>
      <c r="B913" t="s">
        <v>633</v>
      </c>
      <c r="C913">
        <v>1.35</v>
      </c>
    </row>
    <row r="914" spans="1:3" x14ac:dyDescent="0.35">
      <c r="A914" t="s">
        <v>668</v>
      </c>
      <c r="B914" t="s">
        <v>633</v>
      </c>
      <c r="C914">
        <v>1.35</v>
      </c>
    </row>
    <row r="915" spans="1:3" x14ac:dyDescent="0.35">
      <c r="A915" t="s">
        <v>668</v>
      </c>
      <c r="B915" t="s">
        <v>633</v>
      </c>
      <c r="C915">
        <v>1.75</v>
      </c>
    </row>
    <row r="916" spans="1:3" x14ac:dyDescent="0.35">
      <c r="A916" t="s">
        <v>668</v>
      </c>
      <c r="B916" t="s">
        <v>634</v>
      </c>
      <c r="C916">
        <v>13</v>
      </c>
    </row>
    <row r="917" spans="1:3" x14ac:dyDescent="0.35">
      <c r="A917" t="s">
        <v>668</v>
      </c>
      <c r="B917" t="s">
        <v>721</v>
      </c>
      <c r="C917">
        <v>5.71</v>
      </c>
    </row>
    <row r="918" spans="1:3" x14ac:dyDescent="0.35">
      <c r="A918" t="s">
        <v>668</v>
      </c>
      <c r="B918" t="s">
        <v>739</v>
      </c>
      <c r="C918">
        <v>15.18</v>
      </c>
    </row>
    <row r="919" spans="1:3" x14ac:dyDescent="0.35">
      <c r="A919" t="s">
        <v>668</v>
      </c>
      <c r="B919" t="s">
        <v>669</v>
      </c>
      <c r="C919">
        <v>38.18</v>
      </c>
    </row>
    <row r="920" spans="1:3" x14ac:dyDescent="0.35">
      <c r="A920" t="s">
        <v>668</v>
      </c>
      <c r="B920" t="s">
        <v>762</v>
      </c>
      <c r="C920">
        <v>352.59</v>
      </c>
    </row>
    <row r="921" spans="1:3" x14ac:dyDescent="0.35">
      <c r="A921" t="s">
        <v>708</v>
      </c>
      <c r="B921" t="s">
        <v>722</v>
      </c>
      <c r="C921">
        <v>1.75</v>
      </c>
    </row>
    <row r="922" spans="1:3" x14ac:dyDescent="0.35">
      <c r="A922" t="s">
        <v>708</v>
      </c>
      <c r="B922" t="s">
        <v>722</v>
      </c>
      <c r="C922">
        <v>5.04</v>
      </c>
    </row>
    <row r="923" spans="1:3" x14ac:dyDescent="0.35">
      <c r="A923" t="s">
        <v>708</v>
      </c>
      <c r="B923" t="s">
        <v>633</v>
      </c>
      <c r="C923">
        <v>1.35</v>
      </c>
    </row>
    <row r="924" spans="1:3" x14ac:dyDescent="0.35">
      <c r="A924" t="s">
        <v>708</v>
      </c>
      <c r="B924" t="s">
        <v>633</v>
      </c>
      <c r="C924">
        <v>1.35</v>
      </c>
    </row>
    <row r="925" spans="1:3" x14ac:dyDescent="0.35">
      <c r="A925" t="s">
        <v>708</v>
      </c>
      <c r="B925" t="s">
        <v>634</v>
      </c>
      <c r="C925">
        <v>13</v>
      </c>
    </row>
    <row r="926" spans="1:3" x14ac:dyDescent="0.35">
      <c r="A926" t="s">
        <v>708</v>
      </c>
      <c r="B926" t="s">
        <v>20</v>
      </c>
      <c r="C926">
        <v>117.76</v>
      </c>
    </row>
    <row r="927" spans="1:3" x14ac:dyDescent="0.35">
      <c r="A927" t="s">
        <v>708</v>
      </c>
      <c r="B927" t="s">
        <v>170</v>
      </c>
      <c r="C927">
        <v>55</v>
      </c>
    </row>
    <row r="928" spans="1:3" x14ac:dyDescent="0.35">
      <c r="A928" t="s">
        <v>684</v>
      </c>
      <c r="B928" t="s">
        <v>770</v>
      </c>
      <c r="C928">
        <v>8</v>
      </c>
    </row>
    <row r="929" spans="1:3" x14ac:dyDescent="0.35">
      <c r="A929" t="s">
        <v>684</v>
      </c>
      <c r="B929" t="s">
        <v>757</v>
      </c>
      <c r="C929">
        <v>347.25</v>
      </c>
    </row>
    <row r="930" spans="1:3" x14ac:dyDescent="0.35">
      <c r="A930" t="s">
        <v>684</v>
      </c>
      <c r="B930" t="s">
        <v>685</v>
      </c>
      <c r="C930">
        <v>-0.25</v>
      </c>
    </row>
    <row r="931" spans="1:3" x14ac:dyDescent="0.35">
      <c r="A931" t="s">
        <v>684</v>
      </c>
      <c r="B931" t="s">
        <v>190</v>
      </c>
      <c r="C931">
        <v>101.18</v>
      </c>
    </row>
    <row r="932" spans="1:3" x14ac:dyDescent="0.35">
      <c r="A932" t="s">
        <v>684</v>
      </c>
      <c r="B932" t="s">
        <v>124</v>
      </c>
      <c r="C932">
        <v>128.26</v>
      </c>
    </row>
    <row r="933" spans="1:3" x14ac:dyDescent="0.35">
      <c r="A933" t="s">
        <v>723</v>
      </c>
      <c r="B933" t="s">
        <v>789</v>
      </c>
      <c r="C933">
        <v>320</v>
      </c>
    </row>
    <row r="934" spans="1:3" x14ac:dyDescent="0.35">
      <c r="A934" t="s">
        <v>723</v>
      </c>
      <c r="B934" t="s">
        <v>763</v>
      </c>
      <c r="C934">
        <v>1370.59</v>
      </c>
    </row>
    <row r="935" spans="1:3" x14ac:dyDescent="0.35">
      <c r="A935" t="s">
        <v>723</v>
      </c>
      <c r="B935" t="s">
        <v>117</v>
      </c>
      <c r="C935">
        <v>7.46</v>
      </c>
    </row>
    <row r="936" spans="1:3" x14ac:dyDescent="0.35">
      <c r="A936" t="s">
        <v>723</v>
      </c>
      <c r="B936" t="s">
        <v>168</v>
      </c>
      <c r="C936">
        <v>16.55</v>
      </c>
    </row>
    <row r="937" spans="1:3" x14ac:dyDescent="0.35">
      <c r="A937" t="s">
        <v>723</v>
      </c>
      <c r="B937" t="s">
        <v>793</v>
      </c>
      <c r="C937">
        <v>511.22</v>
      </c>
    </row>
    <row r="938" spans="1:3" x14ac:dyDescent="0.35">
      <c r="A938" t="s">
        <v>709</v>
      </c>
      <c r="B938" t="s">
        <v>95</v>
      </c>
      <c r="C938">
        <v>2.56</v>
      </c>
    </row>
    <row r="939" spans="1:3" x14ac:dyDescent="0.35">
      <c r="A939" t="s">
        <v>744</v>
      </c>
      <c r="B939" t="s">
        <v>79</v>
      </c>
      <c r="C939">
        <v>9.09</v>
      </c>
    </row>
    <row r="940" spans="1:3" x14ac:dyDescent="0.35">
      <c r="A940" t="s">
        <v>744</v>
      </c>
      <c r="B940" t="s">
        <v>752</v>
      </c>
      <c r="C940">
        <v>152.03</v>
      </c>
    </row>
    <row r="941" spans="1:3" x14ac:dyDescent="0.35">
      <c r="A941" t="s">
        <v>744</v>
      </c>
      <c r="B941" t="s">
        <v>451</v>
      </c>
      <c r="C941">
        <v>750.06</v>
      </c>
    </row>
    <row r="942" spans="1:3" x14ac:dyDescent="0.35">
      <c r="A942" t="s">
        <v>744</v>
      </c>
      <c r="B942" t="s">
        <v>747</v>
      </c>
      <c r="C942">
        <v>160.44999999999999</v>
      </c>
    </row>
    <row r="943" spans="1:3" x14ac:dyDescent="0.35">
      <c r="A943" t="s">
        <v>744</v>
      </c>
      <c r="B943" t="s">
        <v>746</v>
      </c>
      <c r="C943">
        <v>190.19</v>
      </c>
    </row>
    <row r="944" spans="1:3" x14ac:dyDescent="0.35">
      <c r="A944" t="s">
        <v>744</v>
      </c>
      <c r="B944" t="s">
        <v>68</v>
      </c>
      <c r="C944">
        <v>178.41</v>
      </c>
    </row>
    <row r="945" spans="1:3" x14ac:dyDescent="0.35">
      <c r="A945" t="s">
        <v>744</v>
      </c>
      <c r="B945" t="s">
        <v>772</v>
      </c>
      <c r="C945">
        <v>8</v>
      </c>
    </row>
    <row r="946" spans="1:3" x14ac:dyDescent="0.35">
      <c r="A946" t="s">
        <v>744</v>
      </c>
      <c r="B946" t="s">
        <v>771</v>
      </c>
      <c r="C946">
        <v>5</v>
      </c>
    </row>
    <row r="947" spans="1:3" x14ac:dyDescent="0.35">
      <c r="A947" t="s">
        <v>724</v>
      </c>
      <c r="B947" t="s">
        <v>80</v>
      </c>
      <c r="C947">
        <v>20</v>
      </c>
    </row>
    <row r="948" spans="1:3" x14ac:dyDescent="0.35">
      <c r="A948" t="s">
        <v>724</v>
      </c>
      <c r="B948" t="s">
        <v>725</v>
      </c>
      <c r="C948">
        <v>19.72</v>
      </c>
    </row>
    <row r="949" spans="1:3" x14ac:dyDescent="0.35">
      <c r="A949" t="s">
        <v>724</v>
      </c>
      <c r="B949" t="s">
        <v>726</v>
      </c>
      <c r="C949">
        <v>5.73</v>
      </c>
    </row>
    <row r="950" spans="1:3" x14ac:dyDescent="0.35">
      <c r="A950" t="s">
        <v>724</v>
      </c>
      <c r="B950" t="s">
        <v>725</v>
      </c>
      <c r="C950">
        <v>-19.72</v>
      </c>
    </row>
    <row r="951" spans="1:3" x14ac:dyDescent="0.35">
      <c r="A951" t="s">
        <v>724</v>
      </c>
      <c r="B951" t="s">
        <v>760</v>
      </c>
      <c r="C951">
        <v>155.41</v>
      </c>
    </row>
    <row r="952" spans="1:3" x14ac:dyDescent="0.35">
      <c r="A952" t="s">
        <v>724</v>
      </c>
      <c r="B952" t="s">
        <v>790</v>
      </c>
      <c r="C952">
        <v>240</v>
      </c>
    </row>
    <row r="953" spans="1:3" x14ac:dyDescent="0.35">
      <c r="A953" t="s">
        <v>615</v>
      </c>
      <c r="B953" t="s">
        <v>616</v>
      </c>
      <c r="C953">
        <v>4200</v>
      </c>
    </row>
    <row r="954" spans="1:3" x14ac:dyDescent="0.35">
      <c r="A954" t="s">
        <v>615</v>
      </c>
      <c r="B954" t="s">
        <v>543</v>
      </c>
      <c r="C954">
        <v>8.02</v>
      </c>
    </row>
    <row r="955" spans="1:3" x14ac:dyDescent="0.35">
      <c r="A955" t="s">
        <v>710</v>
      </c>
      <c r="B955" t="s">
        <v>748</v>
      </c>
      <c r="C955">
        <v>24</v>
      </c>
    </row>
    <row r="956" spans="1:3" x14ac:dyDescent="0.35">
      <c r="A956" t="s">
        <v>710</v>
      </c>
      <c r="B956" t="s">
        <v>95</v>
      </c>
      <c r="C956">
        <v>23.09</v>
      </c>
    </row>
    <row r="957" spans="1:3" x14ac:dyDescent="0.35">
      <c r="A957" t="s">
        <v>710</v>
      </c>
      <c r="B957" t="s">
        <v>117</v>
      </c>
      <c r="C957">
        <v>2.85</v>
      </c>
    </row>
    <row r="958" spans="1:3" x14ac:dyDescent="0.35">
      <c r="A958" t="s">
        <v>710</v>
      </c>
      <c r="B958" t="s">
        <v>119</v>
      </c>
      <c r="C958">
        <v>7.17</v>
      </c>
    </row>
    <row r="959" spans="1:3" x14ac:dyDescent="0.35">
      <c r="A959" t="s">
        <v>710</v>
      </c>
      <c r="B959" t="s">
        <v>773</v>
      </c>
      <c r="C959">
        <v>8</v>
      </c>
    </row>
    <row r="960" spans="1:3" x14ac:dyDescent="0.35">
      <c r="A960" t="s">
        <v>727</v>
      </c>
      <c r="B960" t="s">
        <v>117</v>
      </c>
      <c r="C960">
        <v>5.05</v>
      </c>
    </row>
    <row r="961" spans="1:3" x14ac:dyDescent="0.35">
      <c r="A961" t="s">
        <v>727</v>
      </c>
      <c r="B961" t="s">
        <v>124</v>
      </c>
      <c r="C961">
        <v>111.3</v>
      </c>
    </row>
    <row r="962" spans="1:3" x14ac:dyDescent="0.35">
      <c r="A962" t="s">
        <v>727</v>
      </c>
      <c r="B962" t="s">
        <v>124</v>
      </c>
      <c r="C962">
        <v>84.66</v>
      </c>
    </row>
    <row r="963" spans="1:3" x14ac:dyDescent="0.35">
      <c r="A963" t="s">
        <v>727</v>
      </c>
      <c r="B963" t="s">
        <v>764</v>
      </c>
      <c r="C963">
        <v>5500</v>
      </c>
    </row>
    <row r="964" spans="1:3" x14ac:dyDescent="0.35">
      <c r="A964" t="s">
        <v>727</v>
      </c>
      <c r="B964" t="s">
        <v>409</v>
      </c>
      <c r="C964">
        <v>-4200</v>
      </c>
    </row>
    <row r="965" spans="1:3" x14ac:dyDescent="0.35">
      <c r="A965" t="s">
        <v>728</v>
      </c>
      <c r="B965" t="s">
        <v>79</v>
      </c>
      <c r="C965">
        <v>10.16</v>
      </c>
    </row>
    <row r="966" spans="1:3" x14ac:dyDescent="0.35">
      <c r="A966" t="s">
        <v>728</v>
      </c>
      <c r="B966" t="s">
        <v>117</v>
      </c>
      <c r="C966">
        <v>2.85</v>
      </c>
    </row>
    <row r="967" spans="1:3" x14ac:dyDescent="0.35">
      <c r="A967" t="s">
        <v>729</v>
      </c>
      <c r="B967" t="s">
        <v>77</v>
      </c>
      <c r="C967">
        <v>80.28</v>
      </c>
    </row>
    <row r="968" spans="1:3" x14ac:dyDescent="0.35">
      <c r="A968" t="s">
        <v>729</v>
      </c>
      <c r="B968" t="s">
        <v>749</v>
      </c>
      <c r="C968">
        <v>10.4</v>
      </c>
    </row>
    <row r="969" spans="1:3" x14ac:dyDescent="0.35">
      <c r="A969" t="s">
        <v>729</v>
      </c>
      <c r="B969" t="s">
        <v>730</v>
      </c>
      <c r="C969">
        <v>10.98</v>
      </c>
    </row>
    <row r="970" spans="1:3" x14ac:dyDescent="0.35">
      <c r="A970" t="s">
        <v>711</v>
      </c>
      <c r="B970" t="s">
        <v>20</v>
      </c>
      <c r="C970">
        <v>47.32</v>
      </c>
    </row>
    <row r="971" spans="1:3" x14ac:dyDescent="0.35">
      <c r="A971" t="s">
        <v>704</v>
      </c>
      <c r="B971" t="s">
        <v>78</v>
      </c>
      <c r="C971">
        <v>179.52</v>
      </c>
    </row>
    <row r="972" spans="1:3" x14ac:dyDescent="0.35">
      <c r="A972" t="s">
        <v>704</v>
      </c>
      <c r="B972" t="s">
        <v>753</v>
      </c>
      <c r="C972">
        <v>-42.98</v>
      </c>
    </row>
    <row r="973" spans="1:3" x14ac:dyDescent="0.35">
      <c r="A973" t="s">
        <v>704</v>
      </c>
      <c r="B973" t="s">
        <v>705</v>
      </c>
      <c r="C973">
        <v>2838</v>
      </c>
    </row>
    <row r="974" spans="1:3" x14ac:dyDescent="0.35">
      <c r="A974" t="s">
        <v>704</v>
      </c>
      <c r="B974" t="s">
        <v>750</v>
      </c>
      <c r="C974">
        <v>38.71</v>
      </c>
    </row>
    <row r="975" spans="1:3" x14ac:dyDescent="0.35">
      <c r="A975" t="s">
        <v>704</v>
      </c>
      <c r="B975" t="s">
        <v>712</v>
      </c>
      <c r="C975">
        <v>70.33</v>
      </c>
    </row>
    <row r="976" spans="1:3" x14ac:dyDescent="0.35">
      <c r="A976" t="s">
        <v>704</v>
      </c>
      <c r="B976" t="s">
        <v>761</v>
      </c>
      <c r="C976">
        <v>67.680000000000007</v>
      </c>
    </row>
    <row r="977" spans="1:3" x14ac:dyDescent="0.35">
      <c r="A977" t="s">
        <v>704</v>
      </c>
      <c r="B977" t="s">
        <v>767</v>
      </c>
      <c r="C977">
        <v>1572.12</v>
      </c>
    </row>
    <row r="978" spans="1:3" x14ac:dyDescent="0.35">
      <c r="A978" t="s">
        <v>704</v>
      </c>
      <c r="B978" t="s">
        <v>775</v>
      </c>
      <c r="C978">
        <v>8</v>
      </c>
    </row>
    <row r="979" spans="1:3" x14ac:dyDescent="0.35">
      <c r="A979" t="s">
        <v>704</v>
      </c>
      <c r="B979" t="s">
        <v>774</v>
      </c>
      <c r="C979">
        <v>8</v>
      </c>
    </row>
    <row r="980" spans="1:3" x14ac:dyDescent="0.35">
      <c r="A980" t="s">
        <v>704</v>
      </c>
      <c r="B980" t="s">
        <v>791</v>
      </c>
      <c r="C980">
        <v>10</v>
      </c>
    </row>
    <row r="981" spans="1:3" x14ac:dyDescent="0.35">
      <c r="A981" t="s">
        <v>706</v>
      </c>
      <c r="B981" t="s">
        <v>80</v>
      </c>
      <c r="C981">
        <v>20</v>
      </c>
    </row>
    <row r="982" spans="1:3" x14ac:dyDescent="0.35">
      <c r="A982" t="s">
        <v>706</v>
      </c>
      <c r="B982" t="s">
        <v>707</v>
      </c>
      <c r="C982">
        <v>495.5</v>
      </c>
    </row>
    <row r="983" spans="1:3" x14ac:dyDescent="0.35">
      <c r="A983" t="s">
        <v>706</v>
      </c>
      <c r="B983" t="s">
        <v>66</v>
      </c>
      <c r="C983">
        <v>2840.44</v>
      </c>
    </row>
    <row r="984" spans="1:3" x14ac:dyDescent="0.35">
      <c r="A984" t="s">
        <v>713</v>
      </c>
      <c r="B984" t="s">
        <v>726</v>
      </c>
      <c r="C984">
        <v>2.21</v>
      </c>
    </row>
    <row r="985" spans="1:3" x14ac:dyDescent="0.35">
      <c r="A985" t="s">
        <v>713</v>
      </c>
      <c r="B985" t="s">
        <v>751</v>
      </c>
      <c r="C985">
        <v>3</v>
      </c>
    </row>
    <row r="986" spans="1:3" x14ac:dyDescent="0.35">
      <c r="A986" t="s">
        <v>713</v>
      </c>
      <c r="B986" t="s">
        <v>190</v>
      </c>
      <c r="C986">
        <v>72.73</v>
      </c>
    </row>
    <row r="987" spans="1:3" x14ac:dyDescent="0.35">
      <c r="A987" t="s">
        <v>713</v>
      </c>
      <c r="B987" t="s">
        <v>745</v>
      </c>
      <c r="C987">
        <v>18</v>
      </c>
    </row>
    <row r="988" spans="1:3" x14ac:dyDescent="0.35">
      <c r="A988" t="s">
        <v>713</v>
      </c>
      <c r="B988" t="s">
        <v>59</v>
      </c>
      <c r="C988">
        <v>751.05</v>
      </c>
    </row>
    <row r="989" spans="1:3" x14ac:dyDescent="0.35">
      <c r="A989" t="s">
        <v>713</v>
      </c>
      <c r="B989" t="s">
        <v>776</v>
      </c>
      <c r="C989">
        <v>8</v>
      </c>
    </row>
    <row r="990" spans="1:3" x14ac:dyDescent="0.35">
      <c r="A990" t="s">
        <v>740</v>
      </c>
      <c r="B990" t="s">
        <v>404</v>
      </c>
      <c r="C990">
        <v>9.4700000000000006</v>
      </c>
    </row>
    <row r="991" spans="1:3" x14ac:dyDescent="0.35">
      <c r="A991" t="s">
        <v>740</v>
      </c>
      <c r="B991" t="s">
        <v>134</v>
      </c>
      <c r="C991">
        <v>11.38</v>
      </c>
    </row>
    <row r="992" spans="1:3" x14ac:dyDescent="0.35">
      <c r="A992" t="s">
        <v>740</v>
      </c>
      <c r="B992" t="s">
        <v>123</v>
      </c>
      <c r="C992">
        <v>8.84</v>
      </c>
    </row>
    <row r="993" spans="1:3" x14ac:dyDescent="0.35">
      <c r="A993" t="s">
        <v>740</v>
      </c>
      <c r="B993" t="s">
        <v>68</v>
      </c>
      <c r="C993">
        <v>28.64</v>
      </c>
    </row>
    <row r="994" spans="1:3" x14ac:dyDescent="0.35">
      <c r="A994" t="s">
        <v>740</v>
      </c>
      <c r="B994" t="s">
        <v>768</v>
      </c>
      <c r="C994">
        <v>262.95</v>
      </c>
    </row>
    <row r="995" spans="1:3" x14ac:dyDescent="0.35">
      <c r="A995" t="s">
        <v>740</v>
      </c>
      <c r="B995" t="s">
        <v>792</v>
      </c>
      <c r="C995">
        <v>4221.0200000000004</v>
      </c>
    </row>
    <row r="996" spans="1:3" x14ac:dyDescent="0.35">
      <c r="A996" t="s">
        <v>741</v>
      </c>
      <c r="B996" t="s">
        <v>134</v>
      </c>
      <c r="C996">
        <v>9.65</v>
      </c>
    </row>
    <row r="997" spans="1:3" x14ac:dyDescent="0.35">
      <c r="A997" t="s">
        <v>741</v>
      </c>
      <c r="B997" t="s">
        <v>742</v>
      </c>
      <c r="C997">
        <v>62.77</v>
      </c>
    </row>
    <row r="998" spans="1:3" x14ac:dyDescent="0.35">
      <c r="A998" t="s">
        <v>741</v>
      </c>
      <c r="B998" t="s">
        <v>124</v>
      </c>
      <c r="C998">
        <v>126.34</v>
      </c>
    </row>
    <row r="999" spans="1:3" x14ac:dyDescent="0.35">
      <c r="A999" t="s">
        <v>714</v>
      </c>
      <c r="B999" t="s">
        <v>731</v>
      </c>
      <c r="C999">
        <v>1.76</v>
      </c>
    </row>
    <row r="1000" spans="1:3" x14ac:dyDescent="0.35">
      <c r="A1000" t="s">
        <v>714</v>
      </c>
      <c r="B1000" t="s">
        <v>20</v>
      </c>
      <c r="C1000">
        <v>29.48</v>
      </c>
    </row>
    <row r="1001" spans="1:3" x14ac:dyDescent="0.35">
      <c r="A1001" t="s">
        <v>714</v>
      </c>
      <c r="B1001" t="s">
        <v>134</v>
      </c>
      <c r="C1001">
        <v>9.58</v>
      </c>
    </row>
    <row r="1002" spans="1:3" x14ac:dyDescent="0.35">
      <c r="A1002" t="s">
        <v>714</v>
      </c>
      <c r="B1002" t="s">
        <v>134</v>
      </c>
      <c r="C1002">
        <v>10.23</v>
      </c>
    </row>
    <row r="1003" spans="1:3" x14ac:dyDescent="0.35">
      <c r="A1003" t="s">
        <v>732</v>
      </c>
      <c r="B1003" t="s">
        <v>225</v>
      </c>
      <c r="C1003">
        <v>4.0999999999999996</v>
      </c>
    </row>
    <row r="1004" spans="1:3" x14ac:dyDescent="0.35">
      <c r="A1004" t="s">
        <v>732</v>
      </c>
      <c r="B1004" t="s">
        <v>225</v>
      </c>
      <c r="C1004">
        <v>0.14000000000000001</v>
      </c>
    </row>
    <row r="1005" spans="1:3" x14ac:dyDescent="0.35">
      <c r="A1005" t="s">
        <v>732</v>
      </c>
      <c r="B1005" t="s">
        <v>225</v>
      </c>
      <c r="C1005">
        <v>0.14000000000000001</v>
      </c>
    </row>
    <row r="1006" spans="1:3" x14ac:dyDescent="0.35">
      <c r="A1006" t="s">
        <v>732</v>
      </c>
      <c r="B1006" t="s">
        <v>726</v>
      </c>
      <c r="C1006">
        <v>6.51</v>
      </c>
    </row>
    <row r="1007" spans="1:3" x14ac:dyDescent="0.35">
      <c r="A1007" t="s">
        <v>732</v>
      </c>
      <c r="B1007" t="s">
        <v>134</v>
      </c>
      <c r="C1007">
        <v>13.8</v>
      </c>
    </row>
    <row r="1008" spans="1:3" x14ac:dyDescent="0.35">
      <c r="A1008" t="s">
        <v>732</v>
      </c>
      <c r="B1008" t="s">
        <v>769</v>
      </c>
      <c r="C1008">
        <v>25.74</v>
      </c>
    </row>
    <row r="1009" spans="1:3" x14ac:dyDescent="0.35">
      <c r="A1009" t="s">
        <v>732</v>
      </c>
      <c r="B1009" t="s">
        <v>777</v>
      </c>
      <c r="C1009">
        <v>8</v>
      </c>
    </row>
    <row r="1010" spans="1:3" x14ac:dyDescent="0.35">
      <c r="A1010" t="s">
        <v>715</v>
      </c>
      <c r="B1010" t="s">
        <v>79</v>
      </c>
      <c r="C1010">
        <v>8.61</v>
      </c>
    </row>
    <row r="1011" spans="1:3" x14ac:dyDescent="0.35">
      <c r="A1011" t="s">
        <v>715</v>
      </c>
      <c r="B1011" t="s">
        <v>754</v>
      </c>
      <c r="C1011">
        <v>92.94</v>
      </c>
    </row>
    <row r="1012" spans="1:3" x14ac:dyDescent="0.35">
      <c r="A1012" t="s">
        <v>715</v>
      </c>
      <c r="B1012" t="s">
        <v>199</v>
      </c>
      <c r="C1012">
        <v>44.99</v>
      </c>
    </row>
    <row r="1013" spans="1:3" x14ac:dyDescent="0.35">
      <c r="A1013" t="s">
        <v>715</v>
      </c>
      <c r="B1013" t="s">
        <v>543</v>
      </c>
      <c r="C1013">
        <v>8.02</v>
      </c>
    </row>
    <row r="1014" spans="1:3" x14ac:dyDescent="0.35">
      <c r="A1014" t="s">
        <v>715</v>
      </c>
      <c r="B1014" t="s">
        <v>95</v>
      </c>
      <c r="C1014">
        <v>19.61</v>
      </c>
    </row>
    <row r="1015" spans="1:3" x14ac:dyDescent="0.35">
      <c r="A1015" t="s">
        <v>778</v>
      </c>
      <c r="B1015" t="s">
        <v>779</v>
      </c>
      <c r="C1015">
        <v>8</v>
      </c>
    </row>
    <row r="1016" spans="1:3" x14ac:dyDescent="0.35">
      <c r="A1016" t="s">
        <v>719</v>
      </c>
      <c r="B1016" t="s">
        <v>75</v>
      </c>
      <c r="C1016">
        <v>-554.58000000000004</v>
      </c>
    </row>
    <row r="1017" spans="1:3" x14ac:dyDescent="0.35">
      <c r="A1017" t="s">
        <v>719</v>
      </c>
      <c r="B1017" t="s">
        <v>23</v>
      </c>
      <c r="C1017">
        <v>-3128.83</v>
      </c>
    </row>
    <row r="1018" spans="1:3" x14ac:dyDescent="0.35">
      <c r="A1018" t="s">
        <v>716</v>
      </c>
      <c r="B1018" t="s">
        <v>758</v>
      </c>
      <c r="C1018">
        <v>13.32</v>
      </c>
    </row>
    <row r="1019" spans="1:3" x14ac:dyDescent="0.35">
      <c r="A1019" t="s">
        <v>716</v>
      </c>
      <c r="B1019" t="s">
        <v>756</v>
      </c>
      <c r="C1019">
        <v>8.99</v>
      </c>
    </row>
    <row r="1020" spans="1:3" x14ac:dyDescent="0.35">
      <c r="A1020" t="s">
        <v>716</v>
      </c>
      <c r="B1020" t="s">
        <v>733</v>
      </c>
      <c r="C1020">
        <v>9.6999999999999993</v>
      </c>
    </row>
    <row r="1021" spans="1:3" x14ac:dyDescent="0.35">
      <c r="A1021" t="s">
        <v>716</v>
      </c>
      <c r="B1021" t="s">
        <v>36</v>
      </c>
      <c r="C1021">
        <v>84.89</v>
      </c>
    </row>
    <row r="1022" spans="1:3" x14ac:dyDescent="0.35">
      <c r="A1022" t="s">
        <v>716</v>
      </c>
      <c r="B1022" t="s">
        <v>35</v>
      </c>
      <c r="C1022">
        <v>0.56000000000000005</v>
      </c>
    </row>
    <row r="1023" spans="1:3" x14ac:dyDescent="0.35">
      <c r="A1023" t="s">
        <v>716</v>
      </c>
      <c r="B1023" t="s">
        <v>20</v>
      </c>
      <c r="C1023">
        <v>199.25</v>
      </c>
    </row>
    <row r="1024" spans="1:3" x14ac:dyDescent="0.35">
      <c r="A1024" t="s">
        <v>716</v>
      </c>
      <c r="B1024" t="s">
        <v>720</v>
      </c>
      <c r="C1024">
        <v>3.81</v>
      </c>
    </row>
    <row r="1025" spans="1:6" x14ac:dyDescent="0.35">
      <c r="A1025" t="s">
        <v>716</v>
      </c>
      <c r="B1025" t="s">
        <v>134</v>
      </c>
      <c r="C1025">
        <v>11.75</v>
      </c>
    </row>
    <row r="1026" spans="1:6" x14ac:dyDescent="0.35">
      <c r="A1026" t="s">
        <v>716</v>
      </c>
      <c r="B1026" t="s">
        <v>134</v>
      </c>
      <c r="C1026">
        <v>9.8800000000000008</v>
      </c>
    </row>
    <row r="1027" spans="1:6" x14ac:dyDescent="0.35">
      <c r="C1027">
        <v>0</v>
      </c>
      <c r="D1027">
        <f>SUM(C883:C1026)</f>
        <v>23343.140000000003</v>
      </c>
      <c r="E1027">
        <f>SUM(C2:C1026)</f>
        <v>254952.03999999992</v>
      </c>
      <c r="F1027" t="s">
        <v>699</v>
      </c>
    </row>
    <row r="1028" spans="1:6" x14ac:dyDescent="0.35">
      <c r="A1028" t="s">
        <v>734</v>
      </c>
      <c r="B1028" t="s">
        <v>759</v>
      </c>
      <c r="C1028">
        <v>31.32</v>
      </c>
    </row>
    <row r="1029" spans="1:6" x14ac:dyDescent="0.35">
      <c r="A1029" t="s">
        <v>734</v>
      </c>
      <c r="B1029" t="s">
        <v>737</v>
      </c>
      <c r="C1029">
        <v>83.94</v>
      </c>
    </row>
    <row r="1030" spans="1:6" x14ac:dyDescent="0.35">
      <c r="A1030" t="s">
        <v>734</v>
      </c>
      <c r="B1030" t="s">
        <v>737</v>
      </c>
      <c r="C1030">
        <v>6</v>
      </c>
    </row>
    <row r="1031" spans="1:6" x14ac:dyDescent="0.35">
      <c r="A1031" t="s">
        <v>734</v>
      </c>
      <c r="B1031" t="s">
        <v>225</v>
      </c>
      <c r="C1031">
        <v>4.5599999999999996</v>
      </c>
    </row>
    <row r="1032" spans="1:6" x14ac:dyDescent="0.35">
      <c r="A1032" t="s">
        <v>734</v>
      </c>
      <c r="B1032" t="s">
        <v>736</v>
      </c>
      <c r="C1032">
        <v>12.8</v>
      </c>
    </row>
    <row r="1033" spans="1:6" x14ac:dyDescent="0.35">
      <c r="A1033" t="s">
        <v>734</v>
      </c>
      <c r="B1033" t="s">
        <v>735</v>
      </c>
      <c r="C1033">
        <v>10.75</v>
      </c>
    </row>
    <row r="1034" spans="1:6" x14ac:dyDescent="0.35">
      <c r="A1034" t="s">
        <v>734</v>
      </c>
      <c r="B1034" t="s">
        <v>735</v>
      </c>
      <c r="C1034">
        <v>5.91</v>
      </c>
    </row>
    <row r="1035" spans="1:6" x14ac:dyDescent="0.35">
      <c r="A1035" t="s">
        <v>734</v>
      </c>
      <c r="B1035" t="s">
        <v>134</v>
      </c>
      <c r="C1035">
        <v>15.21</v>
      </c>
    </row>
    <row r="1036" spans="1:6" x14ac:dyDescent="0.35">
      <c r="A1036" t="s">
        <v>734</v>
      </c>
      <c r="B1036" t="s">
        <v>134</v>
      </c>
      <c r="C1036">
        <v>15.42</v>
      </c>
    </row>
    <row r="1037" spans="1:6" x14ac:dyDescent="0.35">
      <c r="A1037" t="s">
        <v>700</v>
      </c>
      <c r="B1037" t="s">
        <v>701</v>
      </c>
      <c r="C1037">
        <v>7412</v>
      </c>
    </row>
    <row r="1038" spans="1:6" x14ac:dyDescent="0.35">
      <c r="A1038" t="s">
        <v>700</v>
      </c>
      <c r="B1038" t="s">
        <v>35</v>
      </c>
      <c r="C1038">
        <v>1</v>
      </c>
    </row>
    <row r="1039" spans="1:6" x14ac:dyDescent="0.35">
      <c r="A1039" t="s">
        <v>700</v>
      </c>
      <c r="B1039" t="s">
        <v>738</v>
      </c>
      <c r="C1039">
        <v>6.5</v>
      </c>
    </row>
    <row r="1040" spans="1:6" x14ac:dyDescent="0.35">
      <c r="A1040" t="s">
        <v>700</v>
      </c>
      <c r="B1040" t="s">
        <v>444</v>
      </c>
      <c r="C1040">
        <v>15</v>
      </c>
    </row>
    <row r="1041" spans="1:3" x14ac:dyDescent="0.35">
      <c r="A1041" t="s">
        <v>700</v>
      </c>
      <c r="B1041" t="s">
        <v>743</v>
      </c>
      <c r="C1041">
        <v>-33.24</v>
      </c>
    </row>
    <row r="1042" spans="1:3" x14ac:dyDescent="0.35">
      <c r="A1042" t="s">
        <v>700</v>
      </c>
      <c r="B1042" t="s">
        <v>743</v>
      </c>
      <c r="C1042">
        <v>-77.959999999999994</v>
      </c>
    </row>
    <row r="1043" spans="1:3" x14ac:dyDescent="0.35">
      <c r="A1043" t="s">
        <v>700</v>
      </c>
      <c r="B1043" t="s">
        <v>743</v>
      </c>
      <c r="C1043">
        <v>-54.38</v>
      </c>
    </row>
    <row r="1044" spans="1:3" x14ac:dyDescent="0.35">
      <c r="A1044" t="s">
        <v>700</v>
      </c>
      <c r="B1044" t="s">
        <v>588</v>
      </c>
      <c r="C1044">
        <v>135</v>
      </c>
    </row>
    <row r="1045" spans="1:3" x14ac:dyDescent="0.35">
      <c r="A1045" t="s">
        <v>700</v>
      </c>
      <c r="B1045" t="s">
        <v>256</v>
      </c>
      <c r="C1045">
        <v>554.58000000000004</v>
      </c>
    </row>
    <row r="1046" spans="1:3" x14ac:dyDescent="0.35">
      <c r="A1046" t="s">
        <v>700</v>
      </c>
      <c r="B1046" t="s">
        <v>780</v>
      </c>
      <c r="C1046">
        <v>8</v>
      </c>
    </row>
    <row r="1047" spans="1:3" x14ac:dyDescent="0.35">
      <c r="A1047" t="s">
        <v>700</v>
      </c>
      <c r="B1047" t="s">
        <v>787</v>
      </c>
      <c r="C1047">
        <v>-0.08</v>
      </c>
    </row>
    <row r="1048" spans="1:3" x14ac:dyDescent="0.35">
      <c r="A1048" t="s">
        <v>717</v>
      </c>
      <c r="B1048" t="s">
        <v>53</v>
      </c>
      <c r="C1048">
        <v>-3150.72</v>
      </c>
    </row>
    <row r="1049" spans="1:3" x14ac:dyDescent="0.35">
      <c r="A1049" t="s">
        <v>717</v>
      </c>
      <c r="B1049" t="s">
        <v>755</v>
      </c>
      <c r="C1049">
        <v>98.4</v>
      </c>
    </row>
    <row r="1050" spans="1:3" x14ac:dyDescent="0.35">
      <c r="A1050" t="s">
        <v>717</v>
      </c>
      <c r="B1050" t="s">
        <v>726</v>
      </c>
      <c r="C1050">
        <v>2.21</v>
      </c>
    </row>
    <row r="1051" spans="1:3" x14ac:dyDescent="0.35">
      <c r="A1051" t="s">
        <v>717</v>
      </c>
      <c r="B1051" t="s">
        <v>95</v>
      </c>
      <c r="C1051">
        <v>41.5</v>
      </c>
    </row>
    <row r="1052" spans="1:3" x14ac:dyDescent="0.35">
      <c r="A1052" t="s">
        <v>717</v>
      </c>
      <c r="B1052" t="s">
        <v>718</v>
      </c>
      <c r="C1052">
        <v>19.399999999999999</v>
      </c>
    </row>
    <row r="1053" spans="1:3" x14ac:dyDescent="0.35">
      <c r="A1053" t="s">
        <v>717</v>
      </c>
      <c r="B1053" t="s">
        <v>70</v>
      </c>
      <c r="C1053">
        <v>19</v>
      </c>
    </row>
    <row r="1054" spans="1:3" x14ac:dyDescent="0.35">
      <c r="A1054" t="s">
        <v>717</v>
      </c>
      <c r="B1054" t="s">
        <v>769</v>
      </c>
      <c r="C1054">
        <v>61.12</v>
      </c>
    </row>
    <row r="1055" spans="1:3" x14ac:dyDescent="0.35">
      <c r="A1055" t="s">
        <v>717</v>
      </c>
      <c r="B1055" t="s">
        <v>80</v>
      </c>
      <c r="C1055">
        <v>20</v>
      </c>
    </row>
    <row r="1056" spans="1:3" x14ac:dyDescent="0.35">
      <c r="A1056" t="s">
        <v>765</v>
      </c>
      <c r="B1056" t="s">
        <v>766</v>
      </c>
      <c r="C1056">
        <v>3150.72</v>
      </c>
    </row>
    <row r="1057" spans="1:3" x14ac:dyDescent="0.35">
      <c r="A1057" t="s">
        <v>765</v>
      </c>
      <c r="B1057" t="s">
        <v>588</v>
      </c>
      <c r="C1057">
        <v>100</v>
      </c>
    </row>
    <row r="1058" spans="1:3" x14ac:dyDescent="0.35">
      <c r="A1058" t="s">
        <v>781</v>
      </c>
      <c r="B1058" t="s">
        <v>598</v>
      </c>
      <c r="C1058">
        <v>32.700000000000003</v>
      </c>
    </row>
    <row r="1059" spans="1:3" x14ac:dyDescent="0.35">
      <c r="A1059" t="s">
        <v>781</v>
      </c>
      <c r="B1059" t="s">
        <v>169</v>
      </c>
      <c r="C1059">
        <v>55.99</v>
      </c>
    </row>
    <row r="1060" spans="1:3" x14ac:dyDescent="0.35">
      <c r="A1060" t="s">
        <v>781</v>
      </c>
      <c r="B1060" t="s">
        <v>79</v>
      </c>
      <c r="C1060">
        <v>7</v>
      </c>
    </row>
    <row r="1061" spans="1:3" x14ac:dyDescent="0.35">
      <c r="A1061" t="s">
        <v>781</v>
      </c>
      <c r="B1061" t="s">
        <v>95</v>
      </c>
      <c r="C1061">
        <v>6.97</v>
      </c>
    </row>
    <row r="1062" spans="1:3" x14ac:dyDescent="0.35">
      <c r="A1062" t="s">
        <v>781</v>
      </c>
      <c r="B1062" t="s">
        <v>782</v>
      </c>
      <c r="C1062">
        <v>8</v>
      </c>
    </row>
    <row r="1063" spans="1:3" x14ac:dyDescent="0.35">
      <c r="A1063" t="s">
        <v>808</v>
      </c>
      <c r="B1063" t="s">
        <v>18</v>
      </c>
      <c r="C1063">
        <v>62.15</v>
      </c>
    </row>
    <row r="1064" spans="1:3" x14ac:dyDescent="0.35">
      <c r="A1064" t="s">
        <v>808</v>
      </c>
      <c r="B1064" t="s">
        <v>18</v>
      </c>
      <c r="C1064">
        <v>50.11</v>
      </c>
    </row>
    <row r="1065" spans="1:3" x14ac:dyDescent="0.35">
      <c r="A1065" t="s">
        <v>809</v>
      </c>
      <c r="B1065" t="s">
        <v>170</v>
      </c>
      <c r="C1065">
        <v>55</v>
      </c>
    </row>
    <row r="1066" spans="1:3" x14ac:dyDescent="0.35">
      <c r="A1066" t="s">
        <v>809</v>
      </c>
      <c r="B1066" t="s">
        <v>95</v>
      </c>
      <c r="C1066">
        <v>15.49</v>
      </c>
    </row>
    <row r="1067" spans="1:3" x14ac:dyDescent="0.35">
      <c r="A1067" t="s">
        <v>809</v>
      </c>
      <c r="B1067" t="s">
        <v>119</v>
      </c>
      <c r="C1067">
        <v>40.31</v>
      </c>
    </row>
    <row r="1068" spans="1:3" x14ac:dyDescent="0.35">
      <c r="A1068" t="s">
        <v>810</v>
      </c>
      <c r="B1068" t="s">
        <v>190</v>
      </c>
      <c r="C1068">
        <v>8.24</v>
      </c>
    </row>
    <row r="1069" spans="1:3" x14ac:dyDescent="0.35">
      <c r="A1069" t="s">
        <v>810</v>
      </c>
      <c r="B1069" t="s">
        <v>190</v>
      </c>
      <c r="C1069">
        <v>93.82</v>
      </c>
    </row>
    <row r="1070" spans="1:3" x14ac:dyDescent="0.35">
      <c r="A1070" t="s">
        <v>810</v>
      </c>
      <c r="B1070" t="s">
        <v>134</v>
      </c>
      <c r="C1070">
        <v>14.81</v>
      </c>
    </row>
    <row r="1071" spans="1:3" x14ac:dyDescent="0.35">
      <c r="A1071" t="s">
        <v>810</v>
      </c>
      <c r="B1071" t="s">
        <v>134</v>
      </c>
      <c r="C1071">
        <v>15.21</v>
      </c>
    </row>
    <row r="1072" spans="1:3" x14ac:dyDescent="0.35">
      <c r="A1072" t="s">
        <v>826</v>
      </c>
      <c r="B1072" t="s">
        <v>866</v>
      </c>
      <c r="C1072">
        <v>8</v>
      </c>
    </row>
    <row r="1073" spans="1:3" x14ac:dyDescent="0.35">
      <c r="A1073" t="s">
        <v>826</v>
      </c>
      <c r="B1073" t="s">
        <v>726</v>
      </c>
      <c r="C1073">
        <v>5.73</v>
      </c>
    </row>
    <row r="1074" spans="1:3" x14ac:dyDescent="0.35">
      <c r="A1074" t="s">
        <v>785</v>
      </c>
      <c r="B1074" t="s">
        <v>16</v>
      </c>
      <c r="C1074">
        <v>3</v>
      </c>
    </row>
    <row r="1075" spans="1:3" x14ac:dyDescent="0.35">
      <c r="A1075" t="s">
        <v>785</v>
      </c>
      <c r="B1075" t="s">
        <v>726</v>
      </c>
      <c r="C1075">
        <v>2.21</v>
      </c>
    </row>
    <row r="1076" spans="1:3" x14ac:dyDescent="0.35">
      <c r="A1076" t="s">
        <v>785</v>
      </c>
      <c r="B1076" t="s">
        <v>222</v>
      </c>
      <c r="C1076">
        <v>136.82</v>
      </c>
    </row>
    <row r="1077" spans="1:3" x14ac:dyDescent="0.35">
      <c r="A1077" t="s">
        <v>785</v>
      </c>
      <c r="B1077" t="s">
        <v>786</v>
      </c>
      <c r="C1077">
        <v>-0.27</v>
      </c>
    </row>
    <row r="1078" spans="1:3" x14ac:dyDescent="0.35">
      <c r="A1078" t="s">
        <v>702</v>
      </c>
      <c r="B1078" t="s">
        <v>79</v>
      </c>
      <c r="C1078">
        <v>6.66</v>
      </c>
    </row>
    <row r="1079" spans="1:3" x14ac:dyDescent="0.35">
      <c r="A1079" t="s">
        <v>702</v>
      </c>
      <c r="B1079" t="s">
        <v>703</v>
      </c>
      <c r="C1079">
        <v>4200</v>
      </c>
    </row>
    <row r="1080" spans="1:3" x14ac:dyDescent="0.35">
      <c r="A1080" t="s">
        <v>702</v>
      </c>
      <c r="B1080" t="s">
        <v>854</v>
      </c>
      <c r="C1080">
        <v>39.76</v>
      </c>
    </row>
    <row r="1081" spans="1:3" x14ac:dyDescent="0.35">
      <c r="A1081" t="s">
        <v>702</v>
      </c>
      <c r="B1081" t="s">
        <v>849</v>
      </c>
      <c r="C1081">
        <v>58.84</v>
      </c>
    </row>
    <row r="1082" spans="1:3" x14ac:dyDescent="0.35">
      <c r="A1082" t="s">
        <v>702</v>
      </c>
      <c r="B1082" t="s">
        <v>68</v>
      </c>
      <c r="C1082">
        <v>189.53</v>
      </c>
    </row>
    <row r="1083" spans="1:3" x14ac:dyDescent="0.35">
      <c r="A1083" t="s">
        <v>702</v>
      </c>
      <c r="B1083" t="s">
        <v>867</v>
      </c>
      <c r="C1083">
        <v>9</v>
      </c>
    </row>
    <row r="1084" spans="1:3" x14ac:dyDescent="0.35">
      <c r="A1084" t="s">
        <v>811</v>
      </c>
      <c r="B1084" t="s">
        <v>638</v>
      </c>
      <c r="C1084">
        <v>6.62</v>
      </c>
    </row>
    <row r="1085" spans="1:3" x14ac:dyDescent="0.35">
      <c r="A1085" t="s">
        <v>811</v>
      </c>
      <c r="B1085" t="s">
        <v>626</v>
      </c>
      <c r="C1085">
        <v>56.92</v>
      </c>
    </row>
    <row r="1086" spans="1:3" x14ac:dyDescent="0.35">
      <c r="A1086" t="s">
        <v>811</v>
      </c>
      <c r="B1086" t="s">
        <v>156</v>
      </c>
      <c r="C1086">
        <v>188.34</v>
      </c>
    </row>
    <row r="1087" spans="1:3" x14ac:dyDescent="0.35">
      <c r="A1087" t="s">
        <v>812</v>
      </c>
      <c r="B1087" t="s">
        <v>18</v>
      </c>
      <c r="C1087">
        <v>96.4</v>
      </c>
    </row>
    <row r="1088" spans="1:3" x14ac:dyDescent="0.35">
      <c r="A1088" t="s">
        <v>812</v>
      </c>
      <c r="B1088" t="s">
        <v>827</v>
      </c>
      <c r="C1088">
        <v>17.489999999999998</v>
      </c>
    </row>
    <row r="1089" spans="1:3" x14ac:dyDescent="0.35">
      <c r="A1089" t="s">
        <v>812</v>
      </c>
      <c r="B1089" t="s">
        <v>409</v>
      </c>
      <c r="C1089">
        <v>-4200</v>
      </c>
    </row>
    <row r="1090" spans="1:3" x14ac:dyDescent="0.35">
      <c r="A1090" t="s">
        <v>813</v>
      </c>
      <c r="B1090" t="s">
        <v>18</v>
      </c>
      <c r="C1090">
        <v>-44.08</v>
      </c>
    </row>
    <row r="1091" spans="1:3" x14ac:dyDescent="0.35">
      <c r="A1091" t="s">
        <v>813</v>
      </c>
      <c r="B1091" t="s">
        <v>839</v>
      </c>
      <c r="C1091">
        <v>1.6</v>
      </c>
    </row>
    <row r="1092" spans="1:3" x14ac:dyDescent="0.35">
      <c r="A1092" t="s">
        <v>844</v>
      </c>
      <c r="B1092" t="s">
        <v>134</v>
      </c>
      <c r="C1092">
        <v>15.21</v>
      </c>
    </row>
    <row r="1093" spans="1:3" x14ac:dyDescent="0.35">
      <c r="A1093" t="s">
        <v>844</v>
      </c>
      <c r="B1093" t="s">
        <v>134</v>
      </c>
      <c r="C1093">
        <v>15.12</v>
      </c>
    </row>
    <row r="1094" spans="1:3" x14ac:dyDescent="0.35">
      <c r="A1094" t="s">
        <v>828</v>
      </c>
      <c r="B1094" t="s">
        <v>860</v>
      </c>
      <c r="C1094">
        <v>5500</v>
      </c>
    </row>
    <row r="1095" spans="1:3" x14ac:dyDescent="0.35">
      <c r="A1095" t="s">
        <v>828</v>
      </c>
      <c r="B1095" t="s">
        <v>868</v>
      </c>
      <c r="C1095">
        <v>8</v>
      </c>
    </row>
    <row r="1096" spans="1:3" x14ac:dyDescent="0.35">
      <c r="A1096" t="s">
        <v>828</v>
      </c>
      <c r="B1096" t="s">
        <v>224</v>
      </c>
      <c r="C1096">
        <v>7.35</v>
      </c>
    </row>
    <row r="1097" spans="1:3" x14ac:dyDescent="0.35">
      <c r="A1097" t="s">
        <v>828</v>
      </c>
      <c r="B1097" t="s">
        <v>726</v>
      </c>
      <c r="C1097">
        <v>8.81</v>
      </c>
    </row>
    <row r="1098" spans="1:3" x14ac:dyDescent="0.35">
      <c r="A1098" t="s">
        <v>828</v>
      </c>
      <c r="B1098" t="s">
        <v>120</v>
      </c>
      <c r="C1098">
        <v>6.86</v>
      </c>
    </row>
    <row r="1099" spans="1:3" x14ac:dyDescent="0.35">
      <c r="A1099" t="s">
        <v>828</v>
      </c>
      <c r="B1099" t="s">
        <v>845</v>
      </c>
      <c r="C1099">
        <v>100</v>
      </c>
    </row>
    <row r="1100" spans="1:3" x14ac:dyDescent="0.35">
      <c r="A1100" t="s">
        <v>828</v>
      </c>
      <c r="B1100" t="s">
        <v>120</v>
      </c>
      <c r="C1100">
        <v>2.29</v>
      </c>
    </row>
    <row r="1101" spans="1:3" x14ac:dyDescent="0.35">
      <c r="A1101" t="s">
        <v>828</v>
      </c>
      <c r="B1101" t="s">
        <v>855</v>
      </c>
      <c r="C1101">
        <v>40.08</v>
      </c>
    </row>
    <row r="1102" spans="1:3" x14ac:dyDescent="0.35">
      <c r="A1102" t="s">
        <v>828</v>
      </c>
      <c r="B1102" t="s">
        <v>79</v>
      </c>
      <c r="C1102">
        <v>7.24</v>
      </c>
    </row>
    <row r="1103" spans="1:3" x14ac:dyDescent="0.35">
      <c r="A1103" t="s">
        <v>828</v>
      </c>
      <c r="B1103" t="s">
        <v>80</v>
      </c>
      <c r="C1103">
        <v>20</v>
      </c>
    </row>
    <row r="1104" spans="1:3" x14ac:dyDescent="0.35">
      <c r="A1104" t="s">
        <v>814</v>
      </c>
      <c r="B1104" t="s">
        <v>861</v>
      </c>
      <c r="C1104">
        <v>2390.83</v>
      </c>
    </row>
    <row r="1105" spans="1:3" x14ac:dyDescent="0.35">
      <c r="A1105" t="s">
        <v>814</v>
      </c>
      <c r="B1105" t="s">
        <v>767</v>
      </c>
      <c r="C1105">
        <v>1572.12</v>
      </c>
    </row>
    <row r="1106" spans="1:3" x14ac:dyDescent="0.35">
      <c r="A1106" t="s">
        <v>814</v>
      </c>
      <c r="B1106" t="s">
        <v>117</v>
      </c>
      <c r="C1106">
        <v>2.85</v>
      </c>
    </row>
    <row r="1107" spans="1:3" x14ac:dyDescent="0.35">
      <c r="A1107" t="s">
        <v>814</v>
      </c>
      <c r="B1107" t="s">
        <v>829</v>
      </c>
      <c r="C1107">
        <v>3.29</v>
      </c>
    </row>
    <row r="1108" spans="1:3" x14ac:dyDescent="0.35">
      <c r="A1108" t="s">
        <v>814</v>
      </c>
      <c r="B1108" t="s">
        <v>95</v>
      </c>
      <c r="C1108">
        <v>36.840000000000003</v>
      </c>
    </row>
    <row r="1109" spans="1:3" x14ac:dyDescent="0.35">
      <c r="A1109" t="s">
        <v>814</v>
      </c>
      <c r="B1109" t="s">
        <v>726</v>
      </c>
      <c r="C1109">
        <v>4.42</v>
      </c>
    </row>
    <row r="1110" spans="1:3" x14ac:dyDescent="0.35">
      <c r="A1110" t="s">
        <v>814</v>
      </c>
      <c r="B1110" t="s">
        <v>850</v>
      </c>
      <c r="C1110">
        <v>162.51</v>
      </c>
    </row>
    <row r="1111" spans="1:3" x14ac:dyDescent="0.35">
      <c r="A1111" t="s">
        <v>814</v>
      </c>
      <c r="B1111" t="s">
        <v>878</v>
      </c>
      <c r="C1111">
        <v>223.09</v>
      </c>
    </row>
    <row r="1112" spans="1:3" x14ac:dyDescent="0.35">
      <c r="A1112" t="s">
        <v>802</v>
      </c>
      <c r="B1112" t="s">
        <v>77</v>
      </c>
      <c r="C1112">
        <v>80.28</v>
      </c>
    </row>
    <row r="1113" spans="1:3" x14ac:dyDescent="0.35">
      <c r="A1113" t="s">
        <v>802</v>
      </c>
      <c r="B1113" t="s">
        <v>803</v>
      </c>
      <c r="C1113">
        <v>2838</v>
      </c>
    </row>
    <row r="1114" spans="1:3" x14ac:dyDescent="0.35">
      <c r="A1114" t="s">
        <v>802</v>
      </c>
      <c r="B1114" t="s">
        <v>804</v>
      </c>
      <c r="C1114">
        <v>495.5</v>
      </c>
    </row>
    <row r="1115" spans="1:3" x14ac:dyDescent="0.35">
      <c r="A1115" t="s">
        <v>802</v>
      </c>
      <c r="B1115" t="s">
        <v>117</v>
      </c>
      <c r="C1115">
        <v>18.850000000000001</v>
      </c>
    </row>
    <row r="1116" spans="1:3" x14ac:dyDescent="0.35">
      <c r="A1116" t="s">
        <v>802</v>
      </c>
      <c r="B1116" t="s">
        <v>859</v>
      </c>
      <c r="C1116">
        <v>30.5</v>
      </c>
    </row>
    <row r="1117" spans="1:3" x14ac:dyDescent="0.35">
      <c r="A1117" t="s">
        <v>802</v>
      </c>
      <c r="B1117" t="s">
        <v>66</v>
      </c>
      <c r="C1117">
        <v>2840.44</v>
      </c>
    </row>
    <row r="1118" spans="1:3" x14ac:dyDescent="0.35">
      <c r="A1118" t="s">
        <v>802</v>
      </c>
      <c r="B1118" t="s">
        <v>869</v>
      </c>
      <c r="C1118">
        <v>7</v>
      </c>
    </row>
    <row r="1119" spans="1:3" x14ac:dyDescent="0.35">
      <c r="A1119" t="s">
        <v>830</v>
      </c>
      <c r="B1119" t="s">
        <v>78</v>
      </c>
      <c r="C1119">
        <v>179.52</v>
      </c>
    </row>
    <row r="1120" spans="1:3" x14ac:dyDescent="0.35">
      <c r="A1120" t="s">
        <v>830</v>
      </c>
      <c r="B1120" t="s">
        <v>79</v>
      </c>
      <c r="C1120">
        <v>8.59</v>
      </c>
    </row>
    <row r="1121" spans="1:3" x14ac:dyDescent="0.35">
      <c r="A1121" t="s">
        <v>830</v>
      </c>
      <c r="B1121" t="s">
        <v>829</v>
      </c>
      <c r="C1121">
        <v>7.59</v>
      </c>
    </row>
    <row r="1122" spans="1:3" x14ac:dyDescent="0.35">
      <c r="A1122" t="s">
        <v>830</v>
      </c>
      <c r="B1122" t="s">
        <v>224</v>
      </c>
      <c r="C1122">
        <v>7.35</v>
      </c>
    </row>
    <row r="1123" spans="1:3" x14ac:dyDescent="0.35">
      <c r="A1123" t="s">
        <v>864</v>
      </c>
      <c r="B1123" t="s">
        <v>769</v>
      </c>
      <c r="C1123">
        <v>48.94</v>
      </c>
    </row>
    <row r="1124" spans="1:3" x14ac:dyDescent="0.35">
      <c r="A1124" t="s">
        <v>864</v>
      </c>
      <c r="B1124" t="s">
        <v>769</v>
      </c>
      <c r="C1124">
        <v>89.8</v>
      </c>
    </row>
    <row r="1125" spans="1:3" x14ac:dyDescent="0.35">
      <c r="A1125" t="s">
        <v>831</v>
      </c>
      <c r="B1125" t="s">
        <v>36</v>
      </c>
      <c r="C1125">
        <v>149.44999999999999</v>
      </c>
    </row>
    <row r="1126" spans="1:3" x14ac:dyDescent="0.35">
      <c r="A1126" t="s">
        <v>831</v>
      </c>
      <c r="B1126" t="s">
        <v>840</v>
      </c>
      <c r="C1126">
        <v>38.520000000000003</v>
      </c>
    </row>
    <row r="1127" spans="1:3" x14ac:dyDescent="0.35">
      <c r="A1127" t="s">
        <v>831</v>
      </c>
      <c r="B1127" t="s">
        <v>134</v>
      </c>
      <c r="C1127">
        <v>10.119999999999999</v>
      </c>
    </row>
    <row r="1128" spans="1:3" x14ac:dyDescent="0.35">
      <c r="A1128" t="s">
        <v>831</v>
      </c>
      <c r="B1128" t="s">
        <v>134</v>
      </c>
      <c r="C1128">
        <v>15.26</v>
      </c>
    </row>
    <row r="1129" spans="1:3" x14ac:dyDescent="0.35">
      <c r="A1129" t="s">
        <v>815</v>
      </c>
      <c r="B1129" t="s">
        <v>733</v>
      </c>
      <c r="C1129">
        <v>11.9</v>
      </c>
    </row>
    <row r="1130" spans="1:3" x14ac:dyDescent="0.35">
      <c r="A1130" t="s">
        <v>815</v>
      </c>
      <c r="B1130" t="s">
        <v>816</v>
      </c>
      <c r="C1130">
        <v>55.39</v>
      </c>
    </row>
    <row r="1131" spans="1:3" x14ac:dyDescent="0.35">
      <c r="A1131" t="s">
        <v>815</v>
      </c>
      <c r="B1131" t="s">
        <v>20</v>
      </c>
      <c r="C1131">
        <v>114.84</v>
      </c>
    </row>
    <row r="1132" spans="1:3" x14ac:dyDescent="0.35">
      <c r="A1132" t="s">
        <v>815</v>
      </c>
      <c r="B1132" t="s">
        <v>134</v>
      </c>
      <c r="C1132">
        <v>15.01</v>
      </c>
    </row>
    <row r="1133" spans="1:3" x14ac:dyDescent="0.35">
      <c r="A1133" t="s">
        <v>815</v>
      </c>
      <c r="B1133" t="s">
        <v>134</v>
      </c>
      <c r="C1133">
        <v>13.76</v>
      </c>
    </row>
    <row r="1134" spans="1:3" x14ac:dyDescent="0.35">
      <c r="A1134" t="s">
        <v>794</v>
      </c>
      <c r="B1134" t="s">
        <v>168</v>
      </c>
      <c r="C1134">
        <v>16.8</v>
      </c>
    </row>
    <row r="1135" spans="1:3" x14ac:dyDescent="0.35">
      <c r="A1135" t="s">
        <v>794</v>
      </c>
      <c r="B1135" t="s">
        <v>856</v>
      </c>
      <c r="C1135">
        <v>40.01</v>
      </c>
    </row>
    <row r="1136" spans="1:3" x14ac:dyDescent="0.35">
      <c r="A1136" t="s">
        <v>794</v>
      </c>
      <c r="B1136" t="s">
        <v>795</v>
      </c>
      <c r="C1136">
        <v>12000</v>
      </c>
    </row>
    <row r="1137" spans="1:3" x14ac:dyDescent="0.35">
      <c r="A1137" t="s">
        <v>794</v>
      </c>
      <c r="B1137" t="s">
        <v>95</v>
      </c>
      <c r="C1137">
        <v>22.47</v>
      </c>
    </row>
    <row r="1138" spans="1:3" x14ac:dyDescent="0.35">
      <c r="A1138" t="s">
        <v>794</v>
      </c>
      <c r="B1138" t="s">
        <v>726</v>
      </c>
      <c r="C1138">
        <v>5.4</v>
      </c>
    </row>
    <row r="1139" spans="1:3" x14ac:dyDescent="0.35">
      <c r="A1139" t="s">
        <v>794</v>
      </c>
      <c r="B1139" t="s">
        <v>18</v>
      </c>
      <c r="C1139">
        <v>14.94</v>
      </c>
    </row>
    <row r="1140" spans="1:3" x14ac:dyDescent="0.35">
      <c r="A1140" t="s">
        <v>794</v>
      </c>
      <c r="B1140" t="s">
        <v>18</v>
      </c>
      <c r="C1140">
        <v>5.34</v>
      </c>
    </row>
    <row r="1141" spans="1:3" x14ac:dyDescent="0.35">
      <c r="A1141" t="s">
        <v>794</v>
      </c>
      <c r="B1141" t="s">
        <v>865</v>
      </c>
      <c r="C1141">
        <v>262.95</v>
      </c>
    </row>
    <row r="1142" spans="1:3" x14ac:dyDescent="0.35">
      <c r="A1142" t="s">
        <v>794</v>
      </c>
      <c r="B1142" t="s">
        <v>870</v>
      </c>
      <c r="C1142">
        <v>7</v>
      </c>
    </row>
    <row r="1143" spans="1:3" x14ac:dyDescent="0.35">
      <c r="A1143" t="s">
        <v>832</v>
      </c>
      <c r="B1143" t="s">
        <v>852</v>
      </c>
      <c r="C1143">
        <v>365.88</v>
      </c>
    </row>
    <row r="1144" spans="1:3" x14ac:dyDescent="0.35">
      <c r="A1144" t="s">
        <v>832</v>
      </c>
      <c r="B1144" t="s">
        <v>833</v>
      </c>
      <c r="C1144">
        <v>9.66</v>
      </c>
    </row>
    <row r="1145" spans="1:3" x14ac:dyDescent="0.35">
      <c r="A1145" t="s">
        <v>832</v>
      </c>
      <c r="B1145" t="s">
        <v>656</v>
      </c>
      <c r="C1145">
        <v>283.5</v>
      </c>
    </row>
    <row r="1146" spans="1:3" x14ac:dyDescent="0.35">
      <c r="A1146" t="s">
        <v>832</v>
      </c>
      <c r="B1146" t="s">
        <v>846</v>
      </c>
      <c r="C1146">
        <v>56</v>
      </c>
    </row>
    <row r="1147" spans="1:3" x14ac:dyDescent="0.35">
      <c r="A1147" t="s">
        <v>832</v>
      </c>
      <c r="B1147" t="s">
        <v>68</v>
      </c>
      <c r="C1147">
        <v>41.57</v>
      </c>
    </row>
    <row r="1148" spans="1:3" x14ac:dyDescent="0.35">
      <c r="A1148" t="s">
        <v>832</v>
      </c>
      <c r="B1148" t="s">
        <v>59</v>
      </c>
      <c r="C1148">
        <v>350</v>
      </c>
    </row>
    <row r="1149" spans="1:3" x14ac:dyDescent="0.35">
      <c r="A1149" t="s">
        <v>832</v>
      </c>
      <c r="B1149" t="s">
        <v>792</v>
      </c>
      <c r="C1149">
        <v>4221.0200000000004</v>
      </c>
    </row>
    <row r="1150" spans="1:3" x14ac:dyDescent="0.35">
      <c r="A1150" t="s">
        <v>832</v>
      </c>
      <c r="B1150" t="s">
        <v>875</v>
      </c>
      <c r="C1150">
        <v>6000</v>
      </c>
    </row>
    <row r="1151" spans="1:3" x14ac:dyDescent="0.35">
      <c r="A1151" t="s">
        <v>819</v>
      </c>
      <c r="B1151" t="s">
        <v>879</v>
      </c>
      <c r="C1151">
        <v>-6000</v>
      </c>
    </row>
    <row r="1152" spans="1:3" x14ac:dyDescent="0.35">
      <c r="A1152" t="s">
        <v>819</v>
      </c>
      <c r="B1152" t="s">
        <v>880</v>
      </c>
      <c r="C1152">
        <v>395.44</v>
      </c>
    </row>
    <row r="1153" spans="1:3" x14ac:dyDescent="0.35">
      <c r="A1153" t="s">
        <v>819</v>
      </c>
      <c r="B1153" t="s">
        <v>821</v>
      </c>
      <c r="C1153">
        <v>10.49</v>
      </c>
    </row>
    <row r="1154" spans="1:3" x14ac:dyDescent="0.35">
      <c r="A1154" t="s">
        <v>819</v>
      </c>
      <c r="B1154" t="s">
        <v>820</v>
      </c>
      <c r="C1154">
        <v>83.44</v>
      </c>
    </row>
    <row r="1155" spans="1:3" x14ac:dyDescent="0.35">
      <c r="A1155" t="s">
        <v>819</v>
      </c>
      <c r="B1155" t="s">
        <v>134</v>
      </c>
      <c r="C1155">
        <v>14.23</v>
      </c>
    </row>
    <row r="1156" spans="1:3" x14ac:dyDescent="0.35">
      <c r="A1156" t="s">
        <v>819</v>
      </c>
      <c r="B1156" t="s">
        <v>134</v>
      </c>
      <c r="C1156">
        <v>15.4</v>
      </c>
    </row>
    <row r="1157" spans="1:3" x14ac:dyDescent="0.35">
      <c r="A1157" t="s">
        <v>819</v>
      </c>
      <c r="B1157" t="s">
        <v>877</v>
      </c>
      <c r="C1157">
        <v>6000</v>
      </c>
    </row>
    <row r="1158" spans="1:3" x14ac:dyDescent="0.35">
      <c r="A1158" t="s">
        <v>819</v>
      </c>
      <c r="B1158" t="s">
        <v>876</v>
      </c>
      <c r="C1158">
        <v>-12000</v>
      </c>
    </row>
    <row r="1159" spans="1:3" x14ac:dyDescent="0.35">
      <c r="A1159" t="s">
        <v>834</v>
      </c>
      <c r="B1159" t="s">
        <v>835</v>
      </c>
      <c r="C1159">
        <v>5.67</v>
      </c>
    </row>
    <row r="1160" spans="1:3" x14ac:dyDescent="0.35">
      <c r="A1160" t="s">
        <v>834</v>
      </c>
      <c r="B1160" t="s">
        <v>123</v>
      </c>
      <c r="C1160">
        <v>9.06</v>
      </c>
    </row>
    <row r="1161" spans="1:3" x14ac:dyDescent="0.35">
      <c r="A1161" t="s">
        <v>834</v>
      </c>
      <c r="B1161" t="s">
        <v>134</v>
      </c>
      <c r="C1161">
        <v>14.11</v>
      </c>
    </row>
    <row r="1162" spans="1:3" x14ac:dyDescent="0.35">
      <c r="A1162" t="s">
        <v>834</v>
      </c>
      <c r="B1162" t="s">
        <v>134</v>
      </c>
      <c r="C1162">
        <v>14.85</v>
      </c>
    </row>
    <row r="1163" spans="1:3" x14ac:dyDescent="0.35">
      <c r="A1163" t="s">
        <v>822</v>
      </c>
      <c r="B1163" t="s">
        <v>825</v>
      </c>
      <c r="C1163">
        <v>57.96</v>
      </c>
    </row>
    <row r="1164" spans="1:3" x14ac:dyDescent="0.35">
      <c r="A1164" t="s">
        <v>822</v>
      </c>
      <c r="B1164" t="s">
        <v>199</v>
      </c>
      <c r="C1164">
        <v>44.99</v>
      </c>
    </row>
    <row r="1165" spans="1:3" x14ac:dyDescent="0.35">
      <c r="A1165" t="s">
        <v>822</v>
      </c>
      <c r="B1165" t="s">
        <v>823</v>
      </c>
      <c r="C1165">
        <v>3.01</v>
      </c>
    </row>
    <row r="1166" spans="1:3" x14ac:dyDescent="0.35">
      <c r="A1166" t="s">
        <v>822</v>
      </c>
      <c r="B1166" t="s">
        <v>824</v>
      </c>
      <c r="C1166">
        <v>34.18</v>
      </c>
    </row>
    <row r="1167" spans="1:3" x14ac:dyDescent="0.35">
      <c r="A1167" t="s">
        <v>822</v>
      </c>
      <c r="B1167" t="s">
        <v>823</v>
      </c>
      <c r="C1167">
        <v>11.34</v>
      </c>
    </row>
    <row r="1168" spans="1:3" x14ac:dyDescent="0.35">
      <c r="A1168" t="s">
        <v>822</v>
      </c>
      <c r="B1168" t="s">
        <v>134</v>
      </c>
      <c r="C1168">
        <v>14.31</v>
      </c>
    </row>
    <row r="1169" spans="1:6" x14ac:dyDescent="0.35">
      <c r="A1169" t="s">
        <v>822</v>
      </c>
      <c r="B1169" t="s">
        <v>134</v>
      </c>
      <c r="C1169">
        <v>14.66</v>
      </c>
    </row>
    <row r="1170" spans="1:6" x14ac:dyDescent="0.35">
      <c r="A1170" t="s">
        <v>847</v>
      </c>
      <c r="B1170" t="s">
        <v>134</v>
      </c>
      <c r="C1170">
        <v>13.22</v>
      </c>
    </row>
    <row r="1171" spans="1:6" x14ac:dyDescent="0.35">
      <c r="A1171" t="s">
        <v>847</v>
      </c>
      <c r="B1171" t="s">
        <v>134</v>
      </c>
      <c r="C1171">
        <v>15.29</v>
      </c>
    </row>
    <row r="1172" spans="1:6" x14ac:dyDescent="0.35">
      <c r="A1172" t="s">
        <v>817</v>
      </c>
      <c r="B1172" t="s">
        <v>841</v>
      </c>
      <c r="C1172">
        <v>5.44</v>
      </c>
    </row>
    <row r="1173" spans="1:6" x14ac:dyDescent="0.35">
      <c r="A1173" t="s">
        <v>817</v>
      </c>
      <c r="B1173" t="s">
        <v>20</v>
      </c>
      <c r="C1173">
        <v>93.18</v>
      </c>
    </row>
    <row r="1174" spans="1:6" x14ac:dyDescent="0.35">
      <c r="A1174" t="s">
        <v>817</v>
      </c>
      <c r="B1174" t="s">
        <v>444</v>
      </c>
      <c r="C1174">
        <v>12.5</v>
      </c>
    </row>
    <row r="1175" spans="1:6" x14ac:dyDescent="0.35">
      <c r="A1175" t="s">
        <v>817</v>
      </c>
      <c r="B1175" t="s">
        <v>134</v>
      </c>
      <c r="C1175">
        <v>13.75</v>
      </c>
    </row>
    <row r="1176" spans="1:6" x14ac:dyDescent="0.35">
      <c r="A1176" t="s">
        <v>817</v>
      </c>
      <c r="B1176" t="s">
        <v>836</v>
      </c>
      <c r="C1176">
        <v>7.89</v>
      </c>
    </row>
    <row r="1177" spans="1:6" x14ac:dyDescent="0.35">
      <c r="A1177" t="s">
        <v>817</v>
      </c>
      <c r="B1177" t="s">
        <v>190</v>
      </c>
      <c r="C1177">
        <v>99.85</v>
      </c>
    </row>
    <row r="1178" spans="1:6" x14ac:dyDescent="0.35">
      <c r="A1178" t="s">
        <v>817</v>
      </c>
      <c r="B1178" t="s">
        <v>134</v>
      </c>
      <c r="C1178">
        <v>13.86</v>
      </c>
    </row>
    <row r="1179" spans="1:6" x14ac:dyDescent="0.35">
      <c r="A1179" t="s">
        <v>818</v>
      </c>
      <c r="B1179" t="s">
        <v>75</v>
      </c>
      <c r="C1179">
        <v>-536.22</v>
      </c>
    </row>
    <row r="1180" spans="1:6" x14ac:dyDescent="0.35">
      <c r="A1180" t="s">
        <v>818</v>
      </c>
      <c r="B1180" t="s">
        <v>853</v>
      </c>
      <c r="C1180">
        <v>8.99</v>
      </c>
    </row>
    <row r="1181" spans="1:6" x14ac:dyDescent="0.35">
      <c r="A1181" t="s">
        <v>818</v>
      </c>
      <c r="B1181" t="s">
        <v>851</v>
      </c>
      <c r="C1181">
        <v>53.28</v>
      </c>
    </row>
    <row r="1182" spans="1:6" x14ac:dyDescent="0.35">
      <c r="A1182" t="s">
        <v>818</v>
      </c>
      <c r="B1182" t="s">
        <v>75</v>
      </c>
      <c r="C1182">
        <v>-378.01</v>
      </c>
    </row>
    <row r="1183" spans="1:6" x14ac:dyDescent="0.35">
      <c r="C1183">
        <v>0</v>
      </c>
      <c r="D1183">
        <f>SUM(C1028:C1182)</f>
        <v>38834.549999999967</v>
      </c>
      <c r="E1183">
        <f>SUM(C2:C1182)</f>
        <v>293786.58999999997</v>
      </c>
      <c r="F1183" t="s">
        <v>796</v>
      </c>
    </row>
    <row r="1184" spans="1:6" x14ac:dyDescent="0.35">
      <c r="A1184" t="s">
        <v>797</v>
      </c>
      <c r="B1184" t="s">
        <v>881</v>
      </c>
      <c r="C1184">
        <v>216.5</v>
      </c>
    </row>
    <row r="1185" spans="1:3" x14ac:dyDescent="0.35">
      <c r="A1185" t="s">
        <v>797</v>
      </c>
      <c r="B1185" t="s">
        <v>882</v>
      </c>
      <c r="C1185">
        <v>243.97</v>
      </c>
    </row>
    <row r="1186" spans="1:3" x14ac:dyDescent="0.35">
      <c r="A1186" t="s">
        <v>797</v>
      </c>
      <c r="B1186" t="s">
        <v>798</v>
      </c>
      <c r="C1186">
        <v>7412</v>
      </c>
    </row>
    <row r="1187" spans="1:3" x14ac:dyDescent="0.35">
      <c r="A1187" t="s">
        <v>797</v>
      </c>
      <c r="B1187" t="s">
        <v>799</v>
      </c>
      <c r="C1187">
        <v>378.01</v>
      </c>
    </row>
    <row r="1188" spans="1:3" x14ac:dyDescent="0.35">
      <c r="A1188" t="s">
        <v>797</v>
      </c>
      <c r="B1188" t="s">
        <v>16</v>
      </c>
      <c r="C1188">
        <v>3</v>
      </c>
    </row>
    <row r="1189" spans="1:3" x14ac:dyDescent="0.35">
      <c r="A1189" t="s">
        <v>797</v>
      </c>
      <c r="B1189" t="s">
        <v>23</v>
      </c>
      <c r="C1189">
        <v>-2287.89</v>
      </c>
    </row>
    <row r="1190" spans="1:3" x14ac:dyDescent="0.35">
      <c r="A1190" t="s">
        <v>797</v>
      </c>
      <c r="B1190" t="s">
        <v>588</v>
      </c>
      <c r="C1190">
        <v>135</v>
      </c>
    </row>
    <row r="1191" spans="1:3" x14ac:dyDescent="0.35">
      <c r="A1191" t="s">
        <v>797</v>
      </c>
      <c r="B1191" t="s">
        <v>256</v>
      </c>
      <c r="C1191">
        <v>536.22</v>
      </c>
    </row>
    <row r="1192" spans="1:3" x14ac:dyDescent="0.35">
      <c r="A1192" t="s">
        <v>797</v>
      </c>
      <c r="B1192" t="s">
        <v>862</v>
      </c>
      <c r="C1192">
        <v>1695.72</v>
      </c>
    </row>
    <row r="1193" spans="1:3" x14ac:dyDescent="0.35">
      <c r="A1193" t="s">
        <v>797</v>
      </c>
      <c r="B1193" t="s">
        <v>872</v>
      </c>
      <c r="C1193">
        <v>7</v>
      </c>
    </row>
    <row r="1194" spans="1:3" x14ac:dyDescent="0.35">
      <c r="A1194" t="s">
        <v>797</v>
      </c>
      <c r="B1194" t="s">
        <v>871</v>
      </c>
      <c r="C1194">
        <v>8</v>
      </c>
    </row>
    <row r="1195" spans="1:3" x14ac:dyDescent="0.35">
      <c r="A1195" t="s">
        <v>797</v>
      </c>
      <c r="B1195" t="s">
        <v>491</v>
      </c>
      <c r="C1195">
        <v>-7.0000000000000007E-2</v>
      </c>
    </row>
    <row r="1196" spans="1:3" x14ac:dyDescent="0.35">
      <c r="A1196" t="s">
        <v>843</v>
      </c>
      <c r="B1196" t="s">
        <v>857</v>
      </c>
      <c r="C1196">
        <v>523</v>
      </c>
    </row>
    <row r="1197" spans="1:3" x14ac:dyDescent="0.35">
      <c r="A1197" t="s">
        <v>843</v>
      </c>
      <c r="B1197" t="s">
        <v>126</v>
      </c>
      <c r="C1197">
        <v>10</v>
      </c>
    </row>
    <row r="1198" spans="1:3" x14ac:dyDescent="0.35">
      <c r="A1198" t="s">
        <v>843</v>
      </c>
      <c r="B1198" t="s">
        <v>131</v>
      </c>
      <c r="C1198">
        <v>63.25</v>
      </c>
    </row>
    <row r="1199" spans="1:3" x14ac:dyDescent="0.35">
      <c r="A1199" t="s">
        <v>843</v>
      </c>
      <c r="B1199" t="s">
        <v>134</v>
      </c>
      <c r="C1199">
        <v>12.57</v>
      </c>
    </row>
    <row r="1200" spans="1:3" x14ac:dyDescent="0.35">
      <c r="A1200" t="s">
        <v>843</v>
      </c>
      <c r="B1200" t="s">
        <v>134</v>
      </c>
      <c r="C1200">
        <v>13.03</v>
      </c>
    </row>
    <row r="1201" spans="1:3" x14ac:dyDescent="0.35">
      <c r="A1201" t="s">
        <v>837</v>
      </c>
      <c r="B1201" t="s">
        <v>53</v>
      </c>
      <c r="C1201">
        <v>-435.12</v>
      </c>
    </row>
    <row r="1202" spans="1:3" x14ac:dyDescent="0.35">
      <c r="A1202" t="s">
        <v>837</v>
      </c>
      <c r="B1202" t="s">
        <v>726</v>
      </c>
      <c r="C1202">
        <v>6.72</v>
      </c>
    </row>
    <row r="1203" spans="1:3" x14ac:dyDescent="0.35">
      <c r="A1203" t="s">
        <v>837</v>
      </c>
      <c r="B1203" t="s">
        <v>134</v>
      </c>
      <c r="C1203">
        <v>11.59</v>
      </c>
    </row>
    <row r="1204" spans="1:3" x14ac:dyDescent="0.35">
      <c r="A1204" t="s">
        <v>838</v>
      </c>
      <c r="B1204" t="s">
        <v>543</v>
      </c>
      <c r="C1204">
        <v>8.02</v>
      </c>
    </row>
    <row r="1205" spans="1:3" x14ac:dyDescent="0.35">
      <c r="A1205" t="s">
        <v>838</v>
      </c>
      <c r="B1205" t="s">
        <v>588</v>
      </c>
      <c r="C1205">
        <v>100</v>
      </c>
    </row>
    <row r="1206" spans="1:3" x14ac:dyDescent="0.35">
      <c r="A1206" t="s">
        <v>838</v>
      </c>
      <c r="B1206" t="s">
        <v>863</v>
      </c>
      <c r="C1206">
        <v>435.12</v>
      </c>
    </row>
    <row r="1207" spans="1:3" x14ac:dyDescent="0.35">
      <c r="A1207" t="s">
        <v>838</v>
      </c>
      <c r="B1207" t="s">
        <v>79</v>
      </c>
      <c r="C1207">
        <v>6.35</v>
      </c>
    </row>
    <row r="1208" spans="1:3" x14ac:dyDescent="0.35">
      <c r="A1208" t="s">
        <v>838</v>
      </c>
      <c r="B1208" t="s">
        <v>962</v>
      </c>
      <c r="C1208">
        <v>2000</v>
      </c>
    </row>
    <row r="1209" spans="1:3" x14ac:dyDescent="0.35">
      <c r="A1209" t="s">
        <v>842</v>
      </c>
      <c r="B1209" t="s">
        <v>858</v>
      </c>
      <c r="C1209">
        <v>15.06</v>
      </c>
    </row>
    <row r="1210" spans="1:3" x14ac:dyDescent="0.35">
      <c r="A1210" t="s">
        <v>842</v>
      </c>
      <c r="B1210" t="s">
        <v>124</v>
      </c>
      <c r="C1210">
        <v>10.6</v>
      </c>
    </row>
    <row r="1211" spans="1:3" x14ac:dyDescent="0.35">
      <c r="A1211" t="s">
        <v>842</v>
      </c>
      <c r="B1211" t="s">
        <v>112</v>
      </c>
      <c r="C1211">
        <v>36.880000000000003</v>
      </c>
    </row>
    <row r="1212" spans="1:3" x14ac:dyDescent="0.35">
      <c r="A1212" t="s">
        <v>842</v>
      </c>
      <c r="B1212" t="s">
        <v>841</v>
      </c>
      <c r="C1212">
        <v>4.3600000000000003</v>
      </c>
    </row>
    <row r="1213" spans="1:3" x14ac:dyDescent="0.35">
      <c r="A1213" t="s">
        <v>842</v>
      </c>
      <c r="B1213" t="s">
        <v>169</v>
      </c>
      <c r="C1213">
        <v>55.99</v>
      </c>
    </row>
    <row r="1214" spans="1:3" x14ac:dyDescent="0.35">
      <c r="A1214" t="s">
        <v>842</v>
      </c>
      <c r="B1214" t="s">
        <v>598</v>
      </c>
      <c r="C1214">
        <v>38.15</v>
      </c>
    </row>
    <row r="1215" spans="1:3" x14ac:dyDescent="0.35">
      <c r="A1215" t="s">
        <v>848</v>
      </c>
      <c r="B1215" t="s">
        <v>922</v>
      </c>
      <c r="C1215">
        <v>55</v>
      </c>
    </row>
    <row r="1216" spans="1:3" x14ac:dyDescent="0.35">
      <c r="A1216" t="s">
        <v>848</v>
      </c>
      <c r="B1216" t="s">
        <v>922</v>
      </c>
      <c r="C1216">
        <v>55</v>
      </c>
    </row>
    <row r="1217" spans="1:3" x14ac:dyDescent="0.35">
      <c r="A1217" t="s">
        <v>848</v>
      </c>
      <c r="B1217" t="s">
        <v>897</v>
      </c>
      <c r="C1217">
        <v>449.24</v>
      </c>
    </row>
    <row r="1218" spans="1:3" x14ac:dyDescent="0.35">
      <c r="A1218" t="s">
        <v>848</v>
      </c>
      <c r="B1218" t="s">
        <v>134</v>
      </c>
      <c r="C1218">
        <v>11.62</v>
      </c>
    </row>
    <row r="1219" spans="1:3" x14ac:dyDescent="0.35">
      <c r="A1219" t="s">
        <v>848</v>
      </c>
      <c r="B1219" t="s">
        <v>134</v>
      </c>
      <c r="C1219">
        <v>14.34</v>
      </c>
    </row>
    <row r="1220" spans="1:3" x14ac:dyDescent="0.35">
      <c r="A1220" t="s">
        <v>888</v>
      </c>
      <c r="B1220" t="s">
        <v>119</v>
      </c>
      <c r="C1220">
        <v>6.96</v>
      </c>
    </row>
    <row r="1221" spans="1:3" x14ac:dyDescent="0.35">
      <c r="A1221" t="s">
        <v>888</v>
      </c>
      <c r="B1221" t="s">
        <v>889</v>
      </c>
      <c r="C1221">
        <v>6.11</v>
      </c>
    </row>
    <row r="1222" spans="1:3" x14ac:dyDescent="0.35">
      <c r="A1222" t="s">
        <v>888</v>
      </c>
      <c r="B1222" t="s">
        <v>117</v>
      </c>
      <c r="C1222">
        <v>2.85</v>
      </c>
    </row>
    <row r="1223" spans="1:3" x14ac:dyDescent="0.35">
      <c r="A1223" t="s">
        <v>888</v>
      </c>
      <c r="B1223" t="s">
        <v>898</v>
      </c>
      <c r="C1223">
        <v>155.69</v>
      </c>
    </row>
    <row r="1224" spans="1:3" x14ac:dyDescent="0.35">
      <c r="A1224" t="s">
        <v>888</v>
      </c>
      <c r="B1224" t="s">
        <v>927</v>
      </c>
      <c r="C1224">
        <v>61.96</v>
      </c>
    </row>
    <row r="1225" spans="1:3" x14ac:dyDescent="0.35">
      <c r="A1225" t="s">
        <v>888</v>
      </c>
      <c r="B1225" t="s">
        <v>949</v>
      </c>
      <c r="C1225">
        <v>8</v>
      </c>
    </row>
    <row r="1226" spans="1:3" x14ac:dyDescent="0.35">
      <c r="A1226" t="s">
        <v>888</v>
      </c>
      <c r="B1226" t="s">
        <v>950</v>
      </c>
      <c r="C1226">
        <v>50</v>
      </c>
    </row>
    <row r="1227" spans="1:3" x14ac:dyDescent="0.35">
      <c r="A1227" t="s">
        <v>888</v>
      </c>
      <c r="B1227" t="s">
        <v>956</v>
      </c>
      <c r="C1227">
        <v>10.199999999999999</v>
      </c>
    </row>
    <row r="1228" spans="1:3" x14ac:dyDescent="0.35">
      <c r="A1228" t="s">
        <v>888</v>
      </c>
      <c r="B1228" t="s">
        <v>956</v>
      </c>
      <c r="C1228">
        <v>1.56</v>
      </c>
    </row>
    <row r="1229" spans="1:3" x14ac:dyDescent="0.35">
      <c r="A1229" t="s">
        <v>888</v>
      </c>
      <c r="B1229" t="s">
        <v>170</v>
      </c>
      <c r="C1229">
        <v>55</v>
      </c>
    </row>
    <row r="1230" spans="1:3" x14ac:dyDescent="0.35">
      <c r="A1230" t="s">
        <v>888</v>
      </c>
      <c r="B1230" t="s">
        <v>833</v>
      </c>
      <c r="C1230">
        <v>6</v>
      </c>
    </row>
    <row r="1231" spans="1:3" x14ac:dyDescent="0.35">
      <c r="A1231" t="s">
        <v>899</v>
      </c>
      <c r="B1231" t="s">
        <v>123</v>
      </c>
      <c r="C1231">
        <v>3.04</v>
      </c>
    </row>
    <row r="1232" spans="1:3" x14ac:dyDescent="0.35">
      <c r="A1232" t="s">
        <v>899</v>
      </c>
      <c r="B1232" t="s">
        <v>827</v>
      </c>
      <c r="C1232">
        <v>7.7</v>
      </c>
    </row>
    <row r="1233" spans="1:3" x14ac:dyDescent="0.35">
      <c r="A1233" t="s">
        <v>899</v>
      </c>
      <c r="B1233" t="s">
        <v>835</v>
      </c>
      <c r="C1233">
        <v>9.42</v>
      </c>
    </row>
    <row r="1234" spans="1:3" x14ac:dyDescent="0.35">
      <c r="A1234" t="s">
        <v>899</v>
      </c>
      <c r="B1234" t="s">
        <v>821</v>
      </c>
      <c r="C1234">
        <v>8.39</v>
      </c>
    </row>
    <row r="1235" spans="1:3" x14ac:dyDescent="0.35">
      <c r="A1235" t="s">
        <v>899</v>
      </c>
      <c r="B1235" t="s">
        <v>903</v>
      </c>
      <c r="C1235">
        <v>12.85</v>
      </c>
    </row>
    <row r="1236" spans="1:3" x14ac:dyDescent="0.35">
      <c r="A1236" t="s">
        <v>899</v>
      </c>
      <c r="B1236" t="s">
        <v>935</v>
      </c>
      <c r="C1236">
        <v>37.47</v>
      </c>
    </row>
    <row r="1237" spans="1:3" x14ac:dyDescent="0.35">
      <c r="A1237" t="s">
        <v>899</v>
      </c>
      <c r="B1237" t="s">
        <v>932</v>
      </c>
      <c r="C1237">
        <v>46.28</v>
      </c>
    </row>
    <row r="1238" spans="1:3" x14ac:dyDescent="0.35">
      <c r="A1238" t="s">
        <v>873</v>
      </c>
      <c r="B1238" t="s">
        <v>745</v>
      </c>
      <c r="C1238">
        <v>14</v>
      </c>
    </row>
    <row r="1239" spans="1:3" x14ac:dyDescent="0.35">
      <c r="A1239" t="s">
        <v>873</v>
      </c>
      <c r="B1239" t="s">
        <v>751</v>
      </c>
      <c r="C1239">
        <v>3</v>
      </c>
    </row>
    <row r="1240" spans="1:3" x14ac:dyDescent="0.35">
      <c r="A1240" t="s">
        <v>873</v>
      </c>
      <c r="B1240" t="s">
        <v>726</v>
      </c>
      <c r="C1240">
        <v>10.24</v>
      </c>
    </row>
    <row r="1241" spans="1:3" x14ac:dyDescent="0.35">
      <c r="A1241" t="s">
        <v>873</v>
      </c>
      <c r="B1241" t="s">
        <v>898</v>
      </c>
      <c r="C1241">
        <v>-155.69</v>
      </c>
    </row>
    <row r="1242" spans="1:3" x14ac:dyDescent="0.35">
      <c r="A1242" t="s">
        <v>873</v>
      </c>
      <c r="B1242" t="s">
        <v>874</v>
      </c>
      <c r="C1242">
        <v>-0.24</v>
      </c>
    </row>
    <row r="1243" spans="1:3" x14ac:dyDescent="0.35">
      <c r="A1243" t="s">
        <v>873</v>
      </c>
      <c r="B1243" t="s">
        <v>933</v>
      </c>
      <c r="C1243">
        <v>381.19</v>
      </c>
    </row>
    <row r="1244" spans="1:3" x14ac:dyDescent="0.35">
      <c r="A1244" t="s">
        <v>800</v>
      </c>
      <c r="B1244" t="s">
        <v>951</v>
      </c>
      <c r="C1244">
        <v>25</v>
      </c>
    </row>
    <row r="1245" spans="1:3" x14ac:dyDescent="0.35">
      <c r="A1245" t="s">
        <v>800</v>
      </c>
      <c r="B1245" t="s">
        <v>68</v>
      </c>
      <c r="C1245">
        <v>157.66</v>
      </c>
    </row>
    <row r="1246" spans="1:3" x14ac:dyDescent="0.35">
      <c r="A1246" t="s">
        <v>800</v>
      </c>
      <c r="B1246" t="s">
        <v>801</v>
      </c>
      <c r="C1246">
        <v>4200</v>
      </c>
    </row>
    <row r="1247" spans="1:3" x14ac:dyDescent="0.35">
      <c r="A1247" t="s">
        <v>800</v>
      </c>
      <c r="B1247" t="s">
        <v>936</v>
      </c>
      <c r="C1247">
        <v>6.14</v>
      </c>
    </row>
    <row r="1248" spans="1:3" x14ac:dyDescent="0.35">
      <c r="A1248" t="s">
        <v>800</v>
      </c>
      <c r="B1248" t="s">
        <v>80</v>
      </c>
      <c r="C1248">
        <v>20</v>
      </c>
    </row>
    <row r="1249" spans="1:3" x14ac:dyDescent="0.35">
      <c r="A1249" t="s">
        <v>890</v>
      </c>
      <c r="B1249" t="s">
        <v>95</v>
      </c>
      <c r="C1249">
        <v>26.52</v>
      </c>
    </row>
    <row r="1250" spans="1:3" x14ac:dyDescent="0.35">
      <c r="A1250" t="s">
        <v>890</v>
      </c>
      <c r="B1250" t="s">
        <v>726</v>
      </c>
      <c r="C1250">
        <v>7.93</v>
      </c>
    </row>
    <row r="1251" spans="1:3" x14ac:dyDescent="0.35">
      <c r="A1251" t="s">
        <v>890</v>
      </c>
      <c r="B1251" t="s">
        <v>897</v>
      </c>
      <c r="C1251">
        <v>-200</v>
      </c>
    </row>
    <row r="1252" spans="1:3" x14ac:dyDescent="0.35">
      <c r="A1252" t="s">
        <v>890</v>
      </c>
      <c r="B1252" t="s">
        <v>168</v>
      </c>
      <c r="C1252">
        <v>16.350000000000001</v>
      </c>
    </row>
    <row r="1253" spans="1:3" x14ac:dyDescent="0.35">
      <c r="A1253" t="s">
        <v>904</v>
      </c>
      <c r="B1253" t="s">
        <v>134</v>
      </c>
      <c r="C1253">
        <v>12.97</v>
      </c>
    </row>
    <row r="1254" spans="1:3" x14ac:dyDescent="0.35">
      <c r="A1254" t="s">
        <v>904</v>
      </c>
      <c r="B1254" t="s">
        <v>134</v>
      </c>
      <c r="C1254">
        <v>16.21</v>
      </c>
    </row>
    <row r="1255" spans="1:3" x14ac:dyDescent="0.35">
      <c r="A1255" t="s">
        <v>904</v>
      </c>
      <c r="B1255" t="s">
        <v>911</v>
      </c>
      <c r="C1255">
        <v>8</v>
      </c>
    </row>
    <row r="1256" spans="1:3" x14ac:dyDescent="0.35">
      <c r="A1256" t="s">
        <v>904</v>
      </c>
      <c r="B1256" t="s">
        <v>905</v>
      </c>
      <c r="C1256">
        <v>18.010000000000002</v>
      </c>
    </row>
    <row r="1257" spans="1:3" x14ac:dyDescent="0.35">
      <c r="A1257" t="s">
        <v>904</v>
      </c>
      <c r="B1257" t="s">
        <v>912</v>
      </c>
      <c r="C1257">
        <v>164.95</v>
      </c>
    </row>
    <row r="1258" spans="1:3" x14ac:dyDescent="0.35">
      <c r="A1258" t="s">
        <v>923</v>
      </c>
      <c r="B1258" t="s">
        <v>409</v>
      </c>
      <c r="C1258">
        <v>-4200</v>
      </c>
    </row>
    <row r="1259" spans="1:3" x14ac:dyDescent="0.35">
      <c r="A1259" t="s">
        <v>923</v>
      </c>
      <c r="B1259" t="s">
        <v>940</v>
      </c>
      <c r="C1259">
        <v>224.18</v>
      </c>
    </row>
    <row r="1260" spans="1:3" x14ac:dyDescent="0.35">
      <c r="A1260" t="s">
        <v>923</v>
      </c>
      <c r="B1260" t="s">
        <v>924</v>
      </c>
      <c r="C1260">
        <v>273</v>
      </c>
    </row>
    <row r="1261" spans="1:3" x14ac:dyDescent="0.35">
      <c r="A1261" t="s">
        <v>923</v>
      </c>
      <c r="B1261" t="s">
        <v>928</v>
      </c>
      <c r="C1261">
        <v>103.4</v>
      </c>
    </row>
    <row r="1262" spans="1:3" x14ac:dyDescent="0.35">
      <c r="A1262" t="s">
        <v>923</v>
      </c>
      <c r="B1262" t="s">
        <v>79</v>
      </c>
      <c r="C1262">
        <v>5.33</v>
      </c>
    </row>
    <row r="1263" spans="1:3" x14ac:dyDescent="0.35">
      <c r="A1263" t="s">
        <v>906</v>
      </c>
      <c r="B1263" t="s">
        <v>123</v>
      </c>
      <c r="C1263">
        <v>6.85</v>
      </c>
    </row>
    <row r="1264" spans="1:3" x14ac:dyDescent="0.35">
      <c r="A1264" t="s">
        <v>921</v>
      </c>
      <c r="B1264" t="s">
        <v>80</v>
      </c>
      <c r="C1264">
        <v>20</v>
      </c>
    </row>
    <row r="1265" spans="1:3" x14ac:dyDescent="0.35">
      <c r="A1265" t="s">
        <v>921</v>
      </c>
      <c r="B1265" t="s">
        <v>131</v>
      </c>
      <c r="C1265">
        <v>5</v>
      </c>
    </row>
    <row r="1266" spans="1:3" x14ac:dyDescent="0.35">
      <c r="A1266" t="s">
        <v>805</v>
      </c>
      <c r="B1266" t="s">
        <v>79</v>
      </c>
      <c r="C1266">
        <v>11.81</v>
      </c>
    </row>
    <row r="1267" spans="1:3" x14ac:dyDescent="0.35">
      <c r="A1267" t="s">
        <v>805</v>
      </c>
      <c r="B1267" t="s">
        <v>79</v>
      </c>
      <c r="C1267">
        <v>7.99</v>
      </c>
    </row>
    <row r="1268" spans="1:3" x14ac:dyDescent="0.35">
      <c r="A1268" t="s">
        <v>805</v>
      </c>
      <c r="B1268" t="s">
        <v>807</v>
      </c>
      <c r="C1268">
        <v>495.5</v>
      </c>
    </row>
    <row r="1269" spans="1:3" x14ac:dyDescent="0.35">
      <c r="A1269" t="s">
        <v>805</v>
      </c>
      <c r="B1269" t="s">
        <v>806</v>
      </c>
      <c r="C1269">
        <v>2838</v>
      </c>
    </row>
    <row r="1270" spans="1:3" x14ac:dyDescent="0.35">
      <c r="A1270" t="s">
        <v>805</v>
      </c>
      <c r="B1270" t="s">
        <v>230</v>
      </c>
      <c r="C1270">
        <v>18.77</v>
      </c>
    </row>
    <row r="1271" spans="1:3" x14ac:dyDescent="0.35">
      <c r="A1271" t="s">
        <v>805</v>
      </c>
      <c r="B1271" t="s">
        <v>117</v>
      </c>
      <c r="C1271">
        <v>2.85</v>
      </c>
    </row>
    <row r="1272" spans="1:3" x14ac:dyDescent="0.35">
      <c r="A1272" t="s">
        <v>805</v>
      </c>
      <c r="B1272" t="s">
        <v>943</v>
      </c>
      <c r="C1272">
        <v>5500</v>
      </c>
    </row>
    <row r="1273" spans="1:3" x14ac:dyDescent="0.35">
      <c r="A1273" t="s">
        <v>916</v>
      </c>
      <c r="B1273" t="s">
        <v>77</v>
      </c>
      <c r="C1273">
        <v>80.31</v>
      </c>
    </row>
    <row r="1274" spans="1:3" x14ac:dyDescent="0.35">
      <c r="A1274" t="s">
        <v>916</v>
      </c>
      <c r="B1274" t="s">
        <v>937</v>
      </c>
      <c r="C1274">
        <v>40.64</v>
      </c>
    </row>
    <row r="1275" spans="1:3" x14ac:dyDescent="0.35">
      <c r="A1275" t="s">
        <v>916</v>
      </c>
      <c r="B1275" t="s">
        <v>308</v>
      </c>
      <c r="C1275">
        <v>91.03</v>
      </c>
    </row>
    <row r="1276" spans="1:3" x14ac:dyDescent="0.35">
      <c r="A1276" t="s">
        <v>916</v>
      </c>
      <c r="B1276" t="s">
        <v>767</v>
      </c>
      <c r="C1276">
        <v>1611.03</v>
      </c>
    </row>
    <row r="1277" spans="1:3" x14ac:dyDescent="0.35">
      <c r="A1277" t="s">
        <v>891</v>
      </c>
      <c r="B1277" t="s">
        <v>20</v>
      </c>
      <c r="C1277">
        <v>168.43</v>
      </c>
    </row>
    <row r="1278" spans="1:3" x14ac:dyDescent="0.35">
      <c r="A1278" t="s">
        <v>891</v>
      </c>
      <c r="B1278" t="s">
        <v>440</v>
      </c>
      <c r="C1278">
        <v>60.13</v>
      </c>
    </row>
    <row r="1279" spans="1:3" x14ac:dyDescent="0.35">
      <c r="A1279" t="s">
        <v>891</v>
      </c>
      <c r="B1279" t="s">
        <v>913</v>
      </c>
      <c r="C1279">
        <v>64</v>
      </c>
    </row>
    <row r="1280" spans="1:3" x14ac:dyDescent="0.35">
      <c r="A1280" t="s">
        <v>891</v>
      </c>
      <c r="B1280" t="s">
        <v>907</v>
      </c>
      <c r="C1280">
        <v>2.4300000000000002</v>
      </c>
    </row>
    <row r="1281" spans="1:3" x14ac:dyDescent="0.35">
      <c r="A1281" t="s">
        <v>892</v>
      </c>
      <c r="B1281" t="s">
        <v>78</v>
      </c>
      <c r="C1281">
        <v>179.52</v>
      </c>
    </row>
    <row r="1282" spans="1:3" x14ac:dyDescent="0.35">
      <c r="A1282" t="s">
        <v>892</v>
      </c>
      <c r="B1282" t="s">
        <v>929</v>
      </c>
      <c r="C1282">
        <v>105.92</v>
      </c>
    </row>
    <row r="1283" spans="1:3" x14ac:dyDescent="0.35">
      <c r="A1283" t="s">
        <v>892</v>
      </c>
      <c r="B1283" t="s">
        <v>95</v>
      </c>
      <c r="C1283">
        <v>10.01</v>
      </c>
    </row>
    <row r="1284" spans="1:3" x14ac:dyDescent="0.35">
      <c r="A1284" t="s">
        <v>892</v>
      </c>
      <c r="B1284" t="s">
        <v>134</v>
      </c>
      <c r="C1284">
        <v>14.5</v>
      </c>
    </row>
    <row r="1285" spans="1:3" x14ac:dyDescent="0.35">
      <c r="A1285" t="s">
        <v>892</v>
      </c>
      <c r="B1285" t="s">
        <v>134</v>
      </c>
      <c r="C1285">
        <v>18.059999999999999</v>
      </c>
    </row>
    <row r="1286" spans="1:3" x14ac:dyDescent="0.35">
      <c r="A1286" t="s">
        <v>892</v>
      </c>
      <c r="B1286" t="s">
        <v>134</v>
      </c>
      <c r="C1286">
        <v>15.69</v>
      </c>
    </row>
    <row r="1287" spans="1:3" x14ac:dyDescent="0.35">
      <c r="A1287" t="s">
        <v>941</v>
      </c>
      <c r="B1287" t="s">
        <v>963</v>
      </c>
      <c r="C1287">
        <v>1000</v>
      </c>
    </row>
    <row r="1288" spans="1:3" x14ac:dyDescent="0.35">
      <c r="A1288" t="s">
        <v>941</v>
      </c>
      <c r="B1288" t="s">
        <v>80</v>
      </c>
      <c r="C1288">
        <v>20</v>
      </c>
    </row>
    <row r="1289" spans="1:3" x14ac:dyDescent="0.35">
      <c r="A1289" t="s">
        <v>941</v>
      </c>
      <c r="B1289" t="s">
        <v>942</v>
      </c>
      <c r="C1289">
        <v>71.73</v>
      </c>
    </row>
    <row r="1290" spans="1:3" x14ac:dyDescent="0.35">
      <c r="A1290" t="s">
        <v>941</v>
      </c>
      <c r="B1290" t="s">
        <v>66</v>
      </c>
      <c r="C1290">
        <v>2840.44</v>
      </c>
    </row>
    <row r="1291" spans="1:3" x14ac:dyDescent="0.35">
      <c r="A1291" t="s">
        <v>941</v>
      </c>
      <c r="B1291" t="s">
        <v>952</v>
      </c>
      <c r="C1291">
        <v>5</v>
      </c>
    </row>
    <row r="1292" spans="1:3" x14ac:dyDescent="0.35">
      <c r="A1292" t="s">
        <v>908</v>
      </c>
      <c r="B1292" t="s">
        <v>909</v>
      </c>
      <c r="C1292">
        <v>13.89</v>
      </c>
    </row>
    <row r="1293" spans="1:3" x14ac:dyDescent="0.35">
      <c r="A1293" t="s">
        <v>908</v>
      </c>
      <c r="B1293" t="s">
        <v>915</v>
      </c>
      <c r="C1293">
        <v>94.83</v>
      </c>
    </row>
    <row r="1294" spans="1:3" x14ac:dyDescent="0.35">
      <c r="A1294" t="s">
        <v>908</v>
      </c>
      <c r="B1294" t="s">
        <v>40</v>
      </c>
      <c r="C1294">
        <v>50</v>
      </c>
    </row>
    <row r="1295" spans="1:3" x14ac:dyDescent="0.35">
      <c r="A1295" t="s">
        <v>908</v>
      </c>
      <c r="B1295" t="s">
        <v>68</v>
      </c>
      <c r="C1295">
        <v>33.07</v>
      </c>
    </row>
    <row r="1296" spans="1:3" x14ac:dyDescent="0.35">
      <c r="A1296" t="s">
        <v>939</v>
      </c>
      <c r="B1296" t="s">
        <v>948</v>
      </c>
      <c r="C1296">
        <v>262.95</v>
      </c>
    </row>
    <row r="1297" spans="1:3" x14ac:dyDescent="0.35">
      <c r="A1297" t="s">
        <v>939</v>
      </c>
      <c r="B1297" t="s">
        <v>59</v>
      </c>
      <c r="C1297">
        <v>632.95000000000005</v>
      </c>
    </row>
    <row r="1298" spans="1:3" x14ac:dyDescent="0.35">
      <c r="A1298" t="s">
        <v>939</v>
      </c>
      <c r="B1298" t="s">
        <v>792</v>
      </c>
      <c r="C1298">
        <v>4221.0200000000004</v>
      </c>
    </row>
    <row r="1299" spans="1:3" x14ac:dyDescent="0.35">
      <c r="A1299" t="s">
        <v>893</v>
      </c>
      <c r="B1299" t="s">
        <v>95</v>
      </c>
      <c r="C1299">
        <v>10.81</v>
      </c>
    </row>
    <row r="1300" spans="1:3" x14ac:dyDescent="0.35">
      <c r="A1300" t="s">
        <v>893</v>
      </c>
      <c r="B1300" t="s">
        <v>726</v>
      </c>
      <c r="C1300">
        <v>4.42</v>
      </c>
    </row>
    <row r="1301" spans="1:3" x14ac:dyDescent="0.35">
      <c r="A1301" t="s">
        <v>893</v>
      </c>
      <c r="B1301" t="s">
        <v>123</v>
      </c>
      <c r="C1301">
        <v>15.97</v>
      </c>
    </row>
    <row r="1302" spans="1:3" x14ac:dyDescent="0.35">
      <c r="A1302" t="s">
        <v>893</v>
      </c>
      <c r="B1302" t="s">
        <v>769</v>
      </c>
      <c r="C1302">
        <v>52.9</v>
      </c>
    </row>
    <row r="1303" spans="1:3" x14ac:dyDescent="0.35">
      <c r="A1303" t="s">
        <v>893</v>
      </c>
      <c r="B1303" t="s">
        <v>769</v>
      </c>
      <c r="C1303">
        <v>88.38</v>
      </c>
    </row>
    <row r="1304" spans="1:3" x14ac:dyDescent="0.35">
      <c r="A1304" t="s">
        <v>893</v>
      </c>
      <c r="B1304" t="s">
        <v>953</v>
      </c>
      <c r="C1304">
        <v>17</v>
      </c>
    </row>
    <row r="1305" spans="1:3" x14ac:dyDescent="0.35">
      <c r="A1305" t="s">
        <v>910</v>
      </c>
      <c r="B1305" t="s">
        <v>957</v>
      </c>
      <c r="C1305">
        <v>24.44</v>
      </c>
    </row>
    <row r="1306" spans="1:3" x14ac:dyDescent="0.35">
      <c r="A1306" t="s">
        <v>910</v>
      </c>
      <c r="B1306" t="s">
        <v>112</v>
      </c>
      <c r="C1306">
        <v>33.54</v>
      </c>
    </row>
    <row r="1307" spans="1:3" x14ac:dyDescent="0.35">
      <c r="A1307" t="s">
        <v>910</v>
      </c>
      <c r="B1307" t="s">
        <v>124</v>
      </c>
      <c r="C1307">
        <v>83.88</v>
      </c>
    </row>
    <row r="1308" spans="1:3" x14ac:dyDescent="0.35">
      <c r="A1308" t="s">
        <v>910</v>
      </c>
      <c r="B1308" t="s">
        <v>112</v>
      </c>
      <c r="C1308">
        <v>4.12</v>
      </c>
    </row>
    <row r="1309" spans="1:3" x14ac:dyDescent="0.35">
      <c r="A1309" t="s">
        <v>917</v>
      </c>
      <c r="B1309" t="s">
        <v>918</v>
      </c>
      <c r="C1309">
        <v>586.87</v>
      </c>
    </row>
    <row r="1310" spans="1:3" x14ac:dyDescent="0.35">
      <c r="A1310" t="s">
        <v>925</v>
      </c>
      <c r="B1310" t="s">
        <v>134</v>
      </c>
      <c r="C1310">
        <v>18.41</v>
      </c>
    </row>
    <row r="1311" spans="1:3" x14ac:dyDescent="0.35">
      <c r="A1311" t="s">
        <v>925</v>
      </c>
      <c r="B1311" t="s">
        <v>134</v>
      </c>
      <c r="C1311">
        <v>14.29</v>
      </c>
    </row>
    <row r="1312" spans="1:3" x14ac:dyDescent="0.35">
      <c r="A1312" t="s">
        <v>914</v>
      </c>
      <c r="B1312" t="s">
        <v>113</v>
      </c>
      <c r="C1312">
        <v>12.54</v>
      </c>
    </row>
    <row r="1313" spans="1:3" x14ac:dyDescent="0.35">
      <c r="A1313" t="s">
        <v>894</v>
      </c>
      <c r="B1313" t="s">
        <v>959</v>
      </c>
      <c r="C1313">
        <v>-379.63</v>
      </c>
    </row>
    <row r="1314" spans="1:3" x14ac:dyDescent="0.35">
      <c r="A1314" t="s">
        <v>894</v>
      </c>
      <c r="B1314" t="s">
        <v>930</v>
      </c>
      <c r="C1314">
        <v>36.869999999999997</v>
      </c>
    </row>
    <row r="1315" spans="1:3" x14ac:dyDescent="0.35">
      <c r="A1315" t="s">
        <v>894</v>
      </c>
      <c r="B1315" t="s">
        <v>938</v>
      </c>
      <c r="C1315">
        <v>39.409999999999997</v>
      </c>
    </row>
    <row r="1316" spans="1:3" x14ac:dyDescent="0.35">
      <c r="A1316" t="s">
        <v>894</v>
      </c>
      <c r="B1316" t="s">
        <v>835</v>
      </c>
      <c r="C1316">
        <v>5.67</v>
      </c>
    </row>
    <row r="1317" spans="1:3" x14ac:dyDescent="0.35">
      <c r="A1317" t="s">
        <v>894</v>
      </c>
      <c r="B1317" t="s">
        <v>199</v>
      </c>
      <c r="C1317">
        <v>44.99</v>
      </c>
    </row>
    <row r="1318" spans="1:3" x14ac:dyDescent="0.35">
      <c r="A1318" t="s">
        <v>894</v>
      </c>
      <c r="B1318" t="s">
        <v>314</v>
      </c>
      <c r="C1318">
        <v>247</v>
      </c>
    </row>
    <row r="1319" spans="1:3" x14ac:dyDescent="0.35">
      <c r="A1319" t="s">
        <v>894</v>
      </c>
      <c r="B1319" t="s">
        <v>926</v>
      </c>
      <c r="C1319">
        <v>15.55</v>
      </c>
    </row>
    <row r="1320" spans="1:3" x14ac:dyDescent="0.35">
      <c r="A1320" t="s">
        <v>894</v>
      </c>
      <c r="B1320" t="s">
        <v>889</v>
      </c>
      <c r="C1320">
        <v>12.23</v>
      </c>
    </row>
    <row r="1321" spans="1:3" x14ac:dyDescent="0.35">
      <c r="A1321" t="s">
        <v>894</v>
      </c>
      <c r="B1321" t="s">
        <v>134</v>
      </c>
      <c r="C1321">
        <v>14.81</v>
      </c>
    </row>
    <row r="1322" spans="1:3" x14ac:dyDescent="0.35">
      <c r="A1322" t="s">
        <v>894</v>
      </c>
      <c r="B1322" t="s">
        <v>954</v>
      </c>
      <c r="C1322">
        <v>8</v>
      </c>
    </row>
    <row r="1323" spans="1:3" x14ac:dyDescent="0.35">
      <c r="A1323" t="s">
        <v>894</v>
      </c>
      <c r="B1323" t="s">
        <v>944</v>
      </c>
      <c r="C1323">
        <v>5000</v>
      </c>
    </row>
    <row r="1324" spans="1:3" x14ac:dyDescent="0.35">
      <c r="A1324" t="s">
        <v>896</v>
      </c>
      <c r="B1324" t="s">
        <v>900</v>
      </c>
      <c r="C1324">
        <v>5.37</v>
      </c>
    </row>
    <row r="1325" spans="1:3" x14ac:dyDescent="0.35">
      <c r="A1325" t="s">
        <v>896</v>
      </c>
      <c r="B1325" t="s">
        <v>23</v>
      </c>
      <c r="C1325">
        <v>-2640.58</v>
      </c>
    </row>
    <row r="1326" spans="1:3" x14ac:dyDescent="0.35">
      <c r="A1326" t="s">
        <v>883</v>
      </c>
      <c r="B1326" t="s">
        <v>75</v>
      </c>
      <c r="C1326">
        <v>-489.78</v>
      </c>
    </row>
    <row r="1327" spans="1:3" x14ac:dyDescent="0.35">
      <c r="A1327" t="s">
        <v>883</v>
      </c>
      <c r="B1327" t="s">
        <v>404</v>
      </c>
      <c r="C1327">
        <v>6.57</v>
      </c>
    </row>
    <row r="1328" spans="1:3" x14ac:dyDescent="0.35">
      <c r="A1328" t="s">
        <v>883</v>
      </c>
      <c r="B1328" t="s">
        <v>934</v>
      </c>
      <c r="C1328">
        <v>8.99</v>
      </c>
    </row>
    <row r="1329" spans="1:6" x14ac:dyDescent="0.35">
      <c r="A1329" t="s">
        <v>883</v>
      </c>
      <c r="B1329" t="s">
        <v>884</v>
      </c>
      <c r="C1329">
        <v>7412</v>
      </c>
    </row>
    <row r="1330" spans="1:6" x14ac:dyDescent="0.35">
      <c r="A1330" t="s">
        <v>883</v>
      </c>
      <c r="B1330" t="s">
        <v>901</v>
      </c>
      <c r="C1330">
        <v>8</v>
      </c>
    </row>
    <row r="1331" spans="1:6" x14ac:dyDescent="0.35">
      <c r="A1331" t="s">
        <v>883</v>
      </c>
      <c r="B1331" t="s">
        <v>821</v>
      </c>
      <c r="C1331">
        <v>9.4</v>
      </c>
    </row>
    <row r="1332" spans="1:6" x14ac:dyDescent="0.35">
      <c r="A1332" t="s">
        <v>883</v>
      </c>
      <c r="B1332" t="s">
        <v>123</v>
      </c>
      <c r="C1332">
        <v>3.26</v>
      </c>
    </row>
    <row r="1333" spans="1:6" x14ac:dyDescent="0.35">
      <c r="C1333">
        <v>0</v>
      </c>
      <c r="D1333">
        <f>SUM(C1184:C1332)</f>
        <v>44425.910000000018</v>
      </c>
      <c r="E1333">
        <f>SUM(C2:C1332)</f>
        <v>338212.49999999977</v>
      </c>
      <c r="F1333" t="s">
        <v>885</v>
      </c>
    </row>
    <row r="1334" spans="1:6" x14ac:dyDescent="0.35">
      <c r="A1334" t="s">
        <v>902</v>
      </c>
      <c r="B1334" t="s">
        <v>958</v>
      </c>
      <c r="C1334">
        <v>6.72</v>
      </c>
    </row>
    <row r="1335" spans="1:6" x14ac:dyDescent="0.35">
      <c r="A1335" t="s">
        <v>902</v>
      </c>
      <c r="B1335" t="s">
        <v>821</v>
      </c>
      <c r="C1335">
        <v>11.44</v>
      </c>
    </row>
    <row r="1336" spans="1:6" x14ac:dyDescent="0.35">
      <c r="A1336" t="s">
        <v>902</v>
      </c>
      <c r="B1336" t="s">
        <v>726</v>
      </c>
      <c r="C1336">
        <v>3.97</v>
      </c>
    </row>
    <row r="1337" spans="1:6" x14ac:dyDescent="0.35">
      <c r="A1337" t="s">
        <v>902</v>
      </c>
      <c r="B1337" t="s">
        <v>588</v>
      </c>
      <c r="C1337">
        <v>135</v>
      </c>
    </row>
    <row r="1338" spans="1:6" x14ac:dyDescent="0.35">
      <c r="A1338" t="s">
        <v>902</v>
      </c>
      <c r="B1338" t="s">
        <v>256</v>
      </c>
      <c r="C1338">
        <v>489.78</v>
      </c>
    </row>
    <row r="1339" spans="1:6" x14ac:dyDescent="0.35">
      <c r="A1339" t="s">
        <v>902</v>
      </c>
      <c r="B1339" t="s">
        <v>787</v>
      </c>
      <c r="C1339">
        <v>-0.08</v>
      </c>
    </row>
    <row r="1340" spans="1:6" x14ac:dyDescent="0.35">
      <c r="A1340" t="s">
        <v>919</v>
      </c>
      <c r="B1340" t="s">
        <v>225</v>
      </c>
      <c r="C1340">
        <v>5.91</v>
      </c>
    </row>
    <row r="1341" spans="1:6" x14ac:dyDescent="0.35">
      <c r="A1341" t="s">
        <v>919</v>
      </c>
      <c r="B1341" t="s">
        <v>225</v>
      </c>
      <c r="C1341">
        <v>2.84</v>
      </c>
    </row>
    <row r="1342" spans="1:6" x14ac:dyDescent="0.35">
      <c r="A1342" t="s">
        <v>919</v>
      </c>
      <c r="B1342" t="s">
        <v>456</v>
      </c>
      <c r="C1342">
        <v>84.56</v>
      </c>
    </row>
    <row r="1343" spans="1:6" x14ac:dyDescent="0.35">
      <c r="A1343" t="s">
        <v>920</v>
      </c>
      <c r="B1343" t="s">
        <v>53</v>
      </c>
      <c r="C1343">
        <v>-1025.96</v>
      </c>
    </row>
    <row r="1344" spans="1:6" x14ac:dyDescent="0.35">
      <c r="A1344" t="s">
        <v>920</v>
      </c>
      <c r="B1344" t="s">
        <v>926</v>
      </c>
      <c r="C1344">
        <v>15.92</v>
      </c>
    </row>
    <row r="1345" spans="1:3" x14ac:dyDescent="0.35">
      <c r="A1345" t="s">
        <v>920</v>
      </c>
      <c r="B1345" t="s">
        <v>134</v>
      </c>
      <c r="C1345">
        <v>15.94</v>
      </c>
    </row>
    <row r="1346" spans="1:3" x14ac:dyDescent="0.35">
      <c r="A1346" t="s">
        <v>920</v>
      </c>
      <c r="B1346" t="s">
        <v>128</v>
      </c>
      <c r="C1346">
        <v>2.5299999999999998</v>
      </c>
    </row>
    <row r="1347" spans="1:3" x14ac:dyDescent="0.35">
      <c r="A1347" t="s">
        <v>945</v>
      </c>
      <c r="B1347" t="s">
        <v>960</v>
      </c>
      <c r="C1347">
        <v>991.21</v>
      </c>
    </row>
    <row r="1348" spans="1:3" x14ac:dyDescent="0.35">
      <c r="A1348" t="s">
        <v>945</v>
      </c>
      <c r="B1348" t="s">
        <v>961</v>
      </c>
      <c r="C1348">
        <v>375.91</v>
      </c>
    </row>
    <row r="1349" spans="1:3" x14ac:dyDescent="0.35">
      <c r="A1349" t="s">
        <v>945</v>
      </c>
      <c r="B1349" t="s">
        <v>964</v>
      </c>
      <c r="C1349">
        <v>1000</v>
      </c>
    </row>
    <row r="1350" spans="1:3" x14ac:dyDescent="0.35">
      <c r="A1350" t="s">
        <v>945</v>
      </c>
      <c r="B1350" t="s">
        <v>588</v>
      </c>
      <c r="C1350">
        <v>100</v>
      </c>
    </row>
    <row r="1351" spans="1:3" x14ac:dyDescent="0.35">
      <c r="A1351" t="s">
        <v>945</v>
      </c>
      <c r="B1351" t="s">
        <v>955</v>
      </c>
      <c r="C1351">
        <v>5</v>
      </c>
    </row>
    <row r="1352" spans="1:3" x14ac:dyDescent="0.35">
      <c r="A1352" t="s">
        <v>945</v>
      </c>
      <c r="B1352" t="s">
        <v>946</v>
      </c>
      <c r="C1352">
        <v>726.33</v>
      </c>
    </row>
    <row r="1353" spans="1:3" x14ac:dyDescent="0.35">
      <c r="A1353" t="s">
        <v>945</v>
      </c>
      <c r="B1353" t="s">
        <v>1050</v>
      </c>
      <c r="C1353">
        <v>6.48</v>
      </c>
    </row>
    <row r="1354" spans="1:3" x14ac:dyDescent="0.35">
      <c r="A1354" t="s">
        <v>895</v>
      </c>
      <c r="B1354" t="s">
        <v>598</v>
      </c>
      <c r="C1354">
        <v>38.15</v>
      </c>
    </row>
    <row r="1355" spans="1:3" x14ac:dyDescent="0.35">
      <c r="A1355" t="s">
        <v>895</v>
      </c>
      <c r="B1355" t="s">
        <v>169</v>
      </c>
      <c r="C1355">
        <v>55.99</v>
      </c>
    </row>
    <row r="1356" spans="1:3" x14ac:dyDescent="0.35">
      <c r="A1356" t="s">
        <v>895</v>
      </c>
      <c r="B1356" t="s">
        <v>80</v>
      </c>
      <c r="C1356">
        <v>20</v>
      </c>
    </row>
    <row r="1357" spans="1:3" x14ac:dyDescent="0.35">
      <c r="A1357" t="s">
        <v>895</v>
      </c>
      <c r="B1357" t="s">
        <v>95</v>
      </c>
      <c r="C1357">
        <v>8.44</v>
      </c>
    </row>
    <row r="1358" spans="1:3" x14ac:dyDescent="0.35">
      <c r="A1358" t="s">
        <v>895</v>
      </c>
      <c r="B1358" t="s">
        <v>123</v>
      </c>
      <c r="C1358">
        <v>9.61</v>
      </c>
    </row>
    <row r="1359" spans="1:3" x14ac:dyDescent="0.35">
      <c r="A1359" t="s">
        <v>895</v>
      </c>
      <c r="B1359" t="s">
        <v>947</v>
      </c>
      <c r="C1359">
        <v>1025.96</v>
      </c>
    </row>
    <row r="1360" spans="1:3" x14ac:dyDescent="0.35">
      <c r="A1360" t="s">
        <v>895</v>
      </c>
      <c r="B1360" t="s">
        <v>70</v>
      </c>
      <c r="C1360">
        <v>19</v>
      </c>
    </row>
    <row r="1361" spans="1:3" x14ac:dyDescent="0.35">
      <c r="A1361" t="s">
        <v>895</v>
      </c>
      <c r="B1361" t="s">
        <v>134</v>
      </c>
      <c r="C1361">
        <v>15.29</v>
      </c>
    </row>
    <row r="1362" spans="1:3" x14ac:dyDescent="0.35">
      <c r="A1362" t="s">
        <v>895</v>
      </c>
      <c r="B1362" t="s">
        <v>18</v>
      </c>
      <c r="C1362">
        <v>9.92</v>
      </c>
    </row>
    <row r="1363" spans="1:3" x14ac:dyDescent="0.35">
      <c r="A1363" t="s">
        <v>895</v>
      </c>
      <c r="B1363" t="s">
        <v>18</v>
      </c>
      <c r="C1363">
        <v>17.61</v>
      </c>
    </row>
    <row r="1364" spans="1:3" x14ac:dyDescent="0.35">
      <c r="A1364" t="s">
        <v>895</v>
      </c>
      <c r="B1364" t="s">
        <v>931</v>
      </c>
      <c r="C1364">
        <v>48.67</v>
      </c>
    </row>
    <row r="1365" spans="1:3" x14ac:dyDescent="0.35">
      <c r="A1365" t="s">
        <v>1007</v>
      </c>
      <c r="B1365" t="s">
        <v>126</v>
      </c>
      <c r="C1365">
        <v>7</v>
      </c>
    </row>
    <row r="1366" spans="1:3" x14ac:dyDescent="0.35">
      <c r="A1366" t="s">
        <v>1007</v>
      </c>
      <c r="B1366" t="s">
        <v>131</v>
      </c>
      <c r="C1366">
        <v>53.64</v>
      </c>
    </row>
    <row r="1367" spans="1:3" x14ac:dyDescent="0.35">
      <c r="A1367" t="s">
        <v>976</v>
      </c>
      <c r="B1367" t="s">
        <v>170</v>
      </c>
      <c r="C1367">
        <v>55</v>
      </c>
    </row>
    <row r="1368" spans="1:3" x14ac:dyDescent="0.35">
      <c r="A1368" t="s">
        <v>976</v>
      </c>
      <c r="B1368" t="s">
        <v>134</v>
      </c>
      <c r="C1368">
        <v>14.58</v>
      </c>
    </row>
    <row r="1369" spans="1:3" x14ac:dyDescent="0.35">
      <c r="A1369" t="s">
        <v>976</v>
      </c>
      <c r="B1369" t="s">
        <v>626</v>
      </c>
      <c r="C1369">
        <v>57.53</v>
      </c>
    </row>
    <row r="1370" spans="1:3" x14ac:dyDescent="0.35">
      <c r="A1370" t="s">
        <v>976</v>
      </c>
      <c r="B1370" t="s">
        <v>134</v>
      </c>
      <c r="C1370">
        <v>14.58</v>
      </c>
    </row>
    <row r="1371" spans="1:3" x14ac:dyDescent="0.35">
      <c r="A1371" t="s">
        <v>977</v>
      </c>
      <c r="B1371" t="s">
        <v>1051</v>
      </c>
      <c r="C1371">
        <v>14.29</v>
      </c>
    </row>
    <row r="1372" spans="1:3" x14ac:dyDescent="0.35">
      <c r="A1372" t="s">
        <v>977</v>
      </c>
      <c r="B1372" t="s">
        <v>68</v>
      </c>
      <c r="C1372">
        <v>82.52</v>
      </c>
    </row>
    <row r="1373" spans="1:3" x14ac:dyDescent="0.35">
      <c r="A1373" t="s">
        <v>977</v>
      </c>
      <c r="B1373" t="s">
        <v>36</v>
      </c>
      <c r="C1373">
        <v>55.24</v>
      </c>
    </row>
    <row r="1374" spans="1:3" x14ac:dyDescent="0.35">
      <c r="A1374" t="s">
        <v>977</v>
      </c>
      <c r="B1374" t="s">
        <v>20</v>
      </c>
      <c r="C1374">
        <v>168.69</v>
      </c>
    </row>
    <row r="1375" spans="1:3" x14ac:dyDescent="0.35">
      <c r="A1375" t="s">
        <v>977</v>
      </c>
      <c r="B1375" t="s">
        <v>1017</v>
      </c>
      <c r="C1375">
        <v>10.199999999999999</v>
      </c>
    </row>
    <row r="1376" spans="1:3" x14ac:dyDescent="0.35">
      <c r="A1376" t="s">
        <v>977</v>
      </c>
      <c r="B1376" t="s">
        <v>225</v>
      </c>
      <c r="C1376">
        <v>1.1499999999999999</v>
      </c>
    </row>
    <row r="1377" spans="1:3" x14ac:dyDescent="0.35">
      <c r="A1377" t="s">
        <v>977</v>
      </c>
      <c r="B1377" t="s">
        <v>1072</v>
      </c>
      <c r="C1377">
        <v>115</v>
      </c>
    </row>
    <row r="1378" spans="1:3" x14ac:dyDescent="0.35">
      <c r="A1378" t="s">
        <v>988</v>
      </c>
      <c r="B1378" t="s">
        <v>989</v>
      </c>
      <c r="C1378">
        <v>27.13</v>
      </c>
    </row>
    <row r="1379" spans="1:3" x14ac:dyDescent="0.35">
      <c r="A1379" t="s">
        <v>988</v>
      </c>
      <c r="B1379" t="s">
        <v>134</v>
      </c>
      <c r="C1379">
        <v>15.38</v>
      </c>
    </row>
    <row r="1380" spans="1:3" x14ac:dyDescent="0.35">
      <c r="A1380" t="s">
        <v>988</v>
      </c>
      <c r="B1380" t="s">
        <v>134</v>
      </c>
      <c r="C1380">
        <v>15.53</v>
      </c>
    </row>
    <row r="1381" spans="1:3" x14ac:dyDescent="0.35">
      <c r="A1381" t="s">
        <v>990</v>
      </c>
      <c r="B1381" t="s">
        <v>1021</v>
      </c>
      <c r="C1381">
        <v>69.59</v>
      </c>
    </row>
    <row r="1382" spans="1:3" x14ac:dyDescent="0.35">
      <c r="A1382" t="s">
        <v>990</v>
      </c>
      <c r="B1382" t="s">
        <v>1029</v>
      </c>
      <c r="C1382">
        <v>41.02</v>
      </c>
    </row>
    <row r="1383" spans="1:3" x14ac:dyDescent="0.35">
      <c r="A1383" t="s">
        <v>990</v>
      </c>
      <c r="B1383" t="s">
        <v>225</v>
      </c>
      <c r="C1383">
        <v>0.36</v>
      </c>
    </row>
    <row r="1384" spans="1:3" x14ac:dyDescent="0.35">
      <c r="A1384" t="s">
        <v>990</v>
      </c>
      <c r="B1384" t="s">
        <v>991</v>
      </c>
      <c r="C1384">
        <v>38.47</v>
      </c>
    </row>
    <row r="1385" spans="1:3" x14ac:dyDescent="0.35">
      <c r="A1385" t="s">
        <v>990</v>
      </c>
      <c r="B1385" t="s">
        <v>206</v>
      </c>
      <c r="C1385">
        <v>2.66</v>
      </c>
    </row>
    <row r="1386" spans="1:3" x14ac:dyDescent="0.35">
      <c r="A1386" t="s">
        <v>990</v>
      </c>
      <c r="B1386" t="s">
        <v>206</v>
      </c>
      <c r="C1386">
        <v>4</v>
      </c>
    </row>
    <row r="1387" spans="1:3" x14ac:dyDescent="0.35">
      <c r="A1387" t="s">
        <v>990</v>
      </c>
      <c r="B1387" t="s">
        <v>134</v>
      </c>
      <c r="C1387">
        <v>15.69</v>
      </c>
    </row>
    <row r="1388" spans="1:3" x14ac:dyDescent="0.35">
      <c r="A1388" t="s">
        <v>990</v>
      </c>
      <c r="B1388" t="s">
        <v>134</v>
      </c>
      <c r="C1388">
        <v>16.02</v>
      </c>
    </row>
    <row r="1389" spans="1:3" x14ac:dyDescent="0.35">
      <c r="A1389" t="s">
        <v>990</v>
      </c>
      <c r="B1389" t="s">
        <v>743</v>
      </c>
      <c r="C1389">
        <v>-64.53</v>
      </c>
    </row>
    <row r="1390" spans="1:3" x14ac:dyDescent="0.35">
      <c r="A1390" t="s">
        <v>886</v>
      </c>
      <c r="B1390" t="s">
        <v>887</v>
      </c>
      <c r="C1390">
        <v>4200</v>
      </c>
    </row>
    <row r="1391" spans="1:3" x14ac:dyDescent="0.35">
      <c r="A1391" t="s">
        <v>886</v>
      </c>
      <c r="B1391" t="s">
        <v>786</v>
      </c>
      <c r="C1391">
        <v>-0.27</v>
      </c>
    </row>
    <row r="1392" spans="1:3" x14ac:dyDescent="0.35">
      <c r="A1392" t="s">
        <v>886</v>
      </c>
      <c r="B1392" t="s">
        <v>1022</v>
      </c>
      <c r="C1392">
        <v>14.3</v>
      </c>
    </row>
    <row r="1393" spans="1:3" x14ac:dyDescent="0.35">
      <c r="A1393" t="s">
        <v>886</v>
      </c>
      <c r="B1393" t="s">
        <v>1022</v>
      </c>
      <c r="C1393">
        <v>-33.06</v>
      </c>
    </row>
    <row r="1394" spans="1:3" x14ac:dyDescent="0.35">
      <c r="A1394" t="s">
        <v>1004</v>
      </c>
      <c r="B1394" t="s">
        <v>1068</v>
      </c>
      <c r="C1394">
        <v>-1000</v>
      </c>
    </row>
    <row r="1395" spans="1:3" x14ac:dyDescent="0.35">
      <c r="A1395" t="s">
        <v>1004</v>
      </c>
      <c r="B1395" t="s">
        <v>1066</v>
      </c>
      <c r="C1395">
        <v>1000</v>
      </c>
    </row>
    <row r="1396" spans="1:3" x14ac:dyDescent="0.35">
      <c r="A1396" t="s">
        <v>1004</v>
      </c>
      <c r="B1396" t="s">
        <v>156</v>
      </c>
      <c r="C1396">
        <v>188.34</v>
      </c>
    </row>
    <row r="1397" spans="1:3" x14ac:dyDescent="0.35">
      <c r="A1397" t="s">
        <v>1004</v>
      </c>
      <c r="B1397" t="s">
        <v>915</v>
      </c>
      <c r="C1397">
        <v>38.67</v>
      </c>
    </row>
    <row r="1398" spans="1:3" x14ac:dyDescent="0.35">
      <c r="A1398" t="s">
        <v>1004</v>
      </c>
      <c r="B1398" t="s">
        <v>915</v>
      </c>
      <c r="C1398">
        <v>44.63</v>
      </c>
    </row>
    <row r="1399" spans="1:3" x14ac:dyDescent="0.35">
      <c r="A1399" t="s">
        <v>1004</v>
      </c>
      <c r="B1399" t="s">
        <v>1052</v>
      </c>
      <c r="C1399">
        <v>8.1199999999999992</v>
      </c>
    </row>
    <row r="1400" spans="1:3" x14ac:dyDescent="0.35">
      <c r="A1400" t="s">
        <v>978</v>
      </c>
      <c r="B1400" t="s">
        <v>18</v>
      </c>
      <c r="C1400">
        <v>363.11</v>
      </c>
    </row>
    <row r="1401" spans="1:3" x14ac:dyDescent="0.35">
      <c r="A1401" t="s">
        <v>978</v>
      </c>
      <c r="B1401" t="s">
        <v>918</v>
      </c>
      <c r="C1401">
        <v>508.25</v>
      </c>
    </row>
    <row r="1402" spans="1:3" x14ac:dyDescent="0.35">
      <c r="A1402" t="s">
        <v>978</v>
      </c>
      <c r="B1402" t="s">
        <v>134</v>
      </c>
      <c r="C1402">
        <v>14.44</v>
      </c>
    </row>
    <row r="1403" spans="1:3" x14ac:dyDescent="0.35">
      <c r="A1403" t="s">
        <v>978</v>
      </c>
      <c r="B1403" t="s">
        <v>409</v>
      </c>
      <c r="C1403">
        <v>-4200</v>
      </c>
    </row>
    <row r="1404" spans="1:3" x14ac:dyDescent="0.35">
      <c r="A1404" t="s">
        <v>1008</v>
      </c>
      <c r="B1404" t="s">
        <v>1009</v>
      </c>
      <c r="C1404">
        <v>38</v>
      </c>
    </row>
    <row r="1405" spans="1:3" x14ac:dyDescent="0.35">
      <c r="A1405" t="s">
        <v>1005</v>
      </c>
      <c r="B1405" t="s">
        <v>1069</v>
      </c>
      <c r="C1405">
        <v>-1000</v>
      </c>
    </row>
    <row r="1406" spans="1:3" x14ac:dyDescent="0.35">
      <c r="A1406" t="s">
        <v>1005</v>
      </c>
      <c r="B1406" t="s">
        <v>218</v>
      </c>
      <c r="C1406">
        <v>30.86</v>
      </c>
    </row>
    <row r="1407" spans="1:3" x14ac:dyDescent="0.35">
      <c r="A1407" t="s">
        <v>1005</v>
      </c>
      <c r="B1407" t="s">
        <v>1053</v>
      </c>
      <c r="C1407">
        <v>31.95</v>
      </c>
    </row>
    <row r="1408" spans="1:3" x14ac:dyDescent="0.35">
      <c r="A1408" t="s">
        <v>1005</v>
      </c>
      <c r="B1408" t="s">
        <v>1048</v>
      </c>
      <c r="C1408">
        <v>166.42</v>
      </c>
    </row>
    <row r="1409" spans="1:3" x14ac:dyDescent="0.35">
      <c r="A1409" t="s">
        <v>1005</v>
      </c>
      <c r="B1409" t="s">
        <v>1046</v>
      </c>
      <c r="C1409">
        <v>8.6199999999999992</v>
      </c>
    </row>
    <row r="1410" spans="1:3" x14ac:dyDescent="0.35">
      <c r="A1410" t="s">
        <v>1005</v>
      </c>
      <c r="B1410" t="s">
        <v>1047</v>
      </c>
      <c r="C1410">
        <v>4.43</v>
      </c>
    </row>
    <row r="1411" spans="1:3" x14ac:dyDescent="0.35">
      <c r="A1411" t="s">
        <v>1005</v>
      </c>
      <c r="B1411" t="s">
        <v>1047</v>
      </c>
      <c r="C1411">
        <v>11.55</v>
      </c>
    </row>
    <row r="1412" spans="1:3" x14ac:dyDescent="0.35">
      <c r="A1412" t="s">
        <v>1005</v>
      </c>
      <c r="B1412" t="s">
        <v>32</v>
      </c>
      <c r="C1412">
        <v>4.88</v>
      </c>
    </row>
    <row r="1413" spans="1:3" x14ac:dyDescent="0.35">
      <c r="A1413" t="s">
        <v>1005</v>
      </c>
      <c r="B1413" t="s">
        <v>1011</v>
      </c>
      <c r="C1413">
        <v>152.80000000000001</v>
      </c>
    </row>
    <row r="1414" spans="1:3" x14ac:dyDescent="0.35">
      <c r="A1414" t="s">
        <v>1005</v>
      </c>
      <c r="B1414" t="s">
        <v>1006</v>
      </c>
      <c r="C1414">
        <v>10.71</v>
      </c>
    </row>
    <row r="1415" spans="1:3" x14ac:dyDescent="0.35">
      <c r="A1415" t="s">
        <v>1005</v>
      </c>
      <c r="B1415" t="s">
        <v>1010</v>
      </c>
      <c r="C1415">
        <v>275.58999999999997</v>
      </c>
    </row>
    <row r="1416" spans="1:3" x14ac:dyDescent="0.35">
      <c r="A1416" t="s">
        <v>1005</v>
      </c>
      <c r="B1416" t="s">
        <v>1010</v>
      </c>
      <c r="C1416">
        <v>-27.56</v>
      </c>
    </row>
    <row r="1417" spans="1:3" x14ac:dyDescent="0.35">
      <c r="A1417" t="s">
        <v>1005</v>
      </c>
      <c r="B1417" t="s">
        <v>1033</v>
      </c>
      <c r="C1417">
        <v>155.30000000000001</v>
      </c>
    </row>
    <row r="1418" spans="1:3" x14ac:dyDescent="0.35">
      <c r="A1418" t="s">
        <v>1005</v>
      </c>
      <c r="B1418" t="s">
        <v>1036</v>
      </c>
      <c r="C1418">
        <v>5500</v>
      </c>
    </row>
    <row r="1419" spans="1:3" x14ac:dyDescent="0.35">
      <c r="A1419" t="s">
        <v>1005</v>
      </c>
      <c r="B1419" t="s">
        <v>1067</v>
      </c>
      <c r="C1419">
        <v>1000</v>
      </c>
    </row>
    <row r="1420" spans="1:3" x14ac:dyDescent="0.35">
      <c r="A1420" t="s">
        <v>979</v>
      </c>
      <c r="B1420" t="s">
        <v>1054</v>
      </c>
      <c r="C1420">
        <v>198.43</v>
      </c>
    </row>
    <row r="1421" spans="1:3" x14ac:dyDescent="0.35">
      <c r="A1421" t="s">
        <v>979</v>
      </c>
      <c r="B1421" t="s">
        <v>1012</v>
      </c>
      <c r="C1421">
        <v>82.43</v>
      </c>
    </row>
    <row r="1422" spans="1:3" x14ac:dyDescent="0.35">
      <c r="A1422" t="s">
        <v>979</v>
      </c>
      <c r="B1422" t="s">
        <v>992</v>
      </c>
      <c r="C1422">
        <v>28.6</v>
      </c>
    </row>
    <row r="1423" spans="1:3" x14ac:dyDescent="0.35">
      <c r="A1423" t="s">
        <v>979</v>
      </c>
      <c r="B1423" t="s">
        <v>18</v>
      </c>
      <c r="C1423">
        <v>-132.29</v>
      </c>
    </row>
    <row r="1424" spans="1:3" x14ac:dyDescent="0.35">
      <c r="A1424" t="s">
        <v>979</v>
      </c>
      <c r="B1424" t="s">
        <v>117</v>
      </c>
      <c r="C1424">
        <v>6.9</v>
      </c>
    </row>
    <row r="1425" spans="1:3" x14ac:dyDescent="0.35">
      <c r="A1425" t="s">
        <v>980</v>
      </c>
      <c r="B1425" t="s">
        <v>1049</v>
      </c>
      <c r="C1425">
        <v>317.16000000000003</v>
      </c>
    </row>
    <row r="1426" spans="1:3" x14ac:dyDescent="0.35">
      <c r="A1426" t="s">
        <v>980</v>
      </c>
      <c r="B1426" t="s">
        <v>1023</v>
      </c>
      <c r="C1426">
        <v>55.43</v>
      </c>
    </row>
    <row r="1427" spans="1:3" x14ac:dyDescent="0.35">
      <c r="A1427" t="s">
        <v>980</v>
      </c>
      <c r="B1427" t="s">
        <v>124</v>
      </c>
      <c r="C1427">
        <v>98.7</v>
      </c>
    </row>
    <row r="1428" spans="1:3" x14ac:dyDescent="0.35">
      <c r="A1428" t="s">
        <v>980</v>
      </c>
      <c r="B1428" t="s">
        <v>918</v>
      </c>
      <c r="C1428">
        <v>209.46</v>
      </c>
    </row>
    <row r="1429" spans="1:3" x14ac:dyDescent="0.35">
      <c r="A1429" t="s">
        <v>980</v>
      </c>
      <c r="B1429" t="s">
        <v>18</v>
      </c>
      <c r="C1429">
        <v>-44.1</v>
      </c>
    </row>
    <row r="1430" spans="1:3" x14ac:dyDescent="0.35">
      <c r="A1430" t="s">
        <v>970</v>
      </c>
      <c r="B1430" t="s">
        <v>77</v>
      </c>
      <c r="C1430">
        <v>80.98</v>
      </c>
    </row>
    <row r="1431" spans="1:3" x14ac:dyDescent="0.35">
      <c r="A1431" t="s">
        <v>970</v>
      </c>
      <c r="B1431" t="s">
        <v>971</v>
      </c>
      <c r="C1431">
        <v>2838</v>
      </c>
    </row>
    <row r="1432" spans="1:3" x14ac:dyDescent="0.35">
      <c r="A1432" t="s">
        <v>970</v>
      </c>
      <c r="B1432" t="s">
        <v>972</v>
      </c>
      <c r="C1432">
        <v>495.5</v>
      </c>
    </row>
    <row r="1433" spans="1:3" x14ac:dyDescent="0.35">
      <c r="A1433" t="s">
        <v>970</v>
      </c>
      <c r="B1433" t="s">
        <v>1018</v>
      </c>
      <c r="C1433">
        <v>13.27</v>
      </c>
    </row>
    <row r="1434" spans="1:3" x14ac:dyDescent="0.35">
      <c r="A1434" t="s">
        <v>970</v>
      </c>
      <c r="B1434" t="s">
        <v>738</v>
      </c>
      <c r="C1434">
        <v>6.5</v>
      </c>
    </row>
    <row r="1435" spans="1:3" x14ac:dyDescent="0.35">
      <c r="A1435" t="s">
        <v>970</v>
      </c>
      <c r="B1435" t="s">
        <v>738</v>
      </c>
      <c r="C1435">
        <v>2.81</v>
      </c>
    </row>
    <row r="1436" spans="1:3" x14ac:dyDescent="0.35">
      <c r="A1436" t="s">
        <v>970</v>
      </c>
      <c r="B1436" t="s">
        <v>227</v>
      </c>
      <c r="C1436">
        <v>17.3</v>
      </c>
    </row>
    <row r="1437" spans="1:3" x14ac:dyDescent="0.35">
      <c r="A1437" t="s">
        <v>970</v>
      </c>
      <c r="B1437" t="s">
        <v>123</v>
      </c>
      <c r="C1437">
        <v>6.52</v>
      </c>
    </row>
    <row r="1438" spans="1:3" x14ac:dyDescent="0.35">
      <c r="A1438" t="s">
        <v>970</v>
      </c>
      <c r="B1438" t="s">
        <v>227</v>
      </c>
      <c r="C1438">
        <v>17.3</v>
      </c>
    </row>
    <row r="1439" spans="1:3" x14ac:dyDescent="0.35">
      <c r="A1439" t="s">
        <v>970</v>
      </c>
      <c r="B1439" t="s">
        <v>1034</v>
      </c>
      <c r="C1439">
        <v>219.3</v>
      </c>
    </row>
    <row r="1440" spans="1:3" x14ac:dyDescent="0.35">
      <c r="A1440" t="s">
        <v>970</v>
      </c>
      <c r="B1440" t="s">
        <v>767</v>
      </c>
      <c r="C1440">
        <v>1611.03</v>
      </c>
    </row>
    <row r="1441" spans="1:3" x14ac:dyDescent="0.35">
      <c r="A1441" t="s">
        <v>993</v>
      </c>
      <c r="B1441" t="s">
        <v>78</v>
      </c>
      <c r="C1441">
        <v>179.52</v>
      </c>
    </row>
    <row r="1442" spans="1:3" x14ac:dyDescent="0.35">
      <c r="A1442" t="s">
        <v>993</v>
      </c>
      <c r="B1442" t="s">
        <v>206</v>
      </c>
      <c r="C1442">
        <v>2</v>
      </c>
    </row>
    <row r="1443" spans="1:3" x14ac:dyDescent="0.35">
      <c r="A1443" t="s">
        <v>993</v>
      </c>
      <c r="B1443" t="s">
        <v>32</v>
      </c>
      <c r="C1443">
        <v>17</v>
      </c>
    </row>
    <row r="1444" spans="1:3" x14ac:dyDescent="0.35">
      <c r="A1444" t="s">
        <v>993</v>
      </c>
      <c r="B1444" t="s">
        <v>227</v>
      </c>
      <c r="C1444">
        <v>24.65</v>
      </c>
    </row>
    <row r="1445" spans="1:3" x14ac:dyDescent="0.35">
      <c r="A1445" t="s">
        <v>993</v>
      </c>
      <c r="B1445" t="s">
        <v>66</v>
      </c>
      <c r="C1445">
        <v>2599.0500000000002</v>
      </c>
    </row>
    <row r="1446" spans="1:3" x14ac:dyDescent="0.35">
      <c r="A1446" t="s">
        <v>1039</v>
      </c>
      <c r="B1446" t="s">
        <v>1055</v>
      </c>
      <c r="C1446">
        <v>9.4</v>
      </c>
    </row>
    <row r="1447" spans="1:3" x14ac:dyDescent="0.35">
      <c r="A1447" t="s">
        <v>1039</v>
      </c>
      <c r="B1447" t="s">
        <v>769</v>
      </c>
      <c r="C1447">
        <v>53.26</v>
      </c>
    </row>
    <row r="1448" spans="1:3" x14ac:dyDescent="0.35">
      <c r="A1448" t="s">
        <v>1013</v>
      </c>
      <c r="B1448" t="s">
        <v>80</v>
      </c>
      <c r="C1448">
        <v>20</v>
      </c>
    </row>
    <row r="1449" spans="1:3" x14ac:dyDescent="0.35">
      <c r="A1449" t="s">
        <v>1013</v>
      </c>
      <c r="B1449" t="s">
        <v>1056</v>
      </c>
      <c r="C1449">
        <v>10.89</v>
      </c>
    </row>
    <row r="1450" spans="1:3" x14ac:dyDescent="0.35">
      <c r="A1450" t="s">
        <v>1013</v>
      </c>
      <c r="B1450" t="s">
        <v>1030</v>
      </c>
      <c r="C1450">
        <v>41.52</v>
      </c>
    </row>
    <row r="1451" spans="1:3" x14ac:dyDescent="0.35">
      <c r="A1451" t="s">
        <v>1013</v>
      </c>
      <c r="B1451" t="s">
        <v>1024</v>
      </c>
      <c r="C1451">
        <v>100.74</v>
      </c>
    </row>
    <row r="1452" spans="1:3" x14ac:dyDescent="0.35">
      <c r="A1452" t="s">
        <v>1013</v>
      </c>
      <c r="B1452" t="s">
        <v>1019</v>
      </c>
      <c r="C1452">
        <v>25</v>
      </c>
    </row>
    <row r="1453" spans="1:3" x14ac:dyDescent="0.35">
      <c r="A1453" t="s">
        <v>1013</v>
      </c>
      <c r="B1453" t="s">
        <v>918</v>
      </c>
      <c r="C1453">
        <v>-193.69</v>
      </c>
    </row>
    <row r="1454" spans="1:3" x14ac:dyDescent="0.35">
      <c r="A1454" t="s">
        <v>1013</v>
      </c>
      <c r="B1454" t="s">
        <v>918</v>
      </c>
      <c r="C1454">
        <v>-404.44</v>
      </c>
    </row>
    <row r="1455" spans="1:3" x14ac:dyDescent="0.35">
      <c r="A1455" t="s">
        <v>1013</v>
      </c>
      <c r="B1455" t="s">
        <v>68</v>
      </c>
      <c r="C1455">
        <v>27.02</v>
      </c>
    </row>
    <row r="1456" spans="1:3" x14ac:dyDescent="0.35">
      <c r="A1456" t="s">
        <v>994</v>
      </c>
      <c r="B1456" t="s">
        <v>995</v>
      </c>
      <c r="C1456">
        <v>18.2</v>
      </c>
    </row>
    <row r="1457" spans="1:3" x14ac:dyDescent="0.35">
      <c r="A1457" t="s">
        <v>994</v>
      </c>
      <c r="B1457" t="s">
        <v>918</v>
      </c>
      <c r="C1457">
        <v>-182.43</v>
      </c>
    </row>
    <row r="1458" spans="1:3" x14ac:dyDescent="0.35">
      <c r="A1458" t="s">
        <v>994</v>
      </c>
      <c r="B1458" t="s">
        <v>1040</v>
      </c>
      <c r="C1458">
        <v>262.95</v>
      </c>
    </row>
    <row r="1459" spans="1:3" x14ac:dyDescent="0.35">
      <c r="A1459" t="s">
        <v>994</v>
      </c>
      <c r="B1459" t="s">
        <v>792</v>
      </c>
      <c r="C1459">
        <v>4221.0200000000004</v>
      </c>
    </row>
    <row r="1460" spans="1:3" x14ac:dyDescent="0.35">
      <c r="A1460" t="s">
        <v>996</v>
      </c>
      <c r="B1460" t="s">
        <v>1057</v>
      </c>
      <c r="C1460">
        <v>10.27</v>
      </c>
    </row>
    <row r="1461" spans="1:3" x14ac:dyDescent="0.35">
      <c r="A1461" t="s">
        <v>996</v>
      </c>
      <c r="B1461" t="s">
        <v>1002</v>
      </c>
      <c r="C1461">
        <v>13.44</v>
      </c>
    </row>
    <row r="1462" spans="1:3" x14ac:dyDescent="0.35">
      <c r="A1462" t="s">
        <v>996</v>
      </c>
      <c r="B1462" t="s">
        <v>206</v>
      </c>
      <c r="C1462">
        <v>8</v>
      </c>
    </row>
    <row r="1463" spans="1:3" x14ac:dyDescent="0.35">
      <c r="A1463" t="s">
        <v>996</v>
      </c>
      <c r="B1463" t="s">
        <v>1001</v>
      </c>
      <c r="C1463">
        <v>283.19</v>
      </c>
    </row>
    <row r="1464" spans="1:3" x14ac:dyDescent="0.35">
      <c r="A1464" t="s">
        <v>984</v>
      </c>
      <c r="B1464" t="s">
        <v>1016</v>
      </c>
      <c r="C1464">
        <v>0.85</v>
      </c>
    </row>
    <row r="1465" spans="1:3" x14ac:dyDescent="0.35">
      <c r="A1465" t="s">
        <v>984</v>
      </c>
      <c r="B1465" t="s">
        <v>1002</v>
      </c>
      <c r="C1465">
        <v>25.5</v>
      </c>
    </row>
    <row r="1466" spans="1:3" x14ac:dyDescent="0.35">
      <c r="A1466" t="s">
        <v>984</v>
      </c>
      <c r="B1466" t="s">
        <v>100</v>
      </c>
      <c r="C1466">
        <v>27.75</v>
      </c>
    </row>
    <row r="1467" spans="1:3" x14ac:dyDescent="0.35">
      <c r="A1467" t="s">
        <v>984</v>
      </c>
      <c r="B1467" t="s">
        <v>1014</v>
      </c>
      <c r="C1467">
        <v>0.72</v>
      </c>
    </row>
    <row r="1468" spans="1:3" x14ac:dyDescent="0.35">
      <c r="A1468" t="s">
        <v>984</v>
      </c>
      <c r="B1468" t="s">
        <v>926</v>
      </c>
      <c r="C1468">
        <v>15.29</v>
      </c>
    </row>
    <row r="1469" spans="1:3" x14ac:dyDescent="0.35">
      <c r="A1469" t="s">
        <v>984</v>
      </c>
      <c r="B1469" t="s">
        <v>926</v>
      </c>
      <c r="C1469">
        <v>15.84</v>
      </c>
    </row>
    <row r="1470" spans="1:3" x14ac:dyDescent="0.35">
      <c r="A1470" t="s">
        <v>981</v>
      </c>
      <c r="B1470" t="s">
        <v>1058</v>
      </c>
      <c r="C1470">
        <v>10.17</v>
      </c>
    </row>
    <row r="1471" spans="1:3" x14ac:dyDescent="0.35">
      <c r="A1471" t="s">
        <v>981</v>
      </c>
      <c r="B1471" t="s">
        <v>997</v>
      </c>
      <c r="C1471">
        <v>30.76</v>
      </c>
    </row>
    <row r="1472" spans="1:3" x14ac:dyDescent="0.35">
      <c r="A1472" t="s">
        <v>981</v>
      </c>
      <c r="B1472" t="s">
        <v>543</v>
      </c>
      <c r="C1472">
        <v>8.02</v>
      </c>
    </row>
    <row r="1473" spans="1:3" x14ac:dyDescent="0.35">
      <c r="A1473" t="s">
        <v>981</v>
      </c>
      <c r="B1473" t="s">
        <v>626</v>
      </c>
      <c r="C1473">
        <v>54.12</v>
      </c>
    </row>
    <row r="1474" spans="1:3" x14ac:dyDescent="0.35">
      <c r="A1474" t="s">
        <v>981</v>
      </c>
      <c r="B1474" t="s">
        <v>769</v>
      </c>
      <c r="C1474">
        <v>167.52</v>
      </c>
    </row>
    <row r="1475" spans="1:3" x14ac:dyDescent="0.35">
      <c r="A1475" t="s">
        <v>981</v>
      </c>
      <c r="B1475" t="s">
        <v>1042</v>
      </c>
      <c r="C1475">
        <v>13</v>
      </c>
    </row>
    <row r="1476" spans="1:3" x14ac:dyDescent="0.35">
      <c r="A1476" t="s">
        <v>981</v>
      </c>
      <c r="B1476" t="s">
        <v>1041</v>
      </c>
      <c r="C1476">
        <v>5</v>
      </c>
    </row>
    <row r="1477" spans="1:3" x14ac:dyDescent="0.35">
      <c r="A1477" t="s">
        <v>1020</v>
      </c>
      <c r="B1477" t="s">
        <v>1025</v>
      </c>
      <c r="C1477">
        <v>42.88</v>
      </c>
    </row>
    <row r="1478" spans="1:3" x14ac:dyDescent="0.35">
      <c r="A1478" t="s">
        <v>1020</v>
      </c>
      <c r="B1478" t="s">
        <v>926</v>
      </c>
      <c r="C1478">
        <v>14.99</v>
      </c>
    </row>
    <row r="1479" spans="1:3" x14ac:dyDescent="0.35">
      <c r="A1479" t="s">
        <v>1020</v>
      </c>
      <c r="B1479" t="s">
        <v>926</v>
      </c>
      <c r="C1479">
        <v>14.94</v>
      </c>
    </row>
    <row r="1480" spans="1:3" x14ac:dyDescent="0.35">
      <c r="A1480" t="s">
        <v>985</v>
      </c>
      <c r="B1480" t="s">
        <v>1059</v>
      </c>
      <c r="C1480">
        <v>11.99</v>
      </c>
    </row>
    <row r="1481" spans="1:3" x14ac:dyDescent="0.35">
      <c r="A1481" t="s">
        <v>985</v>
      </c>
      <c r="B1481" t="s">
        <v>199</v>
      </c>
      <c r="C1481">
        <v>44.99</v>
      </c>
    </row>
    <row r="1482" spans="1:3" x14ac:dyDescent="0.35">
      <c r="A1482" t="s">
        <v>982</v>
      </c>
      <c r="B1482" t="s">
        <v>1056</v>
      </c>
      <c r="C1482">
        <v>10.89</v>
      </c>
    </row>
    <row r="1483" spans="1:3" x14ac:dyDescent="0.35">
      <c r="A1483" t="s">
        <v>982</v>
      </c>
      <c r="B1483" t="s">
        <v>995</v>
      </c>
      <c r="C1483">
        <v>15.43</v>
      </c>
    </row>
    <row r="1484" spans="1:3" x14ac:dyDescent="0.35">
      <c r="A1484" t="s">
        <v>982</v>
      </c>
      <c r="B1484" t="s">
        <v>95</v>
      </c>
      <c r="C1484">
        <v>9.82</v>
      </c>
    </row>
    <row r="1485" spans="1:3" x14ac:dyDescent="0.35">
      <c r="A1485" t="s">
        <v>982</v>
      </c>
      <c r="B1485" t="s">
        <v>926</v>
      </c>
      <c r="C1485">
        <v>15.45</v>
      </c>
    </row>
    <row r="1486" spans="1:3" x14ac:dyDescent="0.35">
      <c r="A1486" t="s">
        <v>982</v>
      </c>
      <c r="B1486" t="s">
        <v>926</v>
      </c>
      <c r="C1486">
        <v>14.46</v>
      </c>
    </row>
    <row r="1487" spans="1:3" x14ac:dyDescent="0.35">
      <c r="A1487" t="s">
        <v>1015</v>
      </c>
      <c r="B1487" t="s">
        <v>75</v>
      </c>
      <c r="C1487">
        <v>-572.29</v>
      </c>
    </row>
    <row r="1488" spans="1:3" x14ac:dyDescent="0.35">
      <c r="A1488" t="s">
        <v>1015</v>
      </c>
      <c r="B1488" t="s">
        <v>918</v>
      </c>
      <c r="C1488">
        <v>-209.46</v>
      </c>
    </row>
    <row r="1489" spans="1:6" x14ac:dyDescent="0.35">
      <c r="A1489" t="s">
        <v>1015</v>
      </c>
      <c r="B1489" t="s">
        <v>689</v>
      </c>
      <c r="C1489">
        <v>-0.06</v>
      </c>
    </row>
    <row r="1490" spans="1:6" x14ac:dyDescent="0.35">
      <c r="A1490" t="s">
        <v>983</v>
      </c>
      <c r="B1490" t="s">
        <v>1028</v>
      </c>
      <c r="C1490">
        <v>8.99</v>
      </c>
    </row>
    <row r="1491" spans="1:6" x14ac:dyDescent="0.35">
      <c r="A1491" t="s">
        <v>983</v>
      </c>
      <c r="B1491" t="s">
        <v>20</v>
      </c>
      <c r="C1491">
        <v>181.94</v>
      </c>
    </row>
    <row r="1492" spans="1:6" x14ac:dyDescent="0.35">
      <c r="A1492" t="s">
        <v>983</v>
      </c>
      <c r="B1492" t="s">
        <v>926</v>
      </c>
      <c r="C1492">
        <v>14.89</v>
      </c>
    </row>
    <row r="1493" spans="1:6" x14ac:dyDescent="0.35">
      <c r="A1493" t="s">
        <v>983</v>
      </c>
      <c r="B1493" t="s">
        <v>926</v>
      </c>
      <c r="C1493">
        <v>14.28</v>
      </c>
    </row>
    <row r="1494" spans="1:6" x14ac:dyDescent="0.35">
      <c r="A1494" t="s">
        <v>983</v>
      </c>
      <c r="B1494" t="s">
        <v>23</v>
      </c>
      <c r="C1494">
        <v>-2635.41</v>
      </c>
    </row>
    <row r="1495" spans="1:6" x14ac:dyDescent="0.35">
      <c r="C1495">
        <v>0</v>
      </c>
      <c r="D1495">
        <f>SUM(C1334:C1494)</f>
        <v>23212.01</v>
      </c>
      <c r="E1495">
        <f>SUM(C2:C1494)</f>
        <v>361424.51</v>
      </c>
      <c r="F1495" t="s">
        <v>965</v>
      </c>
    </row>
    <row r="1496" spans="1:6" x14ac:dyDescent="0.35">
      <c r="A1496" t="s">
        <v>986</v>
      </c>
      <c r="B1496" t="s">
        <v>987</v>
      </c>
      <c r="C1496">
        <v>35</v>
      </c>
    </row>
    <row r="1497" spans="1:6" x14ac:dyDescent="0.35">
      <c r="A1497" t="s">
        <v>986</v>
      </c>
      <c r="B1497" t="s">
        <v>926</v>
      </c>
      <c r="C1497">
        <v>15.35</v>
      </c>
    </row>
    <row r="1498" spans="1:6" x14ac:dyDescent="0.35">
      <c r="A1498" t="s">
        <v>986</v>
      </c>
      <c r="B1498" t="s">
        <v>926</v>
      </c>
      <c r="C1498">
        <v>15.11</v>
      </c>
    </row>
    <row r="1499" spans="1:6" x14ac:dyDescent="0.35">
      <c r="A1499" t="s">
        <v>966</v>
      </c>
      <c r="B1499" t="s">
        <v>1070</v>
      </c>
      <c r="C1499">
        <v>-85</v>
      </c>
    </row>
    <row r="1500" spans="1:6" x14ac:dyDescent="0.35">
      <c r="A1500" t="s">
        <v>966</v>
      </c>
      <c r="B1500" t="s">
        <v>1071</v>
      </c>
      <c r="C1500">
        <v>717.24</v>
      </c>
    </row>
    <row r="1501" spans="1:6" x14ac:dyDescent="0.35">
      <c r="A1501" t="s">
        <v>966</v>
      </c>
      <c r="B1501" t="s">
        <v>1073</v>
      </c>
      <c r="C1501">
        <v>85</v>
      </c>
    </row>
    <row r="1502" spans="1:6" x14ac:dyDescent="0.35">
      <c r="A1502" t="s">
        <v>966</v>
      </c>
      <c r="B1502" t="s">
        <v>1074</v>
      </c>
      <c r="C1502">
        <v>50</v>
      </c>
    </row>
    <row r="1503" spans="1:6" x14ac:dyDescent="0.35">
      <c r="A1503" t="s">
        <v>966</v>
      </c>
      <c r="B1503" t="s">
        <v>1031</v>
      </c>
      <c r="C1503">
        <v>36.69</v>
      </c>
    </row>
    <row r="1504" spans="1:6" x14ac:dyDescent="0.35">
      <c r="A1504" t="s">
        <v>966</v>
      </c>
      <c r="B1504" t="s">
        <v>967</v>
      </c>
      <c r="C1504">
        <v>7412</v>
      </c>
    </row>
    <row r="1505" spans="1:3" x14ac:dyDescent="0.35">
      <c r="A1505" t="s">
        <v>966</v>
      </c>
      <c r="B1505" t="s">
        <v>998</v>
      </c>
      <c r="C1505">
        <v>61</v>
      </c>
    </row>
    <row r="1506" spans="1:3" x14ac:dyDescent="0.35">
      <c r="A1506" t="s">
        <v>966</v>
      </c>
      <c r="B1506" t="s">
        <v>588</v>
      </c>
      <c r="C1506">
        <v>135</v>
      </c>
    </row>
    <row r="1507" spans="1:3" x14ac:dyDescent="0.35">
      <c r="A1507" t="s">
        <v>966</v>
      </c>
      <c r="B1507" t="s">
        <v>1032</v>
      </c>
      <c r="C1507">
        <v>485.21</v>
      </c>
    </row>
    <row r="1508" spans="1:3" x14ac:dyDescent="0.35">
      <c r="A1508" t="s">
        <v>966</v>
      </c>
      <c r="B1508" t="s">
        <v>1035</v>
      </c>
      <c r="C1508">
        <v>558.91</v>
      </c>
    </row>
    <row r="1509" spans="1:3" x14ac:dyDescent="0.35">
      <c r="A1509" t="s">
        <v>966</v>
      </c>
      <c r="B1509" t="s">
        <v>256</v>
      </c>
      <c r="C1509">
        <v>572.29</v>
      </c>
    </row>
    <row r="1510" spans="1:3" x14ac:dyDescent="0.35">
      <c r="A1510" t="s">
        <v>966</v>
      </c>
      <c r="B1510" t="s">
        <v>1044</v>
      </c>
      <c r="C1510">
        <v>13</v>
      </c>
    </row>
    <row r="1511" spans="1:3" x14ac:dyDescent="0.35">
      <c r="A1511" t="s">
        <v>966</v>
      </c>
      <c r="B1511" t="s">
        <v>1037</v>
      </c>
      <c r="C1511">
        <v>1442.29</v>
      </c>
    </row>
    <row r="1512" spans="1:3" x14ac:dyDescent="0.35">
      <c r="A1512" t="s">
        <v>966</v>
      </c>
      <c r="B1512" t="s">
        <v>1043</v>
      </c>
      <c r="C1512">
        <v>265</v>
      </c>
    </row>
    <row r="1513" spans="1:3" x14ac:dyDescent="0.35">
      <c r="A1513" t="s">
        <v>966</v>
      </c>
      <c r="B1513" t="s">
        <v>1097</v>
      </c>
      <c r="C1513">
        <v>85</v>
      </c>
    </row>
    <row r="1514" spans="1:3" x14ac:dyDescent="0.35">
      <c r="A1514" t="s">
        <v>999</v>
      </c>
      <c r="B1514" t="s">
        <v>1045</v>
      </c>
      <c r="C1514">
        <v>139.24</v>
      </c>
    </row>
    <row r="1515" spans="1:3" x14ac:dyDescent="0.35">
      <c r="A1515" t="s">
        <v>999</v>
      </c>
      <c r="B1515" t="s">
        <v>1003</v>
      </c>
      <c r="C1515">
        <v>40.380000000000003</v>
      </c>
    </row>
    <row r="1516" spans="1:3" x14ac:dyDescent="0.35">
      <c r="A1516" t="s">
        <v>999</v>
      </c>
      <c r="B1516" t="s">
        <v>37</v>
      </c>
      <c r="C1516">
        <v>52.22</v>
      </c>
    </row>
    <row r="1517" spans="1:3" x14ac:dyDescent="0.35">
      <c r="A1517" t="s">
        <v>999</v>
      </c>
      <c r="B1517" t="s">
        <v>123</v>
      </c>
      <c r="C1517">
        <v>225</v>
      </c>
    </row>
    <row r="1518" spans="1:3" x14ac:dyDescent="0.35">
      <c r="A1518" t="s">
        <v>999</v>
      </c>
      <c r="B1518" t="s">
        <v>53</v>
      </c>
      <c r="C1518">
        <v>-559.28</v>
      </c>
    </row>
    <row r="1519" spans="1:3" x14ac:dyDescent="0.35">
      <c r="A1519" t="s">
        <v>1000</v>
      </c>
      <c r="B1519" t="s">
        <v>1038</v>
      </c>
      <c r="C1519">
        <v>559.28</v>
      </c>
    </row>
    <row r="1520" spans="1:3" x14ac:dyDescent="0.35">
      <c r="A1520" t="s">
        <v>1000</v>
      </c>
      <c r="B1520" t="s">
        <v>588</v>
      </c>
      <c r="C1520">
        <v>100</v>
      </c>
    </row>
    <row r="1521" spans="1:3" x14ac:dyDescent="0.35">
      <c r="A1521" t="s">
        <v>1000</v>
      </c>
      <c r="B1521" t="s">
        <v>926</v>
      </c>
      <c r="C1521">
        <v>14.17</v>
      </c>
    </row>
    <row r="1522" spans="1:3" x14ac:dyDescent="0.35">
      <c r="A1522" t="s">
        <v>1000</v>
      </c>
      <c r="B1522" t="s">
        <v>124</v>
      </c>
      <c r="C1522">
        <v>22.09</v>
      </c>
    </row>
    <row r="1523" spans="1:3" x14ac:dyDescent="0.35">
      <c r="A1523" t="s">
        <v>1000</v>
      </c>
      <c r="B1523" t="s">
        <v>124</v>
      </c>
      <c r="C1523">
        <v>34.83</v>
      </c>
    </row>
    <row r="1524" spans="1:3" x14ac:dyDescent="0.35">
      <c r="A1524" t="s">
        <v>1000</v>
      </c>
      <c r="B1524" t="s">
        <v>726</v>
      </c>
      <c r="C1524">
        <v>9.27</v>
      </c>
    </row>
    <row r="1525" spans="1:3" x14ac:dyDescent="0.35">
      <c r="A1525" t="s">
        <v>1026</v>
      </c>
      <c r="B1525" t="s">
        <v>598</v>
      </c>
      <c r="C1525">
        <v>38.15</v>
      </c>
    </row>
    <row r="1526" spans="1:3" x14ac:dyDescent="0.35">
      <c r="A1526" t="s">
        <v>1026</v>
      </c>
      <c r="B1526" t="s">
        <v>1027</v>
      </c>
      <c r="C1526">
        <v>2.85</v>
      </c>
    </row>
    <row r="1527" spans="1:3" x14ac:dyDescent="0.35">
      <c r="A1527" t="s">
        <v>1060</v>
      </c>
      <c r="B1527" t="s">
        <v>1061</v>
      </c>
      <c r="C1527">
        <v>-3250</v>
      </c>
    </row>
    <row r="1528" spans="1:3" x14ac:dyDescent="0.35">
      <c r="A1528" t="s">
        <v>1060</v>
      </c>
      <c r="B1528" t="s">
        <v>1062</v>
      </c>
      <c r="C1528">
        <v>-3251.31</v>
      </c>
    </row>
    <row r="1529" spans="1:3" x14ac:dyDescent="0.35">
      <c r="A1529" t="s">
        <v>1060</v>
      </c>
      <c r="B1529" t="s">
        <v>1063</v>
      </c>
      <c r="C1529">
        <v>251.31</v>
      </c>
    </row>
    <row r="1530" spans="1:3" x14ac:dyDescent="0.35">
      <c r="A1530" t="s">
        <v>1060</v>
      </c>
      <c r="B1530" t="s">
        <v>225</v>
      </c>
      <c r="C1530">
        <v>2.99</v>
      </c>
    </row>
    <row r="1531" spans="1:3" x14ac:dyDescent="0.35">
      <c r="A1531" t="s">
        <v>1060</v>
      </c>
      <c r="B1531" t="s">
        <v>1094</v>
      </c>
      <c r="C1531">
        <v>3250</v>
      </c>
    </row>
    <row r="1532" spans="1:3" x14ac:dyDescent="0.35">
      <c r="A1532" t="s">
        <v>1060</v>
      </c>
      <c r="B1532" t="s">
        <v>169</v>
      </c>
      <c r="C1532">
        <v>55.99</v>
      </c>
    </row>
    <row r="1533" spans="1:3" x14ac:dyDescent="0.35">
      <c r="A1533" t="s">
        <v>1078</v>
      </c>
      <c r="B1533" t="s">
        <v>1089</v>
      </c>
      <c r="C1533">
        <v>28.61</v>
      </c>
    </row>
    <row r="1534" spans="1:3" x14ac:dyDescent="0.35">
      <c r="A1534" t="s">
        <v>1078</v>
      </c>
      <c r="B1534" t="s">
        <v>1079</v>
      </c>
      <c r="C1534">
        <v>50.91</v>
      </c>
    </row>
    <row r="1535" spans="1:3" x14ac:dyDescent="0.35">
      <c r="A1535" t="s">
        <v>1078</v>
      </c>
      <c r="B1535" t="s">
        <v>926</v>
      </c>
      <c r="C1535">
        <v>14.51</v>
      </c>
    </row>
    <row r="1536" spans="1:3" x14ac:dyDescent="0.35">
      <c r="A1536" t="s">
        <v>1080</v>
      </c>
      <c r="B1536" t="s">
        <v>926</v>
      </c>
      <c r="C1536">
        <v>13.8</v>
      </c>
    </row>
    <row r="1537" spans="1:3" x14ac:dyDescent="0.35">
      <c r="A1537" t="s">
        <v>1080</v>
      </c>
      <c r="B1537" t="s">
        <v>926</v>
      </c>
      <c r="C1537">
        <v>8.7200000000000006</v>
      </c>
    </row>
    <row r="1538" spans="1:3" x14ac:dyDescent="0.35">
      <c r="A1538" t="s">
        <v>1080</v>
      </c>
      <c r="B1538" t="s">
        <v>1081</v>
      </c>
      <c r="C1538">
        <v>30.03</v>
      </c>
    </row>
    <row r="1539" spans="1:3" x14ac:dyDescent="0.35">
      <c r="A1539" t="s">
        <v>1080</v>
      </c>
      <c r="B1539" t="s">
        <v>230</v>
      </c>
      <c r="C1539">
        <v>16.75</v>
      </c>
    </row>
    <row r="1540" spans="1:3" x14ac:dyDescent="0.35">
      <c r="A1540" t="s">
        <v>1080</v>
      </c>
      <c r="B1540" t="s">
        <v>841</v>
      </c>
      <c r="C1540">
        <v>2.1800000000000002</v>
      </c>
    </row>
    <row r="1541" spans="1:3" x14ac:dyDescent="0.35">
      <c r="A1541" t="s">
        <v>1080</v>
      </c>
      <c r="B1541" t="s">
        <v>1083</v>
      </c>
      <c r="C1541">
        <v>39.49</v>
      </c>
    </row>
    <row r="1542" spans="1:3" x14ac:dyDescent="0.35">
      <c r="A1542" t="s">
        <v>1080</v>
      </c>
      <c r="B1542" t="s">
        <v>168</v>
      </c>
      <c r="C1542">
        <v>16.05</v>
      </c>
    </row>
    <row r="1543" spans="1:3" x14ac:dyDescent="0.35">
      <c r="A1543" t="s">
        <v>1064</v>
      </c>
      <c r="B1543" t="s">
        <v>1065</v>
      </c>
      <c r="C1543">
        <v>-0.21</v>
      </c>
    </row>
    <row r="1544" spans="1:3" x14ac:dyDescent="0.35">
      <c r="A1544" t="s">
        <v>1064</v>
      </c>
      <c r="B1544" t="s">
        <v>1090</v>
      </c>
      <c r="C1544">
        <v>44.82</v>
      </c>
    </row>
    <row r="1545" spans="1:3" x14ac:dyDescent="0.35">
      <c r="A1545" t="s">
        <v>1064</v>
      </c>
      <c r="B1545" t="s">
        <v>80</v>
      </c>
      <c r="C1545">
        <v>20</v>
      </c>
    </row>
    <row r="1546" spans="1:3" x14ac:dyDescent="0.35">
      <c r="A1546" t="s">
        <v>968</v>
      </c>
      <c r="B1546" t="s">
        <v>926</v>
      </c>
      <c r="C1546">
        <v>14.53</v>
      </c>
    </row>
    <row r="1547" spans="1:3" x14ac:dyDescent="0.35">
      <c r="A1547" t="s">
        <v>968</v>
      </c>
      <c r="B1547" t="s">
        <v>926</v>
      </c>
      <c r="C1547">
        <v>15.16</v>
      </c>
    </row>
    <row r="1548" spans="1:3" x14ac:dyDescent="0.35">
      <c r="A1548" t="s">
        <v>968</v>
      </c>
      <c r="B1548" t="s">
        <v>626</v>
      </c>
      <c r="C1548">
        <v>120.17</v>
      </c>
    </row>
    <row r="1549" spans="1:3" x14ac:dyDescent="0.35">
      <c r="A1549" t="s">
        <v>968</v>
      </c>
      <c r="B1549" t="s">
        <v>745</v>
      </c>
      <c r="C1549">
        <v>14</v>
      </c>
    </row>
    <row r="1550" spans="1:3" x14ac:dyDescent="0.35">
      <c r="A1550" t="s">
        <v>968</v>
      </c>
      <c r="B1550" t="s">
        <v>41</v>
      </c>
      <c r="C1550">
        <v>38.590000000000003</v>
      </c>
    </row>
    <row r="1551" spans="1:3" x14ac:dyDescent="0.35">
      <c r="A1551" t="s">
        <v>968</v>
      </c>
      <c r="B1551" t="s">
        <v>32</v>
      </c>
      <c r="C1551">
        <v>13.66</v>
      </c>
    </row>
    <row r="1552" spans="1:3" x14ac:dyDescent="0.35">
      <c r="A1552" t="s">
        <v>968</v>
      </c>
      <c r="B1552" t="s">
        <v>969</v>
      </c>
      <c r="C1552">
        <v>4200</v>
      </c>
    </row>
    <row r="1553" spans="1:3" x14ac:dyDescent="0.35">
      <c r="A1553" t="s">
        <v>1075</v>
      </c>
      <c r="B1553" t="s">
        <v>20</v>
      </c>
      <c r="C1553">
        <v>112.27</v>
      </c>
    </row>
    <row r="1554" spans="1:3" x14ac:dyDescent="0.35">
      <c r="A1554" t="s">
        <v>1082</v>
      </c>
      <c r="B1554" t="s">
        <v>68</v>
      </c>
      <c r="C1554">
        <v>85.12</v>
      </c>
    </row>
    <row r="1555" spans="1:3" x14ac:dyDescent="0.35">
      <c r="A1555" t="s">
        <v>1082</v>
      </c>
      <c r="B1555" t="s">
        <v>456</v>
      </c>
      <c r="C1555">
        <v>104.25</v>
      </c>
    </row>
    <row r="1556" spans="1:3" x14ac:dyDescent="0.35">
      <c r="A1556" t="s">
        <v>1082</v>
      </c>
      <c r="B1556" t="s">
        <v>827</v>
      </c>
      <c r="C1556">
        <v>9.9</v>
      </c>
    </row>
    <row r="1557" spans="1:3" x14ac:dyDescent="0.35">
      <c r="A1557" t="s">
        <v>1082</v>
      </c>
      <c r="B1557" t="s">
        <v>41</v>
      </c>
      <c r="C1557">
        <v>86.26</v>
      </c>
    </row>
    <row r="1558" spans="1:3" x14ac:dyDescent="0.35">
      <c r="A1558" t="s">
        <v>1082</v>
      </c>
      <c r="B1558" t="s">
        <v>1098</v>
      </c>
      <c r="C1558">
        <v>1300</v>
      </c>
    </row>
    <row r="1559" spans="1:3" x14ac:dyDescent="0.35">
      <c r="A1559" t="s">
        <v>1084</v>
      </c>
      <c r="B1559" t="s">
        <v>915</v>
      </c>
      <c r="C1559">
        <v>42.71</v>
      </c>
    </row>
    <row r="1560" spans="1:3" x14ac:dyDescent="0.35">
      <c r="A1560" t="s">
        <v>1084</v>
      </c>
      <c r="B1560" t="s">
        <v>128</v>
      </c>
      <c r="C1560">
        <v>3.12</v>
      </c>
    </row>
    <row r="1561" spans="1:3" x14ac:dyDescent="0.35">
      <c r="A1561" t="s">
        <v>1084</v>
      </c>
      <c r="B1561" t="s">
        <v>1093</v>
      </c>
      <c r="C1561">
        <v>440.97</v>
      </c>
    </row>
    <row r="1562" spans="1:3" x14ac:dyDescent="0.35">
      <c r="A1562" t="s">
        <v>1084</v>
      </c>
      <c r="B1562" t="s">
        <v>409</v>
      </c>
      <c r="C1562">
        <v>-4200</v>
      </c>
    </row>
    <row r="1563" spans="1:3" x14ac:dyDescent="0.35">
      <c r="A1563" t="s">
        <v>1085</v>
      </c>
      <c r="B1563" t="s">
        <v>1092</v>
      </c>
      <c r="C1563">
        <v>40.17</v>
      </c>
    </row>
    <row r="1564" spans="1:3" x14ac:dyDescent="0.35">
      <c r="A1564" t="s">
        <v>1085</v>
      </c>
      <c r="B1564" t="s">
        <v>915</v>
      </c>
      <c r="C1564">
        <v>14.45</v>
      </c>
    </row>
    <row r="1565" spans="1:3" x14ac:dyDescent="0.35">
      <c r="A1565" t="s">
        <v>1085</v>
      </c>
      <c r="B1565" t="s">
        <v>926</v>
      </c>
      <c r="C1565">
        <v>16.03</v>
      </c>
    </row>
    <row r="1566" spans="1:3" x14ac:dyDescent="0.35">
      <c r="A1566" t="s">
        <v>1085</v>
      </c>
      <c r="B1566" t="s">
        <v>926</v>
      </c>
      <c r="C1566">
        <v>14.5</v>
      </c>
    </row>
    <row r="1567" spans="1:3" x14ac:dyDescent="0.35">
      <c r="A1567" t="s">
        <v>1076</v>
      </c>
      <c r="B1567" t="s">
        <v>1091</v>
      </c>
      <c r="C1567">
        <v>40.869999999999997</v>
      </c>
    </row>
    <row r="1568" spans="1:3" x14ac:dyDescent="0.35">
      <c r="A1568" t="s">
        <v>1076</v>
      </c>
      <c r="B1568" t="s">
        <v>1077</v>
      </c>
      <c r="C1568">
        <v>98.49</v>
      </c>
    </row>
    <row r="1569" spans="1:6" x14ac:dyDescent="0.35">
      <c r="A1569" t="s">
        <v>1086</v>
      </c>
      <c r="B1569" t="s">
        <v>1087</v>
      </c>
      <c r="C1569">
        <v>68.88</v>
      </c>
    </row>
    <row r="1570" spans="1:6" x14ac:dyDescent="0.35">
      <c r="A1570" t="s">
        <v>973</v>
      </c>
      <c r="B1570" t="s">
        <v>975</v>
      </c>
      <c r="C1570">
        <v>495.5</v>
      </c>
    </row>
    <row r="1571" spans="1:6" x14ac:dyDescent="0.35">
      <c r="A1571" t="s">
        <v>973</v>
      </c>
      <c r="B1571" t="s">
        <v>974</v>
      </c>
      <c r="C1571">
        <v>2838</v>
      </c>
    </row>
    <row r="1572" spans="1:6" x14ac:dyDescent="0.35">
      <c r="A1572" t="s">
        <v>973</v>
      </c>
      <c r="B1572" t="s">
        <v>42</v>
      </c>
      <c r="C1572">
        <v>123.22</v>
      </c>
    </row>
    <row r="1573" spans="1:6" x14ac:dyDescent="0.35">
      <c r="A1573" t="s">
        <v>973</v>
      </c>
      <c r="B1573" t="s">
        <v>16</v>
      </c>
      <c r="C1573">
        <v>3</v>
      </c>
    </row>
    <row r="1574" spans="1:6" x14ac:dyDescent="0.35">
      <c r="A1574" t="s">
        <v>973</v>
      </c>
      <c r="B1574" t="s">
        <v>926</v>
      </c>
      <c r="C1574">
        <v>14.5</v>
      </c>
    </row>
    <row r="1575" spans="1:6" x14ac:dyDescent="0.35">
      <c r="A1575" t="s">
        <v>973</v>
      </c>
      <c r="B1575" t="s">
        <v>1088</v>
      </c>
      <c r="C1575">
        <v>4.07</v>
      </c>
    </row>
    <row r="1576" spans="1:6" x14ac:dyDescent="0.35">
      <c r="A1576" t="s">
        <v>973</v>
      </c>
      <c r="B1576" t="s">
        <v>926</v>
      </c>
      <c r="C1576">
        <v>14.53</v>
      </c>
    </row>
    <row r="1577" spans="1:6" x14ac:dyDescent="0.35">
      <c r="A1577" t="s">
        <v>973</v>
      </c>
      <c r="B1577" t="s">
        <v>743</v>
      </c>
      <c r="C1577">
        <v>-42.82</v>
      </c>
    </row>
    <row r="1578" spans="1:6" x14ac:dyDescent="0.35">
      <c r="A1578" t="s">
        <v>973</v>
      </c>
      <c r="B1578" t="s">
        <v>743</v>
      </c>
      <c r="C1578">
        <v>-22.09</v>
      </c>
    </row>
    <row r="1579" spans="1:6" x14ac:dyDescent="0.35">
      <c r="A1579" t="s">
        <v>973</v>
      </c>
      <c r="B1579" t="s">
        <v>1096</v>
      </c>
      <c r="C1579">
        <v>2486.83</v>
      </c>
    </row>
    <row r="1580" spans="1:6" x14ac:dyDescent="0.35">
      <c r="A1580" t="s">
        <v>973</v>
      </c>
      <c r="B1580" t="s">
        <v>1095</v>
      </c>
      <c r="C1580">
        <v>5500</v>
      </c>
    </row>
    <row r="1581" spans="1:6" x14ac:dyDescent="0.35">
      <c r="C1581">
        <v>0</v>
      </c>
      <c r="E1581">
        <f>SUM(C2:C1580)</f>
        <v>385455.27999999985</v>
      </c>
      <c r="F1581" t="s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10</v>
      </c>
      <c r="B2" t="s">
        <v>11</v>
      </c>
      <c r="C2">
        <v>42</v>
      </c>
    </row>
    <row r="3" spans="1:6" x14ac:dyDescent="0.35">
      <c r="A3" t="s">
        <v>12</v>
      </c>
      <c r="B3" t="s">
        <v>13</v>
      </c>
      <c r="C3">
        <v>2838</v>
      </c>
    </row>
    <row r="4" spans="1:6" x14ac:dyDescent="0.35">
      <c r="A4" t="s">
        <v>12</v>
      </c>
      <c r="B4" t="s">
        <v>14</v>
      </c>
      <c r="C4">
        <v>495</v>
      </c>
    </row>
    <row r="5" spans="1:6" x14ac:dyDescent="0.35">
      <c r="C5">
        <v>0</v>
      </c>
      <c r="D5">
        <f>SUM(C2:C4)</f>
        <v>3375</v>
      </c>
      <c r="E5">
        <f>SUM(C2:C4)</f>
        <v>3375</v>
      </c>
      <c r="F5" t="s">
        <v>89</v>
      </c>
    </row>
    <row r="6" spans="1:6" x14ac:dyDescent="0.35">
      <c r="A6" t="s">
        <v>90</v>
      </c>
      <c r="B6" t="s">
        <v>91</v>
      </c>
      <c r="C6">
        <v>149</v>
      </c>
    </row>
    <row r="7" spans="1:6" x14ac:dyDescent="0.35">
      <c r="C7">
        <v>0</v>
      </c>
      <c r="D7">
        <f>SUM(C6:C6)</f>
        <v>149</v>
      </c>
      <c r="E7">
        <f>SUM(C2:C6)</f>
        <v>3524</v>
      </c>
      <c r="F7" t="s">
        <v>347</v>
      </c>
    </row>
    <row r="8" spans="1:6" x14ac:dyDescent="0.35">
      <c r="A8" t="s">
        <v>348</v>
      </c>
      <c r="B8" t="s">
        <v>349</v>
      </c>
      <c r="C8">
        <v>2838</v>
      </c>
    </row>
    <row r="9" spans="1:6" x14ac:dyDescent="0.35">
      <c r="A9" t="s">
        <v>348</v>
      </c>
      <c r="B9" t="s">
        <v>350</v>
      </c>
      <c r="C9">
        <v>495.5</v>
      </c>
    </row>
    <row r="10" spans="1:6" x14ac:dyDescent="0.35">
      <c r="A10" t="s">
        <v>510</v>
      </c>
      <c r="B10" t="s">
        <v>511</v>
      </c>
      <c r="C10">
        <v>2838</v>
      </c>
    </row>
    <row r="11" spans="1:6" x14ac:dyDescent="0.35">
      <c r="A11" t="s">
        <v>510</v>
      </c>
      <c r="B11" t="s">
        <v>512</v>
      </c>
      <c r="C11">
        <v>495.5</v>
      </c>
    </row>
    <row r="12" spans="1:6" x14ac:dyDescent="0.35">
      <c r="A12" t="s">
        <v>619</v>
      </c>
      <c r="B12" t="s">
        <v>620</v>
      </c>
      <c r="C12">
        <v>2838</v>
      </c>
    </row>
    <row r="13" spans="1:6" x14ac:dyDescent="0.35">
      <c r="A13" t="s">
        <v>619</v>
      </c>
      <c r="B13" t="s">
        <v>621</v>
      </c>
      <c r="C13">
        <v>495.5</v>
      </c>
    </row>
    <row r="14" spans="1:6" x14ac:dyDescent="0.35">
      <c r="A14" t="s">
        <v>704</v>
      </c>
      <c r="B14" t="s">
        <v>705</v>
      </c>
      <c r="C14">
        <v>2838</v>
      </c>
    </row>
    <row r="15" spans="1:6" x14ac:dyDescent="0.35">
      <c r="A15" t="s">
        <v>706</v>
      </c>
      <c r="B15" t="s">
        <v>707</v>
      </c>
      <c r="C15">
        <v>495.5</v>
      </c>
    </row>
    <row r="16" spans="1:6" x14ac:dyDescent="0.35">
      <c r="A16" t="s">
        <v>802</v>
      </c>
      <c r="B16" t="s">
        <v>803</v>
      </c>
      <c r="C16">
        <v>2838</v>
      </c>
    </row>
    <row r="17" spans="1:6" x14ac:dyDescent="0.35">
      <c r="A17" t="s">
        <v>802</v>
      </c>
      <c r="B17" t="s">
        <v>804</v>
      </c>
      <c r="C17">
        <v>495.5</v>
      </c>
    </row>
    <row r="18" spans="1:6" x14ac:dyDescent="0.35">
      <c r="C18">
        <v>0</v>
      </c>
      <c r="D18">
        <f>SUM(C8:C17)</f>
        <v>16667.5</v>
      </c>
      <c r="E18">
        <f>SUM(C2:C17)</f>
        <v>20191.5</v>
      </c>
      <c r="F18" t="s">
        <v>796</v>
      </c>
    </row>
    <row r="19" spans="1:6" x14ac:dyDescent="0.35">
      <c r="A19" t="s">
        <v>805</v>
      </c>
      <c r="B19" t="s">
        <v>806</v>
      </c>
      <c r="C19">
        <v>2838</v>
      </c>
    </row>
    <row r="20" spans="1:6" x14ac:dyDescent="0.35">
      <c r="A20" t="s">
        <v>805</v>
      </c>
      <c r="B20" t="s">
        <v>807</v>
      </c>
      <c r="C20">
        <v>495.5</v>
      </c>
    </row>
    <row r="21" spans="1:6" x14ac:dyDescent="0.35">
      <c r="A21" t="s">
        <v>970</v>
      </c>
      <c r="B21" t="s">
        <v>971</v>
      </c>
      <c r="C21">
        <v>2838</v>
      </c>
    </row>
    <row r="22" spans="1:6" x14ac:dyDescent="0.35">
      <c r="A22" t="s">
        <v>970</v>
      </c>
      <c r="B22" t="s">
        <v>972</v>
      </c>
      <c r="C22">
        <v>495.5</v>
      </c>
    </row>
    <row r="23" spans="1:6" x14ac:dyDescent="0.35">
      <c r="C23">
        <v>0</v>
      </c>
      <c r="D23">
        <f>SUM(C19:C22)</f>
        <v>6667</v>
      </c>
      <c r="E23">
        <f>SUM(C2:C22)</f>
        <v>26858.5</v>
      </c>
      <c r="F23" t="s">
        <v>965</v>
      </c>
    </row>
    <row r="24" spans="1:6" x14ac:dyDescent="0.35">
      <c r="A24" t="s">
        <v>973</v>
      </c>
      <c r="B24" t="s">
        <v>974</v>
      </c>
      <c r="C24">
        <v>2838</v>
      </c>
    </row>
    <row r="25" spans="1:6" x14ac:dyDescent="0.35">
      <c r="A25" t="s">
        <v>973</v>
      </c>
      <c r="B25" t="s">
        <v>975</v>
      </c>
      <c r="C25">
        <v>495.5</v>
      </c>
    </row>
    <row r="26" spans="1:6" x14ac:dyDescent="0.35">
      <c r="C26">
        <v>0</v>
      </c>
      <c r="E26">
        <f>SUM(C2:C25)</f>
        <v>30192</v>
      </c>
      <c r="F26" t="s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9"/>
  <sheetViews>
    <sheetView topLeftCell="A10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C3">
        <v>0</v>
      </c>
      <c r="D3">
        <f>SUM(C2:C2)</f>
        <v>3</v>
      </c>
      <c r="E3">
        <f>SUM(C2:C2)</f>
        <v>3</v>
      </c>
      <c r="F3" t="s">
        <v>6</v>
      </c>
    </row>
    <row r="4" spans="1:6" x14ac:dyDescent="0.35">
      <c r="A4" t="s">
        <v>47</v>
      </c>
      <c r="B4" t="s">
        <v>92</v>
      </c>
      <c r="C4">
        <v>6</v>
      </c>
    </row>
    <row r="5" spans="1:6" x14ac:dyDescent="0.35">
      <c r="A5" t="s">
        <v>93</v>
      </c>
      <c r="B5" t="s">
        <v>16</v>
      </c>
      <c r="C5">
        <v>3</v>
      </c>
    </row>
    <row r="6" spans="1:6" x14ac:dyDescent="0.35">
      <c r="C6">
        <v>0</v>
      </c>
      <c r="D6">
        <f>SUM(C4:C5)</f>
        <v>9</v>
      </c>
      <c r="E6">
        <f>SUM(C2:C5)</f>
        <v>12</v>
      </c>
      <c r="F6" t="s">
        <v>89</v>
      </c>
    </row>
    <row r="7" spans="1:6" x14ac:dyDescent="0.35">
      <c r="A7" t="s">
        <v>192</v>
      </c>
      <c r="B7" t="s">
        <v>193</v>
      </c>
      <c r="C7">
        <v>11</v>
      </c>
    </row>
    <row r="8" spans="1:6" x14ac:dyDescent="0.35">
      <c r="A8" t="s">
        <v>251</v>
      </c>
      <c r="B8" t="s">
        <v>261</v>
      </c>
      <c r="C8">
        <v>12</v>
      </c>
    </row>
    <row r="9" spans="1:6" x14ac:dyDescent="0.35">
      <c r="A9" t="s">
        <v>189</v>
      </c>
      <c r="B9" t="s">
        <v>16</v>
      </c>
      <c r="C9">
        <v>3</v>
      </c>
    </row>
    <row r="10" spans="1:6" x14ac:dyDescent="0.35">
      <c r="A10" t="s">
        <v>194</v>
      </c>
      <c r="B10" t="s">
        <v>16</v>
      </c>
      <c r="C10">
        <v>3</v>
      </c>
    </row>
    <row r="11" spans="1:6" x14ac:dyDescent="0.35">
      <c r="A11" t="s">
        <v>354</v>
      </c>
      <c r="B11" t="s">
        <v>16</v>
      </c>
      <c r="C11">
        <v>3</v>
      </c>
    </row>
    <row r="12" spans="1:6" x14ac:dyDescent="0.35">
      <c r="A12" t="s">
        <v>519</v>
      </c>
      <c r="B12" t="s">
        <v>16</v>
      </c>
      <c r="C12">
        <v>3</v>
      </c>
    </row>
    <row r="13" spans="1:6" x14ac:dyDescent="0.35">
      <c r="C13">
        <v>0</v>
      </c>
      <c r="D13">
        <f>SUM(C7:C12)</f>
        <v>35</v>
      </c>
      <c r="E13">
        <f>SUM(C2:C12)</f>
        <v>47</v>
      </c>
      <c r="F13" t="s">
        <v>699</v>
      </c>
    </row>
    <row r="14" spans="1:6" x14ac:dyDescent="0.35">
      <c r="A14" t="s">
        <v>785</v>
      </c>
      <c r="B14" t="s">
        <v>16</v>
      </c>
      <c r="C14">
        <v>3</v>
      </c>
    </row>
    <row r="15" spans="1:6" x14ac:dyDescent="0.35">
      <c r="C15">
        <v>0</v>
      </c>
      <c r="D15">
        <f>SUM(C14:C14)</f>
        <v>3</v>
      </c>
      <c r="E15">
        <f>SUM(C2:C14)</f>
        <v>50</v>
      </c>
      <c r="F15" t="s">
        <v>796</v>
      </c>
    </row>
    <row r="16" spans="1:6" x14ac:dyDescent="0.35">
      <c r="A16" t="s">
        <v>797</v>
      </c>
      <c r="B16" t="s">
        <v>16</v>
      </c>
      <c r="C16">
        <v>3</v>
      </c>
    </row>
    <row r="17" spans="1:6" x14ac:dyDescent="0.35">
      <c r="C17">
        <v>0</v>
      </c>
      <c r="D17">
        <f>SUM(C16:C16)</f>
        <v>3</v>
      </c>
      <c r="E17">
        <f>SUM(C2:C16)</f>
        <v>53</v>
      </c>
      <c r="F17" t="s">
        <v>965</v>
      </c>
    </row>
    <row r="18" spans="1:6" x14ac:dyDescent="0.35">
      <c r="A18" t="s">
        <v>973</v>
      </c>
      <c r="B18" t="s">
        <v>16</v>
      </c>
      <c r="C18">
        <v>3</v>
      </c>
    </row>
    <row r="19" spans="1:6" x14ac:dyDescent="0.35">
      <c r="C19">
        <v>0</v>
      </c>
      <c r="E19">
        <f>SUM(C2:C18)</f>
        <v>56</v>
      </c>
      <c r="F19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68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58</v>
      </c>
      <c r="B2" t="s">
        <v>59</v>
      </c>
      <c r="C2">
        <v>384.89</v>
      </c>
    </row>
    <row r="3" spans="1:6" x14ac:dyDescent="0.35">
      <c r="A3" t="s">
        <v>31</v>
      </c>
      <c r="B3" t="s">
        <v>74</v>
      </c>
      <c r="C3">
        <v>-38.46</v>
      </c>
    </row>
    <row r="4" spans="1:6" x14ac:dyDescent="0.35">
      <c r="A4" t="s">
        <v>24</v>
      </c>
      <c r="B4" t="s">
        <v>49</v>
      </c>
      <c r="C4">
        <v>100.07</v>
      </c>
    </row>
    <row r="5" spans="1:6" x14ac:dyDescent="0.35">
      <c r="A5" t="s">
        <v>17</v>
      </c>
      <c r="B5" t="s">
        <v>18</v>
      </c>
      <c r="C5">
        <v>9.0299999999999994</v>
      </c>
    </row>
    <row r="6" spans="1:6" x14ac:dyDescent="0.35">
      <c r="A6" t="s">
        <v>17</v>
      </c>
      <c r="B6" t="s">
        <v>18</v>
      </c>
      <c r="C6">
        <v>1.53</v>
      </c>
    </row>
    <row r="7" spans="1:6" x14ac:dyDescent="0.35">
      <c r="A7" t="s">
        <v>17</v>
      </c>
      <c r="B7" t="s">
        <v>18</v>
      </c>
      <c r="C7">
        <v>5.34</v>
      </c>
    </row>
    <row r="8" spans="1:6" x14ac:dyDescent="0.35">
      <c r="A8" t="s">
        <v>17</v>
      </c>
      <c r="B8" t="s">
        <v>18</v>
      </c>
      <c r="C8">
        <v>14.32</v>
      </c>
    </row>
    <row r="9" spans="1:6" x14ac:dyDescent="0.35">
      <c r="A9" t="s">
        <v>4</v>
      </c>
      <c r="B9" t="s">
        <v>50</v>
      </c>
      <c r="C9">
        <v>0</v>
      </c>
    </row>
    <row r="10" spans="1:6" x14ac:dyDescent="0.35">
      <c r="C10">
        <v>0</v>
      </c>
      <c r="D10">
        <f>SUM(C2:C9)</f>
        <v>476.71999999999991</v>
      </c>
      <c r="E10">
        <f>SUM(C2:C9)</f>
        <v>476.71999999999991</v>
      </c>
      <c r="F10" t="s">
        <v>6</v>
      </c>
    </row>
    <row r="11" spans="1:6" x14ac:dyDescent="0.35">
      <c r="A11" t="s">
        <v>19</v>
      </c>
      <c r="B11" t="s">
        <v>20</v>
      </c>
      <c r="C11">
        <v>86.23</v>
      </c>
    </row>
    <row r="12" spans="1:6" x14ac:dyDescent="0.35">
      <c r="A12" t="s">
        <v>21</v>
      </c>
      <c r="B12" t="s">
        <v>22</v>
      </c>
      <c r="C12">
        <v>76.349999999999994</v>
      </c>
    </row>
    <row r="13" spans="1:6" x14ac:dyDescent="0.35">
      <c r="A13" t="s">
        <v>47</v>
      </c>
      <c r="B13" t="s">
        <v>18</v>
      </c>
      <c r="C13">
        <v>22.4</v>
      </c>
    </row>
    <row r="14" spans="1:6" x14ac:dyDescent="0.35">
      <c r="A14" t="s">
        <v>93</v>
      </c>
      <c r="B14" t="s">
        <v>18</v>
      </c>
      <c r="C14">
        <v>207.28</v>
      </c>
    </row>
    <row r="15" spans="1:6" x14ac:dyDescent="0.35">
      <c r="A15" t="s">
        <v>93</v>
      </c>
      <c r="B15" t="s">
        <v>18</v>
      </c>
      <c r="C15">
        <v>5.34</v>
      </c>
    </row>
    <row r="16" spans="1:6" x14ac:dyDescent="0.35">
      <c r="A16" t="s">
        <v>94</v>
      </c>
      <c r="B16" t="s">
        <v>95</v>
      </c>
      <c r="C16">
        <v>32.19</v>
      </c>
    </row>
    <row r="17" spans="1:6" x14ac:dyDescent="0.35">
      <c r="A17" t="s">
        <v>10</v>
      </c>
      <c r="B17" t="s">
        <v>18</v>
      </c>
      <c r="C17">
        <v>-4.4000000000000004</v>
      </c>
    </row>
    <row r="18" spans="1:6" x14ac:dyDescent="0.35">
      <c r="A18" t="s">
        <v>10</v>
      </c>
      <c r="B18" t="s">
        <v>137</v>
      </c>
      <c r="C18">
        <v>86.24</v>
      </c>
    </row>
    <row r="19" spans="1:6" x14ac:dyDescent="0.35">
      <c r="A19" t="s">
        <v>96</v>
      </c>
      <c r="B19" t="s">
        <v>20</v>
      </c>
      <c r="C19">
        <v>156.24</v>
      </c>
    </row>
    <row r="20" spans="1:6" x14ac:dyDescent="0.35">
      <c r="A20" t="s">
        <v>127</v>
      </c>
      <c r="B20" t="s">
        <v>59</v>
      </c>
      <c r="C20">
        <v>307.52</v>
      </c>
    </row>
    <row r="21" spans="1:6" x14ac:dyDescent="0.35">
      <c r="A21" t="s">
        <v>97</v>
      </c>
      <c r="B21" t="s">
        <v>95</v>
      </c>
      <c r="C21">
        <v>43.98</v>
      </c>
    </row>
    <row r="22" spans="1:6" x14ac:dyDescent="0.35">
      <c r="A22" t="s">
        <v>101</v>
      </c>
      <c r="B22" t="s">
        <v>138</v>
      </c>
      <c r="C22">
        <v>32.270000000000003</v>
      </c>
    </row>
    <row r="23" spans="1:6" x14ac:dyDescent="0.35">
      <c r="A23" t="s">
        <v>101</v>
      </c>
      <c r="B23" t="s">
        <v>138</v>
      </c>
      <c r="C23">
        <v>5.5</v>
      </c>
    </row>
    <row r="24" spans="1:6" x14ac:dyDescent="0.35">
      <c r="C24">
        <v>0</v>
      </c>
      <c r="D24">
        <f>SUM(C11:C23)</f>
        <v>1057.1400000000001</v>
      </c>
      <c r="E24">
        <f>SUM(C2:C23)</f>
        <v>1533.8600000000001</v>
      </c>
      <c r="F24" t="s">
        <v>89</v>
      </c>
    </row>
    <row r="25" spans="1:6" x14ac:dyDescent="0.35">
      <c r="A25" t="s">
        <v>98</v>
      </c>
      <c r="B25" t="s">
        <v>18</v>
      </c>
      <c r="C25">
        <v>1.1000000000000001</v>
      </c>
    </row>
    <row r="26" spans="1:6" x14ac:dyDescent="0.35">
      <c r="A26" t="s">
        <v>98</v>
      </c>
      <c r="B26" t="s">
        <v>18</v>
      </c>
      <c r="C26">
        <v>38.479999999999997</v>
      </c>
    </row>
    <row r="27" spans="1:6" x14ac:dyDescent="0.35">
      <c r="A27" t="s">
        <v>183</v>
      </c>
      <c r="B27" t="s">
        <v>95</v>
      </c>
      <c r="C27">
        <v>28.23</v>
      </c>
    </row>
    <row r="28" spans="1:6" x14ac:dyDescent="0.35">
      <c r="A28" t="s">
        <v>184</v>
      </c>
      <c r="B28" t="s">
        <v>18</v>
      </c>
      <c r="C28">
        <v>10.68</v>
      </c>
    </row>
    <row r="29" spans="1:6" x14ac:dyDescent="0.35">
      <c r="A29" t="s">
        <v>184</v>
      </c>
      <c r="B29" t="s">
        <v>20</v>
      </c>
      <c r="C29">
        <v>139.01</v>
      </c>
    </row>
    <row r="30" spans="1:6" x14ac:dyDescent="0.35">
      <c r="A30" t="s">
        <v>184</v>
      </c>
      <c r="B30" t="s">
        <v>231</v>
      </c>
      <c r="C30">
        <v>44.52</v>
      </c>
    </row>
    <row r="31" spans="1:6" x14ac:dyDescent="0.35">
      <c r="A31" t="s">
        <v>185</v>
      </c>
      <c r="B31" t="s">
        <v>186</v>
      </c>
      <c r="C31">
        <v>3.84</v>
      </c>
    </row>
    <row r="32" spans="1:6" x14ac:dyDescent="0.35">
      <c r="A32" t="s">
        <v>187</v>
      </c>
      <c r="B32" t="s">
        <v>188</v>
      </c>
      <c r="C32">
        <v>18.3</v>
      </c>
    </row>
    <row r="33" spans="1:6" x14ac:dyDescent="0.35">
      <c r="A33" t="s">
        <v>189</v>
      </c>
      <c r="B33" t="s">
        <v>190</v>
      </c>
      <c r="C33">
        <v>87.39</v>
      </c>
    </row>
    <row r="34" spans="1:6" x14ac:dyDescent="0.35">
      <c r="A34" t="s">
        <v>221</v>
      </c>
      <c r="B34" t="s">
        <v>232</v>
      </c>
      <c r="C34">
        <v>97.25</v>
      </c>
    </row>
    <row r="35" spans="1:6" x14ac:dyDescent="0.35">
      <c r="A35" t="s">
        <v>221</v>
      </c>
      <c r="B35" t="s">
        <v>59</v>
      </c>
      <c r="C35">
        <v>541.87</v>
      </c>
    </row>
    <row r="36" spans="1:6" x14ac:dyDescent="0.35">
      <c r="A36" t="s">
        <v>191</v>
      </c>
      <c r="B36" t="s">
        <v>20</v>
      </c>
      <c r="C36">
        <v>123.82</v>
      </c>
    </row>
    <row r="37" spans="1:6" x14ac:dyDescent="0.35">
      <c r="C37">
        <v>0</v>
      </c>
      <c r="D37">
        <f>SUM(C25:C36)</f>
        <v>1134.49</v>
      </c>
      <c r="E37">
        <f>SUM(C2:C36)</f>
        <v>2668.3500000000004</v>
      </c>
      <c r="F37" t="s">
        <v>200</v>
      </c>
    </row>
    <row r="38" spans="1:6" x14ac:dyDescent="0.35">
      <c r="A38" t="s">
        <v>214</v>
      </c>
      <c r="B38" t="s">
        <v>233</v>
      </c>
      <c r="C38">
        <v>115.47</v>
      </c>
    </row>
    <row r="39" spans="1:6" x14ac:dyDescent="0.35">
      <c r="A39" t="s">
        <v>234</v>
      </c>
      <c r="B39" t="s">
        <v>235</v>
      </c>
      <c r="C39">
        <v>2.06</v>
      </c>
    </row>
    <row r="40" spans="1:6" x14ac:dyDescent="0.35">
      <c r="A40" t="s">
        <v>301</v>
      </c>
      <c r="B40" t="s">
        <v>317</v>
      </c>
      <c r="C40">
        <v>55.98</v>
      </c>
    </row>
    <row r="41" spans="1:6" x14ac:dyDescent="0.35">
      <c r="A41" t="s">
        <v>318</v>
      </c>
      <c r="B41" t="s">
        <v>319</v>
      </c>
      <c r="C41">
        <v>64.069999999999993</v>
      </c>
    </row>
    <row r="42" spans="1:6" x14ac:dyDescent="0.35">
      <c r="A42" t="s">
        <v>297</v>
      </c>
      <c r="B42" t="s">
        <v>320</v>
      </c>
      <c r="C42">
        <v>2.25</v>
      </c>
    </row>
    <row r="43" spans="1:6" x14ac:dyDescent="0.35">
      <c r="A43" t="s">
        <v>280</v>
      </c>
      <c r="B43" t="s">
        <v>59</v>
      </c>
      <c r="C43">
        <v>472.12</v>
      </c>
    </row>
    <row r="44" spans="1:6" x14ac:dyDescent="0.35">
      <c r="A44" t="s">
        <v>283</v>
      </c>
      <c r="B44" t="s">
        <v>382</v>
      </c>
      <c r="C44">
        <v>50.92</v>
      </c>
    </row>
    <row r="45" spans="1:6" x14ac:dyDescent="0.35">
      <c r="A45" t="s">
        <v>351</v>
      </c>
      <c r="B45" t="s">
        <v>74</v>
      </c>
      <c r="C45">
        <v>46.8</v>
      </c>
    </row>
    <row r="46" spans="1:6" x14ac:dyDescent="0.35">
      <c r="A46" t="s">
        <v>352</v>
      </c>
      <c r="B46" t="s">
        <v>18</v>
      </c>
      <c r="C46">
        <v>55.08</v>
      </c>
    </row>
    <row r="47" spans="1:6" x14ac:dyDescent="0.35">
      <c r="A47" t="s">
        <v>353</v>
      </c>
      <c r="B47" t="s">
        <v>383</v>
      </c>
      <c r="C47">
        <v>81.05</v>
      </c>
    </row>
    <row r="48" spans="1:6" x14ac:dyDescent="0.35">
      <c r="A48" t="s">
        <v>353</v>
      </c>
      <c r="B48" t="s">
        <v>20</v>
      </c>
      <c r="C48">
        <v>209.7</v>
      </c>
    </row>
    <row r="49" spans="1:6" x14ac:dyDescent="0.35">
      <c r="A49" t="s">
        <v>374</v>
      </c>
      <c r="B49" t="s">
        <v>59</v>
      </c>
      <c r="C49">
        <v>180.03</v>
      </c>
    </row>
    <row r="50" spans="1:6" x14ac:dyDescent="0.35">
      <c r="A50" t="s">
        <v>356</v>
      </c>
      <c r="B50" t="s">
        <v>384</v>
      </c>
      <c r="C50">
        <v>98.41</v>
      </c>
    </row>
    <row r="51" spans="1:6" x14ac:dyDescent="0.35">
      <c r="C51">
        <v>0</v>
      </c>
      <c r="D51">
        <f>SUM(C38:C50)</f>
        <v>1433.94</v>
      </c>
      <c r="E51">
        <f>SUM(C2:C50)</f>
        <v>4102.2900000000009</v>
      </c>
      <c r="F51" t="s">
        <v>347</v>
      </c>
    </row>
    <row r="52" spans="1:6" x14ac:dyDescent="0.35">
      <c r="A52" t="s">
        <v>368</v>
      </c>
      <c r="B52" t="s">
        <v>385</v>
      </c>
      <c r="C52">
        <v>129.16999999999999</v>
      </c>
    </row>
    <row r="53" spans="1:6" x14ac:dyDescent="0.35">
      <c r="A53" t="s">
        <v>392</v>
      </c>
      <c r="B53" t="s">
        <v>190</v>
      </c>
      <c r="C53">
        <v>45.99</v>
      </c>
    </row>
    <row r="54" spans="1:6" x14ac:dyDescent="0.35">
      <c r="A54" t="s">
        <v>423</v>
      </c>
      <c r="B54" t="s">
        <v>20</v>
      </c>
      <c r="C54">
        <v>110.77</v>
      </c>
    </row>
    <row r="55" spans="1:6" x14ac:dyDescent="0.35">
      <c r="A55" t="s">
        <v>424</v>
      </c>
      <c r="B55" t="s">
        <v>425</v>
      </c>
      <c r="C55">
        <v>30.37</v>
      </c>
    </row>
    <row r="56" spans="1:6" x14ac:dyDescent="0.35">
      <c r="A56" t="s">
        <v>447</v>
      </c>
      <c r="B56" t="s">
        <v>461</v>
      </c>
      <c r="C56">
        <v>47.02</v>
      </c>
    </row>
    <row r="57" spans="1:6" x14ac:dyDescent="0.35">
      <c r="A57" t="s">
        <v>470</v>
      </c>
      <c r="B57" t="s">
        <v>59</v>
      </c>
      <c r="C57">
        <v>397.68</v>
      </c>
    </row>
    <row r="58" spans="1:6" x14ac:dyDescent="0.35">
      <c r="A58" t="s">
        <v>462</v>
      </c>
      <c r="B58" t="s">
        <v>463</v>
      </c>
      <c r="C58">
        <v>20.9</v>
      </c>
    </row>
    <row r="59" spans="1:6" x14ac:dyDescent="0.35">
      <c r="A59" t="s">
        <v>431</v>
      </c>
      <c r="B59" t="s">
        <v>464</v>
      </c>
      <c r="C59">
        <v>74.239999999999995</v>
      </c>
    </row>
    <row r="60" spans="1:6" x14ac:dyDescent="0.35">
      <c r="A60" t="s">
        <v>426</v>
      </c>
      <c r="B60" t="s">
        <v>190</v>
      </c>
      <c r="C60">
        <v>84.05</v>
      </c>
    </row>
    <row r="61" spans="1:6" x14ac:dyDescent="0.35">
      <c r="C61">
        <v>0</v>
      </c>
      <c r="D61">
        <f>SUM(C52:C60)</f>
        <v>940.18999999999994</v>
      </c>
      <c r="E61">
        <f>SUM(C2:C60)</f>
        <v>5042.4800000000014</v>
      </c>
      <c r="F61" t="s">
        <v>420</v>
      </c>
    </row>
    <row r="62" spans="1:6" x14ac:dyDescent="0.35">
      <c r="A62" t="s">
        <v>427</v>
      </c>
      <c r="B62" t="s">
        <v>20</v>
      </c>
      <c r="C62">
        <v>49</v>
      </c>
    </row>
    <row r="63" spans="1:6" x14ac:dyDescent="0.35">
      <c r="A63" t="s">
        <v>427</v>
      </c>
      <c r="B63" t="s">
        <v>18</v>
      </c>
      <c r="C63">
        <v>18.649999999999999</v>
      </c>
    </row>
    <row r="64" spans="1:6" x14ac:dyDescent="0.35">
      <c r="A64" t="s">
        <v>428</v>
      </c>
      <c r="B64" t="s">
        <v>18</v>
      </c>
      <c r="C64">
        <v>-12.43</v>
      </c>
    </row>
    <row r="65" spans="1:6" x14ac:dyDescent="0.35">
      <c r="A65" t="s">
        <v>465</v>
      </c>
      <c r="B65" t="s">
        <v>466</v>
      </c>
      <c r="C65">
        <v>20.9</v>
      </c>
    </row>
    <row r="66" spans="1:6" x14ac:dyDescent="0.35">
      <c r="A66" t="s">
        <v>513</v>
      </c>
      <c r="B66" t="s">
        <v>190</v>
      </c>
      <c r="C66">
        <v>37.57</v>
      </c>
    </row>
    <row r="67" spans="1:6" x14ac:dyDescent="0.35">
      <c r="A67" t="s">
        <v>514</v>
      </c>
      <c r="B67" t="s">
        <v>20</v>
      </c>
      <c r="C67">
        <v>151.66</v>
      </c>
    </row>
    <row r="68" spans="1:6" x14ac:dyDescent="0.35">
      <c r="A68" t="s">
        <v>421</v>
      </c>
      <c r="B68" t="s">
        <v>572</v>
      </c>
      <c r="C68">
        <v>139.76</v>
      </c>
    </row>
    <row r="69" spans="1:6" x14ac:dyDescent="0.35">
      <c r="A69" t="s">
        <v>515</v>
      </c>
      <c r="B69" t="s">
        <v>516</v>
      </c>
      <c r="C69">
        <v>23.35</v>
      </c>
    </row>
    <row r="70" spans="1:6" x14ac:dyDescent="0.35">
      <c r="A70" t="s">
        <v>535</v>
      </c>
      <c r="B70" t="s">
        <v>59</v>
      </c>
      <c r="C70">
        <v>496.59</v>
      </c>
    </row>
    <row r="71" spans="1:6" x14ac:dyDescent="0.35">
      <c r="A71" t="s">
        <v>542</v>
      </c>
      <c r="B71" t="s">
        <v>573</v>
      </c>
      <c r="C71">
        <v>72.260000000000005</v>
      </c>
    </row>
    <row r="72" spans="1:6" x14ac:dyDescent="0.35">
      <c r="A72" t="s">
        <v>517</v>
      </c>
      <c r="B72" t="s">
        <v>20</v>
      </c>
      <c r="C72">
        <v>148.16</v>
      </c>
    </row>
    <row r="73" spans="1:6" x14ac:dyDescent="0.35">
      <c r="A73" t="s">
        <v>518</v>
      </c>
      <c r="B73" t="s">
        <v>190</v>
      </c>
      <c r="C73">
        <v>70.62</v>
      </c>
    </row>
    <row r="74" spans="1:6" x14ac:dyDescent="0.35">
      <c r="C74">
        <v>0</v>
      </c>
      <c r="D74">
        <f>SUM(C62:C73)</f>
        <v>1216.0900000000001</v>
      </c>
      <c r="E74">
        <f>SUM(C2:C73)</f>
        <v>6258.5700000000006</v>
      </c>
      <c r="F74" t="s">
        <v>503</v>
      </c>
    </row>
    <row r="75" spans="1:6" x14ac:dyDescent="0.35">
      <c r="A75" t="s">
        <v>622</v>
      </c>
      <c r="B75" t="s">
        <v>190</v>
      </c>
      <c r="C75">
        <v>123.3</v>
      </c>
    </row>
    <row r="76" spans="1:6" x14ac:dyDescent="0.35">
      <c r="A76" t="s">
        <v>506</v>
      </c>
      <c r="B76" t="s">
        <v>22</v>
      </c>
      <c r="C76">
        <v>46.65</v>
      </c>
    </row>
    <row r="77" spans="1:6" x14ac:dyDescent="0.35">
      <c r="A77" t="s">
        <v>606</v>
      </c>
      <c r="B77" t="s">
        <v>659</v>
      </c>
      <c r="C77">
        <v>165.27</v>
      </c>
    </row>
    <row r="78" spans="1:6" x14ac:dyDescent="0.35">
      <c r="A78" t="s">
        <v>623</v>
      </c>
      <c r="B78" t="s">
        <v>18</v>
      </c>
      <c r="C78">
        <v>23.13</v>
      </c>
    </row>
    <row r="79" spans="1:6" x14ac:dyDescent="0.35">
      <c r="A79" t="s">
        <v>624</v>
      </c>
      <c r="B79" t="s">
        <v>20</v>
      </c>
      <c r="C79">
        <v>125.22</v>
      </c>
    </row>
    <row r="80" spans="1:6" x14ac:dyDescent="0.35">
      <c r="A80" t="s">
        <v>508</v>
      </c>
      <c r="B80" t="s">
        <v>660</v>
      </c>
      <c r="C80">
        <v>48.46</v>
      </c>
    </row>
    <row r="81" spans="1:6" x14ac:dyDescent="0.35">
      <c r="A81" t="s">
        <v>625</v>
      </c>
      <c r="B81" t="s">
        <v>626</v>
      </c>
      <c r="C81">
        <v>86.93</v>
      </c>
    </row>
    <row r="82" spans="1:6" x14ac:dyDescent="0.35">
      <c r="A82" t="s">
        <v>646</v>
      </c>
      <c r="B82" t="s">
        <v>59</v>
      </c>
      <c r="C82">
        <v>578.66999999999996</v>
      </c>
    </row>
    <row r="83" spans="1:6" x14ac:dyDescent="0.35">
      <c r="A83" t="s">
        <v>627</v>
      </c>
      <c r="B83" t="s">
        <v>20</v>
      </c>
      <c r="C83">
        <v>45.1</v>
      </c>
    </row>
    <row r="84" spans="1:6" x14ac:dyDescent="0.35">
      <c r="A84" t="s">
        <v>627</v>
      </c>
      <c r="B84" t="s">
        <v>190</v>
      </c>
      <c r="C84">
        <v>56.43</v>
      </c>
    </row>
    <row r="85" spans="1:6" x14ac:dyDescent="0.35">
      <c r="C85">
        <v>0</v>
      </c>
      <c r="D85">
        <f>SUM(C75:C84)</f>
        <v>1299.1600000000001</v>
      </c>
      <c r="E85">
        <f>SUM(C2:C84)</f>
        <v>7557.7300000000023</v>
      </c>
      <c r="F85" t="s">
        <v>614</v>
      </c>
    </row>
    <row r="86" spans="1:6" x14ac:dyDescent="0.35">
      <c r="A86" t="s">
        <v>628</v>
      </c>
      <c r="B86" t="s">
        <v>18</v>
      </c>
      <c r="C86">
        <v>7.71</v>
      </c>
    </row>
    <row r="87" spans="1:6" x14ac:dyDescent="0.35">
      <c r="A87" t="s">
        <v>628</v>
      </c>
      <c r="B87" t="s">
        <v>18</v>
      </c>
      <c r="C87">
        <v>4.68</v>
      </c>
    </row>
    <row r="88" spans="1:6" x14ac:dyDescent="0.35">
      <c r="A88" t="s">
        <v>629</v>
      </c>
      <c r="B88" t="s">
        <v>20</v>
      </c>
      <c r="C88">
        <v>167.04</v>
      </c>
    </row>
    <row r="89" spans="1:6" x14ac:dyDescent="0.35">
      <c r="A89" t="s">
        <v>630</v>
      </c>
      <c r="B89" t="s">
        <v>95</v>
      </c>
      <c r="C89">
        <v>12.65</v>
      </c>
    </row>
    <row r="90" spans="1:6" x14ac:dyDescent="0.35">
      <c r="A90" t="s">
        <v>632</v>
      </c>
      <c r="B90" t="s">
        <v>661</v>
      </c>
      <c r="C90">
        <v>62.81</v>
      </c>
    </row>
    <row r="91" spans="1:6" x14ac:dyDescent="0.35">
      <c r="A91" t="s">
        <v>708</v>
      </c>
      <c r="B91" t="s">
        <v>20</v>
      </c>
      <c r="C91">
        <v>117.76</v>
      </c>
    </row>
    <row r="92" spans="1:6" x14ac:dyDescent="0.35">
      <c r="A92" t="s">
        <v>684</v>
      </c>
      <c r="B92" t="s">
        <v>190</v>
      </c>
      <c r="C92">
        <v>101.18</v>
      </c>
    </row>
    <row r="93" spans="1:6" x14ac:dyDescent="0.35">
      <c r="A93" t="s">
        <v>709</v>
      </c>
      <c r="B93" t="s">
        <v>95</v>
      </c>
      <c r="C93">
        <v>2.56</v>
      </c>
    </row>
    <row r="94" spans="1:6" x14ac:dyDescent="0.35">
      <c r="A94" t="s">
        <v>744</v>
      </c>
      <c r="B94" t="s">
        <v>752</v>
      </c>
      <c r="C94">
        <v>152.03</v>
      </c>
    </row>
    <row r="95" spans="1:6" x14ac:dyDescent="0.35">
      <c r="A95" t="s">
        <v>710</v>
      </c>
      <c r="B95" t="s">
        <v>95</v>
      </c>
      <c r="C95">
        <v>23.09</v>
      </c>
    </row>
    <row r="96" spans="1:6" x14ac:dyDescent="0.35">
      <c r="A96" t="s">
        <v>711</v>
      </c>
      <c r="B96" t="s">
        <v>20</v>
      </c>
      <c r="C96">
        <v>47.32</v>
      </c>
    </row>
    <row r="97" spans="1:6" x14ac:dyDescent="0.35">
      <c r="A97" t="s">
        <v>704</v>
      </c>
      <c r="B97" t="s">
        <v>753</v>
      </c>
      <c r="C97">
        <v>-42.98</v>
      </c>
    </row>
    <row r="98" spans="1:6" x14ac:dyDescent="0.35">
      <c r="A98" t="s">
        <v>704</v>
      </c>
      <c r="B98" t="s">
        <v>712</v>
      </c>
      <c r="C98">
        <v>70.33</v>
      </c>
    </row>
    <row r="99" spans="1:6" x14ac:dyDescent="0.35">
      <c r="A99" t="s">
        <v>713</v>
      </c>
      <c r="B99" t="s">
        <v>190</v>
      </c>
      <c r="C99">
        <v>72.73</v>
      </c>
    </row>
    <row r="100" spans="1:6" x14ac:dyDescent="0.35">
      <c r="A100" t="s">
        <v>713</v>
      </c>
      <c r="B100" t="s">
        <v>59</v>
      </c>
      <c r="C100">
        <v>751.05</v>
      </c>
    </row>
    <row r="101" spans="1:6" x14ac:dyDescent="0.35">
      <c r="A101" t="s">
        <v>714</v>
      </c>
      <c r="B101" t="s">
        <v>20</v>
      </c>
      <c r="C101">
        <v>29.48</v>
      </c>
    </row>
    <row r="102" spans="1:6" x14ac:dyDescent="0.35">
      <c r="A102" t="s">
        <v>715</v>
      </c>
      <c r="B102" t="s">
        <v>95</v>
      </c>
      <c r="C102">
        <v>19.61</v>
      </c>
    </row>
    <row r="103" spans="1:6" x14ac:dyDescent="0.35">
      <c r="A103" t="s">
        <v>715</v>
      </c>
      <c r="B103" t="s">
        <v>754</v>
      </c>
      <c r="C103">
        <v>92.94</v>
      </c>
    </row>
    <row r="104" spans="1:6" x14ac:dyDescent="0.35">
      <c r="A104" t="s">
        <v>716</v>
      </c>
      <c r="B104" t="s">
        <v>20</v>
      </c>
      <c r="C104">
        <v>199.25</v>
      </c>
    </row>
    <row r="105" spans="1:6" x14ac:dyDescent="0.35">
      <c r="C105">
        <v>0</v>
      </c>
      <c r="D105">
        <f>SUM(C86:C104)</f>
        <v>1891.24</v>
      </c>
      <c r="E105">
        <f>SUM(C2:C104)</f>
        <v>9448.970000000003</v>
      </c>
      <c r="F105" t="s">
        <v>699</v>
      </c>
    </row>
    <row r="106" spans="1:6" x14ac:dyDescent="0.35">
      <c r="A106" t="s">
        <v>717</v>
      </c>
      <c r="B106" t="s">
        <v>718</v>
      </c>
      <c r="C106">
        <v>19.399999999999999</v>
      </c>
    </row>
    <row r="107" spans="1:6" x14ac:dyDescent="0.35">
      <c r="A107" t="s">
        <v>717</v>
      </c>
      <c r="B107" t="s">
        <v>95</v>
      </c>
      <c r="C107">
        <v>41.5</v>
      </c>
    </row>
    <row r="108" spans="1:6" x14ac:dyDescent="0.35">
      <c r="A108" t="s">
        <v>717</v>
      </c>
      <c r="B108" t="s">
        <v>755</v>
      </c>
      <c r="C108">
        <v>98.4</v>
      </c>
    </row>
    <row r="109" spans="1:6" x14ac:dyDescent="0.35">
      <c r="A109" t="s">
        <v>781</v>
      </c>
      <c r="B109" t="s">
        <v>95</v>
      </c>
      <c r="C109">
        <v>6.97</v>
      </c>
    </row>
    <row r="110" spans="1:6" x14ac:dyDescent="0.35">
      <c r="A110" t="s">
        <v>808</v>
      </c>
      <c r="B110" t="s">
        <v>18</v>
      </c>
      <c r="C110">
        <v>50.11</v>
      </c>
    </row>
    <row r="111" spans="1:6" x14ac:dyDescent="0.35">
      <c r="A111" t="s">
        <v>808</v>
      </c>
      <c r="B111" t="s">
        <v>18</v>
      </c>
      <c r="C111">
        <v>62.15</v>
      </c>
    </row>
    <row r="112" spans="1:6" x14ac:dyDescent="0.35">
      <c r="A112" t="s">
        <v>809</v>
      </c>
      <c r="B112" t="s">
        <v>95</v>
      </c>
      <c r="C112">
        <v>15.49</v>
      </c>
    </row>
    <row r="113" spans="1:3" x14ac:dyDescent="0.35">
      <c r="A113" t="s">
        <v>810</v>
      </c>
      <c r="B113" t="s">
        <v>190</v>
      </c>
      <c r="C113">
        <v>93.82</v>
      </c>
    </row>
    <row r="114" spans="1:3" x14ac:dyDescent="0.35">
      <c r="A114" t="s">
        <v>810</v>
      </c>
      <c r="B114" t="s">
        <v>190</v>
      </c>
      <c r="C114">
        <v>8.24</v>
      </c>
    </row>
    <row r="115" spans="1:3" x14ac:dyDescent="0.35">
      <c r="A115" t="s">
        <v>702</v>
      </c>
      <c r="B115" t="s">
        <v>849</v>
      </c>
      <c r="C115">
        <v>58.84</v>
      </c>
    </row>
    <row r="116" spans="1:3" x14ac:dyDescent="0.35">
      <c r="A116" t="s">
        <v>811</v>
      </c>
      <c r="B116" t="s">
        <v>626</v>
      </c>
      <c r="C116">
        <v>56.92</v>
      </c>
    </row>
    <row r="117" spans="1:3" x14ac:dyDescent="0.35">
      <c r="A117" t="s">
        <v>812</v>
      </c>
      <c r="B117" t="s">
        <v>18</v>
      </c>
      <c r="C117">
        <v>96.4</v>
      </c>
    </row>
    <row r="118" spans="1:3" x14ac:dyDescent="0.35">
      <c r="A118" t="s">
        <v>813</v>
      </c>
      <c r="B118" t="s">
        <v>18</v>
      </c>
      <c r="C118">
        <v>-44.08</v>
      </c>
    </row>
    <row r="119" spans="1:3" x14ac:dyDescent="0.35">
      <c r="A119" t="s">
        <v>814</v>
      </c>
      <c r="B119" t="s">
        <v>850</v>
      </c>
      <c r="C119">
        <v>162.51</v>
      </c>
    </row>
    <row r="120" spans="1:3" x14ac:dyDescent="0.35">
      <c r="A120" t="s">
        <v>814</v>
      </c>
      <c r="B120" t="s">
        <v>95</v>
      </c>
      <c r="C120">
        <v>36.840000000000003</v>
      </c>
    </row>
    <row r="121" spans="1:3" x14ac:dyDescent="0.35">
      <c r="A121" t="s">
        <v>815</v>
      </c>
      <c r="B121" t="s">
        <v>816</v>
      </c>
      <c r="C121">
        <v>55.39</v>
      </c>
    </row>
    <row r="122" spans="1:3" x14ac:dyDescent="0.35">
      <c r="A122" t="s">
        <v>815</v>
      </c>
      <c r="B122" t="s">
        <v>20</v>
      </c>
      <c r="C122">
        <v>114.84</v>
      </c>
    </row>
    <row r="123" spans="1:3" x14ac:dyDescent="0.35">
      <c r="A123" t="s">
        <v>794</v>
      </c>
      <c r="B123" t="s">
        <v>95</v>
      </c>
      <c r="C123">
        <v>22.47</v>
      </c>
    </row>
    <row r="124" spans="1:3" x14ac:dyDescent="0.35">
      <c r="A124" t="s">
        <v>794</v>
      </c>
      <c r="B124" t="s">
        <v>18</v>
      </c>
      <c r="C124">
        <v>14.94</v>
      </c>
    </row>
    <row r="125" spans="1:3" x14ac:dyDescent="0.35">
      <c r="A125" t="s">
        <v>794</v>
      </c>
      <c r="B125" t="s">
        <v>18</v>
      </c>
      <c r="C125">
        <v>5.34</v>
      </c>
    </row>
    <row r="126" spans="1:3" x14ac:dyDescent="0.35">
      <c r="A126" t="s">
        <v>832</v>
      </c>
      <c r="B126" t="s">
        <v>59</v>
      </c>
      <c r="C126">
        <v>350</v>
      </c>
    </row>
    <row r="127" spans="1:3" x14ac:dyDescent="0.35">
      <c r="A127" t="s">
        <v>817</v>
      </c>
      <c r="B127" t="s">
        <v>190</v>
      </c>
      <c r="C127">
        <v>99.85</v>
      </c>
    </row>
    <row r="128" spans="1:3" x14ac:dyDescent="0.35">
      <c r="A128" t="s">
        <v>817</v>
      </c>
      <c r="B128" t="s">
        <v>20</v>
      </c>
      <c r="C128">
        <v>93.18</v>
      </c>
    </row>
    <row r="129" spans="1:6" x14ac:dyDescent="0.35">
      <c r="A129" t="s">
        <v>818</v>
      </c>
      <c r="B129" t="s">
        <v>851</v>
      </c>
      <c r="C129">
        <v>53.28</v>
      </c>
    </row>
    <row r="130" spans="1:6" x14ac:dyDescent="0.35">
      <c r="C130">
        <v>0</v>
      </c>
      <c r="D130">
        <f>SUM(C106:C129)</f>
        <v>1572.8000000000002</v>
      </c>
      <c r="E130">
        <f>SUM(C2:C129)</f>
        <v>11021.770000000002</v>
      </c>
      <c r="F130" t="s">
        <v>796</v>
      </c>
    </row>
    <row r="131" spans="1:6" x14ac:dyDescent="0.35">
      <c r="A131" t="s">
        <v>888</v>
      </c>
      <c r="B131" t="s">
        <v>889</v>
      </c>
      <c r="C131">
        <v>6.11</v>
      </c>
    </row>
    <row r="132" spans="1:6" x14ac:dyDescent="0.35">
      <c r="A132" t="s">
        <v>888</v>
      </c>
      <c r="B132" t="s">
        <v>927</v>
      </c>
      <c r="C132">
        <v>61.96</v>
      </c>
    </row>
    <row r="133" spans="1:6" x14ac:dyDescent="0.35">
      <c r="A133" t="s">
        <v>890</v>
      </c>
      <c r="B133" t="s">
        <v>95</v>
      </c>
      <c r="C133">
        <v>26.52</v>
      </c>
    </row>
    <row r="134" spans="1:6" x14ac:dyDescent="0.35">
      <c r="A134" t="s">
        <v>923</v>
      </c>
      <c r="B134" t="s">
        <v>928</v>
      </c>
      <c r="C134">
        <v>103.4</v>
      </c>
    </row>
    <row r="135" spans="1:6" x14ac:dyDescent="0.35">
      <c r="A135" t="s">
        <v>891</v>
      </c>
      <c r="B135" t="s">
        <v>20</v>
      </c>
      <c r="C135">
        <v>168.43</v>
      </c>
    </row>
    <row r="136" spans="1:6" x14ac:dyDescent="0.35">
      <c r="A136" t="s">
        <v>892</v>
      </c>
      <c r="B136" t="s">
        <v>929</v>
      </c>
      <c r="C136">
        <v>105.92</v>
      </c>
    </row>
    <row r="137" spans="1:6" x14ac:dyDescent="0.35">
      <c r="A137" t="s">
        <v>892</v>
      </c>
      <c r="B137" t="s">
        <v>95</v>
      </c>
      <c r="C137">
        <v>10.01</v>
      </c>
    </row>
    <row r="138" spans="1:6" x14ac:dyDescent="0.35">
      <c r="A138" t="s">
        <v>939</v>
      </c>
      <c r="B138" t="s">
        <v>59</v>
      </c>
      <c r="C138">
        <v>632.95000000000005</v>
      </c>
    </row>
    <row r="139" spans="1:6" x14ac:dyDescent="0.35">
      <c r="A139" t="s">
        <v>893</v>
      </c>
      <c r="B139" t="s">
        <v>95</v>
      </c>
      <c r="C139">
        <v>10.81</v>
      </c>
    </row>
    <row r="140" spans="1:6" x14ac:dyDescent="0.35">
      <c r="A140" t="s">
        <v>894</v>
      </c>
      <c r="B140" t="s">
        <v>889</v>
      </c>
      <c r="C140">
        <v>12.23</v>
      </c>
    </row>
    <row r="141" spans="1:6" x14ac:dyDescent="0.35">
      <c r="A141" t="s">
        <v>894</v>
      </c>
      <c r="B141" t="s">
        <v>930</v>
      </c>
      <c r="C141">
        <v>36.869999999999997</v>
      </c>
    </row>
    <row r="142" spans="1:6" x14ac:dyDescent="0.35">
      <c r="C142">
        <v>0</v>
      </c>
      <c r="D142">
        <f>SUM(C131:C141)</f>
        <v>1175.21</v>
      </c>
      <c r="E142">
        <f>SUM(C2:C141)</f>
        <v>12196.980000000003</v>
      </c>
      <c r="F142" t="s">
        <v>885</v>
      </c>
    </row>
    <row r="143" spans="1:6" x14ac:dyDescent="0.35">
      <c r="A143" t="s">
        <v>895</v>
      </c>
      <c r="B143" t="s">
        <v>18</v>
      </c>
      <c r="C143">
        <v>9.92</v>
      </c>
    </row>
    <row r="144" spans="1:6" x14ac:dyDescent="0.35">
      <c r="A144" t="s">
        <v>895</v>
      </c>
      <c r="B144" t="s">
        <v>18</v>
      </c>
      <c r="C144">
        <v>17.61</v>
      </c>
    </row>
    <row r="145" spans="1:3" x14ac:dyDescent="0.35">
      <c r="A145" t="s">
        <v>895</v>
      </c>
      <c r="B145" t="s">
        <v>95</v>
      </c>
      <c r="C145">
        <v>8.44</v>
      </c>
    </row>
    <row r="146" spans="1:3" x14ac:dyDescent="0.35">
      <c r="A146" t="s">
        <v>895</v>
      </c>
      <c r="B146" t="s">
        <v>931</v>
      </c>
      <c r="C146">
        <v>48.67</v>
      </c>
    </row>
    <row r="147" spans="1:3" x14ac:dyDescent="0.35">
      <c r="A147" t="s">
        <v>976</v>
      </c>
      <c r="B147" t="s">
        <v>626</v>
      </c>
      <c r="C147">
        <v>57.53</v>
      </c>
    </row>
    <row r="148" spans="1:3" x14ac:dyDescent="0.35">
      <c r="A148" t="s">
        <v>977</v>
      </c>
      <c r="B148" t="s">
        <v>20</v>
      </c>
      <c r="C148">
        <v>168.69</v>
      </c>
    </row>
    <row r="149" spans="1:3" x14ac:dyDescent="0.35">
      <c r="A149" t="s">
        <v>990</v>
      </c>
      <c r="B149" t="s">
        <v>1021</v>
      </c>
      <c r="C149">
        <v>69.59</v>
      </c>
    </row>
    <row r="150" spans="1:3" x14ac:dyDescent="0.35">
      <c r="A150" t="s">
        <v>886</v>
      </c>
      <c r="B150" t="s">
        <v>1022</v>
      </c>
      <c r="C150">
        <v>-33.06</v>
      </c>
    </row>
    <row r="151" spans="1:3" x14ac:dyDescent="0.35">
      <c r="A151" t="s">
        <v>886</v>
      </c>
      <c r="B151" t="s">
        <v>1022</v>
      </c>
      <c r="C151">
        <v>14.3</v>
      </c>
    </row>
    <row r="152" spans="1:3" x14ac:dyDescent="0.35">
      <c r="A152" t="s">
        <v>978</v>
      </c>
      <c r="B152" t="s">
        <v>18</v>
      </c>
      <c r="C152">
        <v>363.11</v>
      </c>
    </row>
    <row r="153" spans="1:3" x14ac:dyDescent="0.35">
      <c r="A153" t="s">
        <v>979</v>
      </c>
      <c r="B153" t="s">
        <v>18</v>
      </c>
      <c r="C153">
        <v>-132.29</v>
      </c>
    </row>
    <row r="154" spans="1:3" x14ac:dyDescent="0.35">
      <c r="A154" t="s">
        <v>980</v>
      </c>
      <c r="B154" t="s">
        <v>1023</v>
      </c>
      <c r="C154">
        <v>55.43</v>
      </c>
    </row>
    <row r="155" spans="1:3" x14ac:dyDescent="0.35">
      <c r="A155" t="s">
        <v>980</v>
      </c>
      <c r="B155" t="s">
        <v>18</v>
      </c>
      <c r="C155">
        <v>-44.1</v>
      </c>
    </row>
    <row r="156" spans="1:3" x14ac:dyDescent="0.35">
      <c r="A156" t="s">
        <v>1013</v>
      </c>
      <c r="B156" t="s">
        <v>1024</v>
      </c>
      <c r="C156">
        <v>100.74</v>
      </c>
    </row>
    <row r="157" spans="1:3" x14ac:dyDescent="0.35">
      <c r="A157" t="s">
        <v>981</v>
      </c>
      <c r="B157" t="s">
        <v>626</v>
      </c>
      <c r="C157">
        <v>54.12</v>
      </c>
    </row>
    <row r="158" spans="1:3" x14ac:dyDescent="0.35">
      <c r="A158" t="s">
        <v>1020</v>
      </c>
      <c r="B158" t="s">
        <v>1025</v>
      </c>
      <c r="C158">
        <v>42.88</v>
      </c>
    </row>
    <row r="159" spans="1:3" x14ac:dyDescent="0.35">
      <c r="A159" t="s">
        <v>982</v>
      </c>
      <c r="B159" t="s">
        <v>95</v>
      </c>
      <c r="C159">
        <v>9.82</v>
      </c>
    </row>
    <row r="160" spans="1:3" x14ac:dyDescent="0.35">
      <c r="A160" t="s">
        <v>983</v>
      </c>
      <c r="B160" t="s">
        <v>20</v>
      </c>
      <c r="C160">
        <v>181.94</v>
      </c>
    </row>
    <row r="161" spans="1:6" x14ac:dyDescent="0.35">
      <c r="C161">
        <v>0</v>
      </c>
      <c r="D161">
        <f>SUM(C143:C160)</f>
        <v>993.34000000000015</v>
      </c>
      <c r="E161">
        <f>SUM(C2:C160)</f>
        <v>13190.320000000005</v>
      </c>
      <c r="F161" t="s">
        <v>965</v>
      </c>
    </row>
    <row r="162" spans="1:6" x14ac:dyDescent="0.35">
      <c r="A162" t="s">
        <v>966</v>
      </c>
      <c r="B162" t="s">
        <v>1032</v>
      </c>
      <c r="C162">
        <v>485.21</v>
      </c>
    </row>
    <row r="163" spans="1:6" x14ac:dyDescent="0.35">
      <c r="A163" t="s">
        <v>1078</v>
      </c>
      <c r="B163" t="s">
        <v>1089</v>
      </c>
      <c r="C163">
        <v>28.61</v>
      </c>
    </row>
    <row r="164" spans="1:6" x14ac:dyDescent="0.35">
      <c r="A164" t="s">
        <v>1064</v>
      </c>
      <c r="B164" t="s">
        <v>1090</v>
      </c>
      <c r="C164">
        <v>44.82</v>
      </c>
    </row>
    <row r="165" spans="1:6" x14ac:dyDescent="0.35">
      <c r="A165" t="s">
        <v>968</v>
      </c>
      <c r="B165" t="s">
        <v>626</v>
      </c>
      <c r="C165">
        <v>120.17</v>
      </c>
    </row>
    <row r="166" spans="1:6" x14ac:dyDescent="0.35">
      <c r="A166" t="s">
        <v>1075</v>
      </c>
      <c r="B166" t="s">
        <v>20</v>
      </c>
      <c r="C166">
        <v>112.27</v>
      </c>
    </row>
    <row r="167" spans="1:6" x14ac:dyDescent="0.35">
      <c r="A167" t="s">
        <v>1076</v>
      </c>
      <c r="B167" t="s">
        <v>1091</v>
      </c>
      <c r="C167">
        <v>40.869999999999997</v>
      </c>
    </row>
    <row r="168" spans="1:6" x14ac:dyDescent="0.35">
      <c r="C168">
        <v>0</v>
      </c>
      <c r="E168">
        <f>SUM(C2:C167)</f>
        <v>14022.270000000006</v>
      </c>
      <c r="F168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7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24</v>
      </c>
      <c r="B2" t="s">
        <v>25</v>
      </c>
      <c r="C2">
        <v>136.68</v>
      </c>
    </row>
    <row r="3" spans="1:6" x14ac:dyDescent="0.35">
      <c r="A3" t="s">
        <v>26</v>
      </c>
      <c r="B3" t="s">
        <v>27</v>
      </c>
      <c r="C3">
        <v>8.8699999999999992</v>
      </c>
    </row>
    <row r="4" spans="1:6" x14ac:dyDescent="0.35">
      <c r="A4" t="s">
        <v>26</v>
      </c>
      <c r="B4" t="s">
        <v>28</v>
      </c>
      <c r="C4">
        <v>1.97</v>
      </c>
    </row>
    <row r="5" spans="1:6" x14ac:dyDescent="0.35">
      <c r="A5" t="s">
        <v>26</v>
      </c>
      <c r="B5" t="s">
        <v>54</v>
      </c>
      <c r="C5">
        <v>24.97</v>
      </c>
    </row>
    <row r="6" spans="1:6" x14ac:dyDescent="0.35">
      <c r="A6" t="s">
        <v>29</v>
      </c>
      <c r="B6" t="s">
        <v>27</v>
      </c>
      <c r="C6">
        <v>9.6199999999999992</v>
      </c>
    </row>
    <row r="7" spans="1:6" x14ac:dyDescent="0.35">
      <c r="A7" t="s">
        <v>30</v>
      </c>
      <c r="B7" t="s">
        <v>27</v>
      </c>
      <c r="C7">
        <v>7.8</v>
      </c>
    </row>
    <row r="8" spans="1:6" x14ac:dyDescent="0.35">
      <c r="A8" t="s">
        <v>38</v>
      </c>
      <c r="B8" t="s">
        <v>55</v>
      </c>
      <c r="C8">
        <v>8.6999999999999993</v>
      </c>
    </row>
    <row r="9" spans="1:6" x14ac:dyDescent="0.35">
      <c r="C9">
        <v>0</v>
      </c>
      <c r="D9">
        <f>SUM(C2:C8)</f>
        <v>198.61</v>
      </c>
      <c r="E9">
        <f>SUM(C2:C8)</f>
        <v>198.61</v>
      </c>
      <c r="F9" t="s">
        <v>6</v>
      </c>
    </row>
    <row r="10" spans="1:6" x14ac:dyDescent="0.35">
      <c r="A10" t="s">
        <v>99</v>
      </c>
      <c r="B10" t="s">
        <v>100</v>
      </c>
      <c r="C10">
        <v>27.75</v>
      </c>
    </row>
    <row r="11" spans="1:6" x14ac:dyDescent="0.35">
      <c r="A11" t="s">
        <v>157</v>
      </c>
      <c r="B11" t="s">
        <v>168</v>
      </c>
      <c r="C11">
        <v>20.2</v>
      </c>
    </row>
    <row r="12" spans="1:6" x14ac:dyDescent="0.35">
      <c r="A12" t="s">
        <v>121</v>
      </c>
      <c r="B12" t="s">
        <v>140</v>
      </c>
      <c r="C12">
        <v>42.13</v>
      </c>
    </row>
    <row r="13" spans="1:6" x14ac:dyDescent="0.35">
      <c r="A13" t="s">
        <v>115</v>
      </c>
      <c r="B13" t="s">
        <v>141</v>
      </c>
      <c r="C13">
        <v>4</v>
      </c>
    </row>
    <row r="14" spans="1:6" x14ac:dyDescent="0.35">
      <c r="A14" t="s">
        <v>135</v>
      </c>
      <c r="B14" t="s">
        <v>142</v>
      </c>
      <c r="C14">
        <v>14.37</v>
      </c>
    </row>
    <row r="15" spans="1:6" x14ac:dyDescent="0.35">
      <c r="A15" t="s">
        <v>101</v>
      </c>
      <c r="B15" t="s">
        <v>102</v>
      </c>
      <c r="C15">
        <v>5.34</v>
      </c>
    </row>
    <row r="16" spans="1:6" x14ac:dyDescent="0.35">
      <c r="A16" t="s">
        <v>85</v>
      </c>
      <c r="B16" t="s">
        <v>103</v>
      </c>
      <c r="C16">
        <v>20.21</v>
      </c>
    </row>
    <row r="17" spans="1:6" x14ac:dyDescent="0.35">
      <c r="A17" t="s">
        <v>85</v>
      </c>
      <c r="B17" t="s">
        <v>104</v>
      </c>
      <c r="C17">
        <v>6.63</v>
      </c>
    </row>
    <row r="18" spans="1:6" x14ac:dyDescent="0.35">
      <c r="C18">
        <v>0</v>
      </c>
      <c r="D18">
        <f>SUM(C10:C17)</f>
        <v>140.63000000000002</v>
      </c>
      <c r="E18">
        <f>SUM(C2:C17)</f>
        <v>339.23999999999995</v>
      </c>
      <c r="F18" t="s">
        <v>89</v>
      </c>
    </row>
    <row r="19" spans="1:6" x14ac:dyDescent="0.35">
      <c r="A19" t="s">
        <v>105</v>
      </c>
      <c r="B19" t="s">
        <v>106</v>
      </c>
      <c r="C19">
        <v>18.75</v>
      </c>
    </row>
    <row r="20" spans="1:6" x14ac:dyDescent="0.35">
      <c r="A20" t="s">
        <v>105</v>
      </c>
      <c r="B20" t="s">
        <v>107</v>
      </c>
      <c r="C20">
        <v>4.37</v>
      </c>
    </row>
    <row r="21" spans="1:6" x14ac:dyDescent="0.35">
      <c r="A21" t="s">
        <v>105</v>
      </c>
      <c r="B21" t="s">
        <v>108</v>
      </c>
      <c r="C21">
        <v>23.39</v>
      </c>
    </row>
    <row r="22" spans="1:6" x14ac:dyDescent="0.35">
      <c r="A22" t="s">
        <v>105</v>
      </c>
      <c r="B22" t="s">
        <v>109</v>
      </c>
      <c r="C22">
        <v>18.75</v>
      </c>
    </row>
    <row r="23" spans="1:6" x14ac:dyDescent="0.35">
      <c r="A23" t="s">
        <v>184</v>
      </c>
      <c r="B23" t="s">
        <v>195</v>
      </c>
      <c r="C23">
        <v>5.55</v>
      </c>
    </row>
    <row r="24" spans="1:6" x14ac:dyDescent="0.35">
      <c r="C24">
        <v>0</v>
      </c>
      <c r="D24">
        <f>SUM(C19:C23)</f>
        <v>70.81</v>
      </c>
      <c r="E24">
        <f>SUM(C2:C23)</f>
        <v>410.04999999999995</v>
      </c>
      <c r="F24" t="s">
        <v>347</v>
      </c>
    </row>
    <row r="25" spans="1:6" x14ac:dyDescent="0.35">
      <c r="A25" t="s">
        <v>358</v>
      </c>
      <c r="B25" t="s">
        <v>100</v>
      </c>
      <c r="C25">
        <v>27.75</v>
      </c>
    </row>
    <row r="26" spans="1:6" x14ac:dyDescent="0.35">
      <c r="A26" t="s">
        <v>423</v>
      </c>
      <c r="B26" t="s">
        <v>100</v>
      </c>
      <c r="C26">
        <v>27.75</v>
      </c>
    </row>
    <row r="27" spans="1:6" x14ac:dyDescent="0.35">
      <c r="A27" t="s">
        <v>431</v>
      </c>
      <c r="B27" t="s">
        <v>168</v>
      </c>
      <c r="C27">
        <v>17</v>
      </c>
    </row>
    <row r="28" spans="1:6" x14ac:dyDescent="0.35">
      <c r="C28">
        <v>0</v>
      </c>
      <c r="D28">
        <f>SUM(C25:C27)</f>
        <v>72.5</v>
      </c>
      <c r="E28">
        <f>SUM(C2:C27)</f>
        <v>482.54999999999995</v>
      </c>
      <c r="F28" t="s">
        <v>420</v>
      </c>
    </row>
    <row r="29" spans="1:6" x14ac:dyDescent="0.35">
      <c r="A29" t="s">
        <v>429</v>
      </c>
      <c r="B29" t="s">
        <v>430</v>
      </c>
      <c r="C29">
        <v>222.18</v>
      </c>
    </row>
    <row r="30" spans="1:6" x14ac:dyDescent="0.35">
      <c r="C30">
        <v>0</v>
      </c>
      <c r="D30">
        <f>SUM(C29:C29)</f>
        <v>222.18</v>
      </c>
      <c r="E30">
        <f>SUM(C2:C29)</f>
        <v>704.73</v>
      </c>
      <c r="F30" t="s">
        <v>614</v>
      </c>
    </row>
    <row r="31" spans="1:6" x14ac:dyDescent="0.35">
      <c r="A31" t="s">
        <v>632</v>
      </c>
      <c r="B31" t="s">
        <v>633</v>
      </c>
      <c r="C31">
        <v>-2.25</v>
      </c>
    </row>
    <row r="32" spans="1:6" x14ac:dyDescent="0.35">
      <c r="A32" t="s">
        <v>632</v>
      </c>
      <c r="B32" t="s">
        <v>634</v>
      </c>
      <c r="C32">
        <v>13</v>
      </c>
    </row>
    <row r="33" spans="1:3" x14ac:dyDescent="0.35">
      <c r="A33" t="s">
        <v>632</v>
      </c>
      <c r="B33" t="s">
        <v>633</v>
      </c>
      <c r="C33">
        <v>2.25</v>
      </c>
    </row>
    <row r="34" spans="1:3" x14ac:dyDescent="0.35">
      <c r="A34" t="s">
        <v>632</v>
      </c>
      <c r="B34" t="s">
        <v>635</v>
      </c>
      <c r="C34">
        <v>124.94</v>
      </c>
    </row>
    <row r="35" spans="1:3" x14ac:dyDescent="0.35">
      <c r="A35" t="s">
        <v>632</v>
      </c>
      <c r="B35" t="s">
        <v>721</v>
      </c>
      <c r="C35">
        <v>4</v>
      </c>
    </row>
    <row r="36" spans="1:3" x14ac:dyDescent="0.35">
      <c r="A36" t="s">
        <v>632</v>
      </c>
      <c r="B36" t="s">
        <v>636</v>
      </c>
      <c r="C36">
        <v>1.85</v>
      </c>
    </row>
    <row r="37" spans="1:3" x14ac:dyDescent="0.35">
      <c r="A37" t="s">
        <v>668</v>
      </c>
      <c r="B37" t="s">
        <v>636</v>
      </c>
      <c r="C37">
        <v>1.75</v>
      </c>
    </row>
    <row r="38" spans="1:3" x14ac:dyDescent="0.35">
      <c r="A38" t="s">
        <v>668</v>
      </c>
      <c r="B38" t="s">
        <v>633</v>
      </c>
      <c r="C38">
        <v>1.35</v>
      </c>
    </row>
    <row r="39" spans="1:3" x14ac:dyDescent="0.35">
      <c r="A39" t="s">
        <v>668</v>
      </c>
      <c r="B39" t="s">
        <v>633</v>
      </c>
      <c r="C39">
        <v>1.35</v>
      </c>
    </row>
    <row r="40" spans="1:3" x14ac:dyDescent="0.35">
      <c r="A40" t="s">
        <v>668</v>
      </c>
      <c r="B40" t="s">
        <v>633</v>
      </c>
      <c r="C40">
        <v>1.75</v>
      </c>
    </row>
    <row r="41" spans="1:3" x14ac:dyDescent="0.35">
      <c r="A41" t="s">
        <v>668</v>
      </c>
      <c r="B41" t="s">
        <v>634</v>
      </c>
      <c r="C41">
        <v>13</v>
      </c>
    </row>
    <row r="42" spans="1:3" x14ac:dyDescent="0.35">
      <c r="A42" t="s">
        <v>668</v>
      </c>
      <c r="B42" t="s">
        <v>721</v>
      </c>
      <c r="C42">
        <v>5.71</v>
      </c>
    </row>
    <row r="43" spans="1:3" x14ac:dyDescent="0.35">
      <c r="A43" t="s">
        <v>708</v>
      </c>
      <c r="B43" t="s">
        <v>634</v>
      </c>
      <c r="C43">
        <v>13</v>
      </c>
    </row>
    <row r="44" spans="1:3" x14ac:dyDescent="0.35">
      <c r="A44" t="s">
        <v>708</v>
      </c>
      <c r="B44" t="s">
        <v>633</v>
      </c>
      <c r="C44">
        <v>1.35</v>
      </c>
    </row>
    <row r="45" spans="1:3" x14ac:dyDescent="0.35">
      <c r="A45" t="s">
        <v>708</v>
      </c>
      <c r="B45" t="s">
        <v>633</v>
      </c>
      <c r="C45">
        <v>1.35</v>
      </c>
    </row>
    <row r="46" spans="1:3" x14ac:dyDescent="0.35">
      <c r="A46" t="s">
        <v>708</v>
      </c>
      <c r="B46" t="s">
        <v>722</v>
      </c>
      <c r="C46">
        <v>5.04</v>
      </c>
    </row>
    <row r="47" spans="1:3" x14ac:dyDescent="0.35">
      <c r="A47" t="s">
        <v>708</v>
      </c>
      <c r="B47" t="s">
        <v>722</v>
      </c>
      <c r="C47">
        <v>1.75</v>
      </c>
    </row>
    <row r="48" spans="1:3" x14ac:dyDescent="0.35">
      <c r="A48" t="s">
        <v>723</v>
      </c>
      <c r="B48" t="s">
        <v>168</v>
      </c>
      <c r="C48">
        <v>16.55</v>
      </c>
    </row>
    <row r="49" spans="1:6" x14ac:dyDescent="0.35">
      <c r="A49" t="s">
        <v>794</v>
      </c>
      <c r="B49" t="s">
        <v>168</v>
      </c>
      <c r="C49">
        <v>16.8</v>
      </c>
    </row>
    <row r="50" spans="1:6" x14ac:dyDescent="0.35">
      <c r="A50" t="s">
        <v>832</v>
      </c>
      <c r="B50" t="s">
        <v>852</v>
      </c>
      <c r="C50">
        <v>365.88</v>
      </c>
    </row>
    <row r="51" spans="1:6" x14ac:dyDescent="0.35">
      <c r="A51" t="s">
        <v>819</v>
      </c>
      <c r="B51" t="s">
        <v>820</v>
      </c>
      <c r="C51">
        <v>83.44</v>
      </c>
    </row>
    <row r="52" spans="1:6" x14ac:dyDescent="0.35">
      <c r="A52" t="s">
        <v>819</v>
      </c>
      <c r="B52" t="s">
        <v>821</v>
      </c>
      <c r="C52">
        <v>10.49</v>
      </c>
    </row>
    <row r="53" spans="1:6" x14ac:dyDescent="0.35">
      <c r="A53" t="s">
        <v>822</v>
      </c>
      <c r="B53" t="s">
        <v>823</v>
      </c>
      <c r="C53">
        <v>11.34</v>
      </c>
    </row>
    <row r="54" spans="1:6" x14ac:dyDescent="0.35">
      <c r="A54" t="s">
        <v>822</v>
      </c>
      <c r="B54" t="s">
        <v>824</v>
      </c>
      <c r="C54">
        <v>34.18</v>
      </c>
    </row>
    <row r="55" spans="1:6" x14ac:dyDescent="0.35">
      <c r="A55" t="s">
        <v>822</v>
      </c>
      <c r="B55" t="s">
        <v>823</v>
      </c>
      <c r="C55">
        <v>3.01</v>
      </c>
    </row>
    <row r="56" spans="1:6" x14ac:dyDescent="0.35">
      <c r="A56" t="s">
        <v>822</v>
      </c>
      <c r="B56" t="s">
        <v>825</v>
      </c>
      <c r="C56">
        <v>57.96</v>
      </c>
    </row>
    <row r="57" spans="1:6" x14ac:dyDescent="0.35">
      <c r="C57">
        <v>0</v>
      </c>
      <c r="D57">
        <f>SUM(C31:C56)</f>
        <v>790.83999999999992</v>
      </c>
      <c r="E57">
        <f>SUM(C2:C56)</f>
        <v>1495.5700000000002</v>
      </c>
      <c r="F57" t="s">
        <v>796</v>
      </c>
    </row>
    <row r="58" spans="1:6" x14ac:dyDescent="0.35">
      <c r="A58" t="s">
        <v>848</v>
      </c>
      <c r="B58" t="s">
        <v>897</v>
      </c>
      <c r="C58">
        <v>449.24</v>
      </c>
    </row>
    <row r="59" spans="1:6" x14ac:dyDescent="0.35">
      <c r="A59" t="s">
        <v>888</v>
      </c>
      <c r="B59" t="s">
        <v>898</v>
      </c>
      <c r="C59">
        <v>155.69</v>
      </c>
    </row>
    <row r="60" spans="1:6" x14ac:dyDescent="0.35">
      <c r="A60" t="s">
        <v>888</v>
      </c>
      <c r="B60" t="s">
        <v>956</v>
      </c>
      <c r="C60">
        <v>1.56</v>
      </c>
    </row>
    <row r="61" spans="1:6" x14ac:dyDescent="0.35">
      <c r="A61" t="s">
        <v>888</v>
      </c>
      <c r="B61" t="s">
        <v>956</v>
      </c>
      <c r="C61">
        <v>10.199999999999999</v>
      </c>
    </row>
    <row r="62" spans="1:6" x14ac:dyDescent="0.35">
      <c r="A62" t="s">
        <v>899</v>
      </c>
      <c r="B62" t="s">
        <v>932</v>
      </c>
      <c r="C62">
        <v>46.28</v>
      </c>
    </row>
    <row r="63" spans="1:6" x14ac:dyDescent="0.35">
      <c r="A63" t="s">
        <v>899</v>
      </c>
      <c r="B63" t="s">
        <v>821</v>
      </c>
      <c r="C63">
        <v>8.39</v>
      </c>
    </row>
    <row r="64" spans="1:6" x14ac:dyDescent="0.35">
      <c r="A64" t="s">
        <v>873</v>
      </c>
      <c r="B64" t="s">
        <v>898</v>
      </c>
      <c r="C64">
        <v>-155.69</v>
      </c>
    </row>
    <row r="65" spans="1:6" x14ac:dyDescent="0.35">
      <c r="A65" t="s">
        <v>873</v>
      </c>
      <c r="B65" t="s">
        <v>933</v>
      </c>
      <c r="C65">
        <v>381.19</v>
      </c>
    </row>
    <row r="66" spans="1:6" x14ac:dyDescent="0.35">
      <c r="A66" t="s">
        <v>890</v>
      </c>
      <c r="B66" t="s">
        <v>168</v>
      </c>
      <c r="C66">
        <v>16.350000000000001</v>
      </c>
    </row>
    <row r="67" spans="1:6" x14ac:dyDescent="0.35">
      <c r="A67" t="s">
        <v>890</v>
      </c>
      <c r="B67" t="s">
        <v>897</v>
      </c>
      <c r="C67">
        <v>-200</v>
      </c>
    </row>
    <row r="68" spans="1:6" x14ac:dyDescent="0.35">
      <c r="A68" t="s">
        <v>896</v>
      </c>
      <c r="B68" t="s">
        <v>900</v>
      </c>
      <c r="C68">
        <v>5.37</v>
      </c>
    </row>
    <row r="69" spans="1:6" x14ac:dyDescent="0.35">
      <c r="A69" t="s">
        <v>883</v>
      </c>
      <c r="B69" t="s">
        <v>821</v>
      </c>
      <c r="C69">
        <v>9.4</v>
      </c>
    </row>
    <row r="70" spans="1:6" x14ac:dyDescent="0.35">
      <c r="A70" t="s">
        <v>883</v>
      </c>
      <c r="B70" t="s">
        <v>901</v>
      </c>
      <c r="C70">
        <v>8</v>
      </c>
    </row>
    <row r="71" spans="1:6" x14ac:dyDescent="0.35">
      <c r="C71">
        <v>0</v>
      </c>
      <c r="D71">
        <f>SUM(C58:C70)</f>
        <v>735.98000000000013</v>
      </c>
      <c r="E71">
        <f>SUM(C2:C70)</f>
        <v>2231.5499999999997</v>
      </c>
      <c r="F71" t="s">
        <v>885</v>
      </c>
    </row>
    <row r="72" spans="1:6" x14ac:dyDescent="0.35">
      <c r="A72" t="s">
        <v>902</v>
      </c>
      <c r="B72" t="s">
        <v>821</v>
      </c>
      <c r="C72">
        <v>11.44</v>
      </c>
    </row>
    <row r="73" spans="1:6" x14ac:dyDescent="0.35">
      <c r="A73" t="s">
        <v>984</v>
      </c>
      <c r="B73" t="s">
        <v>100</v>
      </c>
      <c r="C73">
        <v>27.75</v>
      </c>
    </row>
    <row r="74" spans="1:6" x14ac:dyDescent="0.35">
      <c r="C74">
        <v>0</v>
      </c>
      <c r="D74">
        <f>SUM(C72:C73)</f>
        <v>39.19</v>
      </c>
      <c r="E74">
        <f>SUM(C2:C73)</f>
        <v>2270.7399999999998</v>
      </c>
      <c r="F74" t="s">
        <v>965</v>
      </c>
    </row>
    <row r="75" spans="1:6" x14ac:dyDescent="0.35">
      <c r="A75" t="s">
        <v>1080</v>
      </c>
      <c r="B75" t="s">
        <v>168</v>
      </c>
      <c r="C75">
        <v>16.05</v>
      </c>
    </row>
    <row r="76" spans="1:6" x14ac:dyDescent="0.35">
      <c r="C76">
        <v>0</v>
      </c>
      <c r="E76">
        <f>SUM(C2:C75)</f>
        <v>2286.79</v>
      </c>
      <c r="F76" t="s">
        <v>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1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31</v>
      </c>
      <c r="B2" t="s">
        <v>32</v>
      </c>
      <c r="C2">
        <v>8.01</v>
      </c>
    </row>
    <row r="3" spans="1:6" x14ac:dyDescent="0.35">
      <c r="A3" t="s">
        <v>33</v>
      </c>
      <c r="B3" t="s">
        <v>32</v>
      </c>
      <c r="C3">
        <v>5.78</v>
      </c>
    </row>
    <row r="4" spans="1:6" x14ac:dyDescent="0.35">
      <c r="C4">
        <v>0</v>
      </c>
      <c r="D4">
        <f>SUM(C2:C3)</f>
        <v>13.79</v>
      </c>
      <c r="E4">
        <f>SUM(C2:C3)</f>
        <v>13.79</v>
      </c>
      <c r="F4" t="s">
        <v>6</v>
      </c>
    </row>
    <row r="5" spans="1:6" x14ac:dyDescent="0.35">
      <c r="A5" t="s">
        <v>19</v>
      </c>
      <c r="B5" t="s">
        <v>32</v>
      </c>
      <c r="C5">
        <v>3.35</v>
      </c>
    </row>
    <row r="6" spans="1:6" x14ac:dyDescent="0.35">
      <c r="A6" t="s">
        <v>19</v>
      </c>
      <c r="B6" t="s">
        <v>34</v>
      </c>
      <c r="C6">
        <v>3.32</v>
      </c>
    </row>
    <row r="7" spans="1:6" x14ac:dyDescent="0.35">
      <c r="A7" t="s">
        <v>19</v>
      </c>
      <c r="B7" t="s">
        <v>35</v>
      </c>
      <c r="C7">
        <v>3</v>
      </c>
    </row>
    <row r="8" spans="1:6" x14ac:dyDescent="0.35">
      <c r="A8" t="s">
        <v>19</v>
      </c>
      <c r="B8" t="s">
        <v>36</v>
      </c>
      <c r="C8">
        <v>88.61</v>
      </c>
    </row>
    <row r="9" spans="1:6" x14ac:dyDescent="0.35">
      <c r="A9" t="s">
        <v>21</v>
      </c>
      <c r="B9" t="s">
        <v>32</v>
      </c>
      <c r="C9">
        <v>2.23</v>
      </c>
    </row>
    <row r="10" spans="1:6" x14ac:dyDescent="0.35">
      <c r="A10" t="s">
        <v>99</v>
      </c>
      <c r="B10" t="s">
        <v>110</v>
      </c>
      <c r="C10">
        <v>16.7</v>
      </c>
    </row>
    <row r="11" spans="1:6" x14ac:dyDescent="0.35">
      <c r="A11" t="s">
        <v>81</v>
      </c>
      <c r="B11" t="s">
        <v>32</v>
      </c>
      <c r="C11">
        <v>8.01</v>
      </c>
    </row>
    <row r="12" spans="1:6" x14ac:dyDescent="0.35">
      <c r="A12" t="s">
        <v>111</v>
      </c>
      <c r="B12" t="s">
        <v>112</v>
      </c>
      <c r="C12">
        <v>49.62</v>
      </c>
    </row>
    <row r="13" spans="1:6" x14ac:dyDescent="0.35">
      <c r="A13" t="s">
        <v>111</v>
      </c>
      <c r="B13" t="s">
        <v>112</v>
      </c>
      <c r="C13">
        <v>3.97</v>
      </c>
    </row>
    <row r="14" spans="1:6" x14ac:dyDescent="0.35">
      <c r="A14" t="s">
        <v>7</v>
      </c>
      <c r="B14" t="s">
        <v>113</v>
      </c>
      <c r="C14">
        <v>8.18</v>
      </c>
    </row>
    <row r="15" spans="1:6" x14ac:dyDescent="0.35">
      <c r="A15" t="s">
        <v>7</v>
      </c>
      <c r="B15" t="s">
        <v>114</v>
      </c>
      <c r="C15">
        <v>199</v>
      </c>
    </row>
    <row r="16" spans="1:6" x14ac:dyDescent="0.35">
      <c r="A16" t="s">
        <v>7</v>
      </c>
      <c r="B16" t="s">
        <v>114</v>
      </c>
      <c r="C16">
        <v>129</v>
      </c>
    </row>
    <row r="17" spans="1:6" x14ac:dyDescent="0.35">
      <c r="A17" t="s">
        <v>96</v>
      </c>
      <c r="B17" t="s">
        <v>36</v>
      </c>
      <c r="C17">
        <v>105.72</v>
      </c>
    </row>
    <row r="18" spans="1:6" x14ac:dyDescent="0.35">
      <c r="A18" t="s">
        <v>115</v>
      </c>
      <c r="B18" t="s">
        <v>116</v>
      </c>
      <c r="C18">
        <v>19.190000000000001</v>
      </c>
    </row>
    <row r="19" spans="1:6" x14ac:dyDescent="0.35">
      <c r="C19">
        <v>0</v>
      </c>
      <c r="D19">
        <f>SUM(C5:C18)</f>
        <v>639.90000000000009</v>
      </c>
      <c r="E19">
        <f>SUM(C2:C18)</f>
        <v>653.69000000000005</v>
      </c>
      <c r="F19" t="s">
        <v>89</v>
      </c>
    </row>
    <row r="20" spans="1:6" x14ac:dyDescent="0.35">
      <c r="A20" t="s">
        <v>105</v>
      </c>
      <c r="B20" t="s">
        <v>117</v>
      </c>
      <c r="C20">
        <v>8.36</v>
      </c>
    </row>
    <row r="21" spans="1:6" x14ac:dyDescent="0.35">
      <c r="A21" t="s">
        <v>118</v>
      </c>
      <c r="B21" t="s">
        <v>116</v>
      </c>
      <c r="C21">
        <v>-6.6</v>
      </c>
    </row>
    <row r="22" spans="1:6" x14ac:dyDescent="0.35">
      <c r="A22" t="s">
        <v>118</v>
      </c>
      <c r="B22" t="s">
        <v>116</v>
      </c>
      <c r="C22">
        <v>15.76</v>
      </c>
    </row>
    <row r="23" spans="1:6" x14ac:dyDescent="0.35">
      <c r="A23" t="s">
        <v>90</v>
      </c>
      <c r="B23" t="s">
        <v>117</v>
      </c>
      <c r="C23">
        <v>3.32</v>
      </c>
    </row>
    <row r="24" spans="1:6" x14ac:dyDescent="0.35">
      <c r="A24" t="s">
        <v>204</v>
      </c>
      <c r="B24" t="s">
        <v>112</v>
      </c>
      <c r="C24">
        <v>41.15</v>
      </c>
    </row>
    <row r="25" spans="1:6" x14ac:dyDescent="0.35">
      <c r="A25" t="s">
        <v>184</v>
      </c>
      <c r="B25" t="s">
        <v>205</v>
      </c>
      <c r="C25">
        <v>33.28</v>
      </c>
    </row>
    <row r="26" spans="1:6" x14ac:dyDescent="0.35">
      <c r="A26" t="s">
        <v>184</v>
      </c>
      <c r="B26" t="s">
        <v>206</v>
      </c>
      <c r="C26">
        <v>4</v>
      </c>
    </row>
    <row r="27" spans="1:6" x14ac:dyDescent="0.35">
      <c r="A27" t="s">
        <v>173</v>
      </c>
      <c r="B27" t="s">
        <v>206</v>
      </c>
      <c r="C27">
        <v>4</v>
      </c>
    </row>
    <row r="28" spans="1:6" x14ac:dyDescent="0.35">
      <c r="A28" t="s">
        <v>208</v>
      </c>
      <c r="B28" t="s">
        <v>209</v>
      </c>
      <c r="C28">
        <v>72.819999999999993</v>
      </c>
    </row>
    <row r="29" spans="1:6" x14ac:dyDescent="0.35">
      <c r="A29" t="s">
        <v>189</v>
      </c>
      <c r="B29" t="s">
        <v>206</v>
      </c>
      <c r="C29">
        <v>-4</v>
      </c>
    </row>
    <row r="30" spans="1:6" x14ac:dyDescent="0.35">
      <c r="A30" t="s">
        <v>210</v>
      </c>
      <c r="B30" t="s">
        <v>117</v>
      </c>
      <c r="C30">
        <v>5.94</v>
      </c>
    </row>
    <row r="31" spans="1:6" x14ac:dyDescent="0.35">
      <c r="A31" t="s">
        <v>211</v>
      </c>
      <c r="B31" t="s">
        <v>117</v>
      </c>
      <c r="C31">
        <v>4.62</v>
      </c>
    </row>
    <row r="32" spans="1:6" x14ac:dyDescent="0.35">
      <c r="A32" t="s">
        <v>191</v>
      </c>
      <c r="B32" t="s">
        <v>212</v>
      </c>
      <c r="C32">
        <v>59.76</v>
      </c>
    </row>
    <row r="33" spans="1:6" x14ac:dyDescent="0.35">
      <c r="A33" t="s">
        <v>191</v>
      </c>
      <c r="B33" t="s">
        <v>212</v>
      </c>
      <c r="C33">
        <v>8.8000000000000007</v>
      </c>
    </row>
    <row r="34" spans="1:6" x14ac:dyDescent="0.35">
      <c r="C34">
        <v>0</v>
      </c>
      <c r="D34">
        <f>SUM(C20:C33)</f>
        <v>251.20999999999998</v>
      </c>
      <c r="E34">
        <f>SUM(C2:C33)</f>
        <v>904.9</v>
      </c>
      <c r="F34" t="s">
        <v>200</v>
      </c>
    </row>
    <row r="35" spans="1:6" x14ac:dyDescent="0.35">
      <c r="A35" t="s">
        <v>214</v>
      </c>
      <c r="B35" t="s">
        <v>215</v>
      </c>
      <c r="C35">
        <v>18.510000000000002</v>
      </c>
    </row>
    <row r="36" spans="1:6" x14ac:dyDescent="0.35">
      <c r="A36" t="s">
        <v>214</v>
      </c>
      <c r="B36" t="s">
        <v>216</v>
      </c>
      <c r="C36">
        <v>92.11</v>
      </c>
    </row>
    <row r="37" spans="1:6" x14ac:dyDescent="0.35">
      <c r="A37" t="s">
        <v>293</v>
      </c>
      <c r="B37" t="s">
        <v>294</v>
      </c>
      <c r="C37">
        <v>2</v>
      </c>
    </row>
    <row r="38" spans="1:6" x14ac:dyDescent="0.35">
      <c r="A38" t="s">
        <v>295</v>
      </c>
      <c r="B38" t="s">
        <v>117</v>
      </c>
      <c r="C38">
        <v>3.32</v>
      </c>
    </row>
    <row r="39" spans="1:6" x14ac:dyDescent="0.35">
      <c r="A39" t="s">
        <v>296</v>
      </c>
      <c r="B39" t="s">
        <v>117</v>
      </c>
      <c r="C39">
        <v>9.4600000000000009</v>
      </c>
    </row>
    <row r="40" spans="1:6" x14ac:dyDescent="0.35">
      <c r="A40" t="s">
        <v>297</v>
      </c>
      <c r="B40" t="s">
        <v>298</v>
      </c>
      <c r="C40">
        <v>33.17</v>
      </c>
    </row>
    <row r="41" spans="1:6" x14ac:dyDescent="0.35">
      <c r="A41" t="s">
        <v>288</v>
      </c>
      <c r="B41" t="s">
        <v>117</v>
      </c>
      <c r="C41">
        <v>6.38</v>
      </c>
    </row>
    <row r="42" spans="1:6" x14ac:dyDescent="0.35">
      <c r="A42" t="s">
        <v>299</v>
      </c>
      <c r="B42" t="s">
        <v>300</v>
      </c>
      <c r="C42">
        <v>19.37</v>
      </c>
    </row>
    <row r="43" spans="1:6" x14ac:dyDescent="0.35">
      <c r="C43">
        <v>0</v>
      </c>
      <c r="D43">
        <f>SUM(C35:C42)</f>
        <v>184.32</v>
      </c>
      <c r="E43">
        <f>SUM(C2:C42)</f>
        <v>1089.22</v>
      </c>
      <c r="F43" t="s">
        <v>282</v>
      </c>
    </row>
    <row r="44" spans="1:6" x14ac:dyDescent="0.35">
      <c r="A44" t="s">
        <v>283</v>
      </c>
      <c r="B44" t="s">
        <v>117</v>
      </c>
      <c r="C44">
        <v>9.7799999999999994</v>
      </c>
    </row>
    <row r="45" spans="1:6" x14ac:dyDescent="0.35">
      <c r="A45" t="s">
        <v>359</v>
      </c>
      <c r="B45" t="s">
        <v>360</v>
      </c>
      <c r="C45">
        <v>68.09</v>
      </c>
    </row>
    <row r="46" spans="1:6" x14ac:dyDescent="0.35">
      <c r="A46" t="s">
        <v>285</v>
      </c>
      <c r="B46" t="s">
        <v>117</v>
      </c>
      <c r="C46">
        <v>10.34</v>
      </c>
    </row>
    <row r="47" spans="1:6" x14ac:dyDescent="0.35">
      <c r="A47" t="s">
        <v>351</v>
      </c>
      <c r="B47" t="s">
        <v>361</v>
      </c>
      <c r="C47">
        <v>3</v>
      </c>
    </row>
    <row r="48" spans="1:6" x14ac:dyDescent="0.35">
      <c r="A48" t="s">
        <v>351</v>
      </c>
      <c r="B48" t="s">
        <v>362</v>
      </c>
      <c r="C48">
        <v>3</v>
      </c>
    </row>
    <row r="49" spans="1:6" x14ac:dyDescent="0.35">
      <c r="A49" t="s">
        <v>351</v>
      </c>
      <c r="B49" t="s">
        <v>363</v>
      </c>
      <c r="C49">
        <v>3</v>
      </c>
    </row>
    <row r="50" spans="1:6" x14ac:dyDescent="0.35">
      <c r="A50" t="s">
        <v>353</v>
      </c>
      <c r="B50" t="s">
        <v>117</v>
      </c>
      <c r="C50">
        <v>6.04</v>
      </c>
    </row>
    <row r="51" spans="1:6" x14ac:dyDescent="0.35">
      <c r="A51" t="s">
        <v>353</v>
      </c>
      <c r="B51" t="s">
        <v>117</v>
      </c>
      <c r="C51">
        <v>26.63</v>
      </c>
    </row>
    <row r="52" spans="1:6" x14ac:dyDescent="0.35">
      <c r="A52" t="s">
        <v>353</v>
      </c>
      <c r="B52" t="s">
        <v>36</v>
      </c>
      <c r="C52">
        <v>39.630000000000003</v>
      </c>
    </row>
    <row r="53" spans="1:6" x14ac:dyDescent="0.35">
      <c r="A53" t="s">
        <v>364</v>
      </c>
      <c r="B53" t="s">
        <v>117</v>
      </c>
      <c r="C53">
        <v>6.04</v>
      </c>
    </row>
    <row r="54" spans="1:6" x14ac:dyDescent="0.35">
      <c r="A54" t="s">
        <v>355</v>
      </c>
      <c r="B54" t="s">
        <v>365</v>
      </c>
      <c r="C54">
        <v>3.36</v>
      </c>
    </row>
    <row r="55" spans="1:6" x14ac:dyDescent="0.35">
      <c r="A55" t="s">
        <v>355</v>
      </c>
      <c r="B55" t="s">
        <v>366</v>
      </c>
      <c r="C55">
        <v>8.94</v>
      </c>
    </row>
    <row r="56" spans="1:6" x14ac:dyDescent="0.35">
      <c r="A56" t="s">
        <v>355</v>
      </c>
      <c r="B56" t="s">
        <v>367</v>
      </c>
      <c r="C56">
        <v>143.13</v>
      </c>
    </row>
    <row r="57" spans="1:6" x14ac:dyDescent="0.35">
      <c r="C57">
        <v>0</v>
      </c>
      <c r="D57">
        <f>SUM(C44:C56)</f>
        <v>330.98</v>
      </c>
      <c r="E57">
        <f>SUM(C2:C56)</f>
        <v>1420.1999999999998</v>
      </c>
      <c r="F57" t="s">
        <v>347</v>
      </c>
    </row>
    <row r="58" spans="1:6" x14ac:dyDescent="0.35">
      <c r="A58" t="s">
        <v>368</v>
      </c>
      <c r="B58" t="s">
        <v>117</v>
      </c>
      <c r="C58">
        <v>2.21</v>
      </c>
    </row>
    <row r="59" spans="1:6" x14ac:dyDescent="0.35">
      <c r="A59" t="s">
        <v>358</v>
      </c>
      <c r="B59" t="s">
        <v>117</v>
      </c>
      <c r="C59">
        <v>4.7300000000000004</v>
      </c>
    </row>
    <row r="60" spans="1:6" x14ac:dyDescent="0.35">
      <c r="A60" t="s">
        <v>358</v>
      </c>
      <c r="B60" t="s">
        <v>206</v>
      </c>
      <c r="C60">
        <v>8</v>
      </c>
    </row>
    <row r="61" spans="1:6" x14ac:dyDescent="0.35">
      <c r="A61" t="s">
        <v>405</v>
      </c>
      <c r="B61" t="s">
        <v>117</v>
      </c>
      <c r="C61">
        <v>7.36</v>
      </c>
    </row>
    <row r="62" spans="1:6" x14ac:dyDescent="0.35">
      <c r="A62" t="s">
        <v>423</v>
      </c>
      <c r="B62" t="s">
        <v>34</v>
      </c>
      <c r="C62">
        <v>6.14</v>
      </c>
    </row>
    <row r="63" spans="1:6" x14ac:dyDescent="0.35">
      <c r="A63" t="s">
        <v>423</v>
      </c>
      <c r="B63" t="s">
        <v>432</v>
      </c>
      <c r="C63">
        <v>45.16</v>
      </c>
    </row>
    <row r="64" spans="1:6" x14ac:dyDescent="0.35">
      <c r="A64" t="s">
        <v>423</v>
      </c>
      <c r="B64" t="s">
        <v>35</v>
      </c>
      <c r="C64">
        <v>4</v>
      </c>
    </row>
    <row r="65" spans="1:6" x14ac:dyDescent="0.35">
      <c r="A65" t="s">
        <v>423</v>
      </c>
      <c r="B65" t="s">
        <v>433</v>
      </c>
      <c r="C65">
        <v>19.059999999999999</v>
      </c>
    </row>
    <row r="66" spans="1:6" x14ac:dyDescent="0.35">
      <c r="A66" t="s">
        <v>424</v>
      </c>
      <c r="B66" t="s">
        <v>434</v>
      </c>
      <c r="C66">
        <v>14.8</v>
      </c>
    </row>
    <row r="67" spans="1:6" x14ac:dyDescent="0.35">
      <c r="A67" t="s">
        <v>435</v>
      </c>
      <c r="B67" t="s">
        <v>117</v>
      </c>
      <c r="C67">
        <v>7.59</v>
      </c>
    </row>
    <row r="68" spans="1:6" x14ac:dyDescent="0.35">
      <c r="A68" t="s">
        <v>435</v>
      </c>
      <c r="B68" t="s">
        <v>436</v>
      </c>
      <c r="C68">
        <v>9.6300000000000008</v>
      </c>
    </row>
    <row r="69" spans="1:6" x14ac:dyDescent="0.35">
      <c r="A69" t="s">
        <v>437</v>
      </c>
      <c r="B69" t="s">
        <v>438</v>
      </c>
      <c r="C69">
        <v>5</v>
      </c>
    </row>
    <row r="70" spans="1:6" x14ac:dyDescent="0.35">
      <c r="A70" t="s">
        <v>437</v>
      </c>
      <c r="B70" t="s">
        <v>438</v>
      </c>
      <c r="C70">
        <v>5</v>
      </c>
    </row>
    <row r="71" spans="1:6" x14ac:dyDescent="0.35">
      <c r="A71" t="s">
        <v>437</v>
      </c>
      <c r="B71" t="s">
        <v>438</v>
      </c>
      <c r="C71">
        <v>26.68</v>
      </c>
    </row>
    <row r="72" spans="1:6" x14ac:dyDescent="0.35">
      <c r="A72" t="s">
        <v>416</v>
      </c>
      <c r="B72" t="s">
        <v>35</v>
      </c>
      <c r="C72">
        <v>4</v>
      </c>
    </row>
    <row r="73" spans="1:6" x14ac:dyDescent="0.35">
      <c r="A73" t="s">
        <v>439</v>
      </c>
      <c r="B73" t="s">
        <v>440</v>
      </c>
      <c r="C73">
        <v>66.17</v>
      </c>
    </row>
    <row r="74" spans="1:6" x14ac:dyDescent="0.35">
      <c r="A74" t="s">
        <v>441</v>
      </c>
      <c r="B74" t="s">
        <v>112</v>
      </c>
      <c r="C74">
        <v>40.44</v>
      </c>
    </row>
    <row r="75" spans="1:6" x14ac:dyDescent="0.35">
      <c r="A75" t="s">
        <v>442</v>
      </c>
      <c r="B75" t="s">
        <v>117</v>
      </c>
      <c r="C75">
        <v>5.05</v>
      </c>
    </row>
    <row r="76" spans="1:6" x14ac:dyDescent="0.35">
      <c r="A76" t="s">
        <v>442</v>
      </c>
      <c r="B76" t="s">
        <v>443</v>
      </c>
      <c r="C76">
        <v>200</v>
      </c>
    </row>
    <row r="77" spans="1:6" x14ac:dyDescent="0.35">
      <c r="A77" t="s">
        <v>431</v>
      </c>
      <c r="B77" t="s">
        <v>205</v>
      </c>
      <c r="C77">
        <v>46.61</v>
      </c>
    </row>
    <row r="78" spans="1:6" x14ac:dyDescent="0.35">
      <c r="A78" t="s">
        <v>418</v>
      </c>
      <c r="B78" t="s">
        <v>117</v>
      </c>
      <c r="C78">
        <v>6.6</v>
      </c>
    </row>
    <row r="79" spans="1:6" x14ac:dyDescent="0.35">
      <c r="C79">
        <v>0</v>
      </c>
      <c r="D79">
        <f>SUM(C58:C78)</f>
        <v>534.23</v>
      </c>
      <c r="E79">
        <f>SUM(C2:C78)</f>
        <v>1954.4299999999998</v>
      </c>
      <c r="F79" t="s">
        <v>420</v>
      </c>
    </row>
    <row r="80" spans="1:6" x14ac:dyDescent="0.35">
      <c r="A80" t="s">
        <v>427</v>
      </c>
      <c r="B80" t="s">
        <v>432</v>
      </c>
      <c r="C80">
        <v>63.87</v>
      </c>
    </row>
    <row r="81" spans="1:3" x14ac:dyDescent="0.35">
      <c r="A81" t="s">
        <v>427</v>
      </c>
      <c r="B81" t="s">
        <v>444</v>
      </c>
      <c r="C81">
        <v>20</v>
      </c>
    </row>
    <row r="82" spans="1:3" x14ac:dyDescent="0.35">
      <c r="A82" t="s">
        <v>445</v>
      </c>
      <c r="B82" t="s">
        <v>440</v>
      </c>
      <c r="C82">
        <v>15.45</v>
      </c>
    </row>
    <row r="83" spans="1:3" x14ac:dyDescent="0.35">
      <c r="A83" t="s">
        <v>521</v>
      </c>
      <c r="B83" t="s">
        <v>522</v>
      </c>
      <c r="C83">
        <v>15.03</v>
      </c>
    </row>
    <row r="84" spans="1:3" x14ac:dyDescent="0.35">
      <c r="A84" t="s">
        <v>523</v>
      </c>
      <c r="B84" t="s">
        <v>206</v>
      </c>
      <c r="C84">
        <v>8</v>
      </c>
    </row>
    <row r="85" spans="1:3" x14ac:dyDescent="0.35">
      <c r="A85" t="s">
        <v>519</v>
      </c>
      <c r="B85" t="s">
        <v>524</v>
      </c>
      <c r="C85">
        <v>59.27</v>
      </c>
    </row>
    <row r="86" spans="1:3" x14ac:dyDescent="0.35">
      <c r="A86" t="s">
        <v>519</v>
      </c>
      <c r="B86" t="s">
        <v>32</v>
      </c>
      <c r="C86">
        <v>2.88</v>
      </c>
    </row>
    <row r="87" spans="1:3" x14ac:dyDescent="0.35">
      <c r="A87" t="s">
        <v>525</v>
      </c>
      <c r="B87" t="s">
        <v>526</v>
      </c>
      <c r="C87">
        <v>24.15</v>
      </c>
    </row>
    <row r="88" spans="1:3" x14ac:dyDescent="0.35">
      <c r="A88" t="s">
        <v>525</v>
      </c>
      <c r="B88" t="s">
        <v>527</v>
      </c>
      <c r="C88">
        <v>8.98</v>
      </c>
    </row>
    <row r="89" spans="1:3" x14ac:dyDescent="0.35">
      <c r="A89" t="s">
        <v>525</v>
      </c>
      <c r="B89" t="s">
        <v>528</v>
      </c>
      <c r="C89">
        <v>25.65</v>
      </c>
    </row>
    <row r="90" spans="1:3" x14ac:dyDescent="0.35">
      <c r="A90" t="s">
        <v>525</v>
      </c>
      <c r="B90" t="s">
        <v>529</v>
      </c>
      <c r="C90">
        <v>17.260000000000002</v>
      </c>
    </row>
    <row r="91" spans="1:3" x14ac:dyDescent="0.35">
      <c r="A91" t="s">
        <v>530</v>
      </c>
      <c r="B91" t="s">
        <v>531</v>
      </c>
      <c r="C91">
        <v>8.7200000000000006</v>
      </c>
    </row>
    <row r="92" spans="1:3" x14ac:dyDescent="0.35">
      <c r="A92" t="s">
        <v>530</v>
      </c>
      <c r="B92" t="s">
        <v>532</v>
      </c>
      <c r="C92">
        <v>20.6</v>
      </c>
    </row>
    <row r="93" spans="1:3" x14ac:dyDescent="0.35">
      <c r="A93" t="s">
        <v>530</v>
      </c>
      <c r="B93" t="s">
        <v>533</v>
      </c>
      <c r="C93">
        <v>24.84</v>
      </c>
    </row>
    <row r="94" spans="1:3" x14ac:dyDescent="0.35">
      <c r="A94" t="s">
        <v>515</v>
      </c>
      <c r="B94" t="s">
        <v>534</v>
      </c>
      <c r="C94">
        <v>7.01</v>
      </c>
    </row>
    <row r="95" spans="1:3" x14ac:dyDescent="0.35">
      <c r="A95" t="s">
        <v>515</v>
      </c>
      <c r="B95" t="s">
        <v>534</v>
      </c>
      <c r="C95">
        <v>14.46</v>
      </c>
    </row>
    <row r="96" spans="1:3" x14ac:dyDescent="0.35">
      <c r="A96" t="s">
        <v>535</v>
      </c>
      <c r="B96" t="s">
        <v>536</v>
      </c>
      <c r="C96">
        <v>5</v>
      </c>
    </row>
    <row r="97" spans="1:6" x14ac:dyDescent="0.35">
      <c r="A97" t="s">
        <v>535</v>
      </c>
      <c r="B97" t="s">
        <v>536</v>
      </c>
      <c r="C97">
        <v>5</v>
      </c>
    </row>
    <row r="98" spans="1:6" x14ac:dyDescent="0.35">
      <c r="A98" t="s">
        <v>535</v>
      </c>
      <c r="B98" t="s">
        <v>537</v>
      </c>
      <c r="C98">
        <v>65.09</v>
      </c>
    </row>
    <row r="99" spans="1:6" x14ac:dyDescent="0.35">
      <c r="A99" t="s">
        <v>538</v>
      </c>
      <c r="B99" t="s">
        <v>539</v>
      </c>
      <c r="C99">
        <v>85.83</v>
      </c>
    </row>
    <row r="100" spans="1:6" x14ac:dyDescent="0.35">
      <c r="A100" t="s">
        <v>538</v>
      </c>
      <c r="B100" t="s">
        <v>112</v>
      </c>
      <c r="C100">
        <v>39.6</v>
      </c>
    </row>
    <row r="101" spans="1:6" x14ac:dyDescent="0.35">
      <c r="A101" t="s">
        <v>538</v>
      </c>
      <c r="B101" t="s">
        <v>112</v>
      </c>
      <c r="C101">
        <v>1.68</v>
      </c>
    </row>
    <row r="102" spans="1:6" x14ac:dyDescent="0.35">
      <c r="A102" t="s">
        <v>540</v>
      </c>
      <c r="B102" t="s">
        <v>541</v>
      </c>
      <c r="C102">
        <v>6.91</v>
      </c>
    </row>
    <row r="103" spans="1:6" x14ac:dyDescent="0.35">
      <c r="C103">
        <v>0</v>
      </c>
      <c r="D103">
        <f>SUM(C80:C102)</f>
        <v>545.27999999999986</v>
      </c>
      <c r="E103">
        <f>SUM(C2:C102)</f>
        <v>2499.71</v>
      </c>
      <c r="F103" t="s">
        <v>503</v>
      </c>
    </row>
    <row r="104" spans="1:6" x14ac:dyDescent="0.35">
      <c r="A104" t="s">
        <v>547</v>
      </c>
      <c r="B104" t="s">
        <v>113</v>
      </c>
      <c r="C104">
        <v>10.9</v>
      </c>
    </row>
    <row r="105" spans="1:6" x14ac:dyDescent="0.35">
      <c r="A105" t="s">
        <v>546</v>
      </c>
      <c r="B105" t="s">
        <v>117</v>
      </c>
      <c r="C105">
        <v>2.85</v>
      </c>
    </row>
    <row r="106" spans="1:6" x14ac:dyDescent="0.35">
      <c r="A106" t="s">
        <v>622</v>
      </c>
      <c r="B106" t="s">
        <v>638</v>
      </c>
      <c r="C106">
        <v>6.4</v>
      </c>
    </row>
    <row r="107" spans="1:6" x14ac:dyDescent="0.35">
      <c r="A107" t="s">
        <v>639</v>
      </c>
      <c r="B107" t="s">
        <v>36</v>
      </c>
      <c r="C107">
        <v>125.67</v>
      </c>
    </row>
    <row r="108" spans="1:6" x14ac:dyDescent="0.35">
      <c r="A108" t="s">
        <v>623</v>
      </c>
      <c r="B108" t="s">
        <v>113</v>
      </c>
      <c r="C108">
        <v>6.54</v>
      </c>
    </row>
    <row r="109" spans="1:6" x14ac:dyDescent="0.35">
      <c r="A109" t="s">
        <v>640</v>
      </c>
      <c r="B109" t="s">
        <v>117</v>
      </c>
      <c r="C109">
        <v>4.2699999999999996</v>
      </c>
    </row>
    <row r="110" spans="1:6" x14ac:dyDescent="0.35">
      <c r="A110" t="s">
        <v>640</v>
      </c>
      <c r="B110" t="s">
        <v>113</v>
      </c>
      <c r="C110">
        <v>3.82</v>
      </c>
    </row>
    <row r="111" spans="1:6" x14ac:dyDescent="0.35">
      <c r="A111" t="s">
        <v>640</v>
      </c>
      <c r="B111" t="s">
        <v>113</v>
      </c>
      <c r="C111">
        <v>3.82</v>
      </c>
    </row>
    <row r="112" spans="1:6" x14ac:dyDescent="0.35">
      <c r="A112" t="s">
        <v>641</v>
      </c>
      <c r="B112" t="s">
        <v>642</v>
      </c>
      <c r="C112">
        <v>12.76</v>
      </c>
    </row>
    <row r="113" spans="1:6" x14ac:dyDescent="0.35">
      <c r="A113" t="s">
        <v>641</v>
      </c>
      <c r="B113" t="s">
        <v>444</v>
      </c>
      <c r="C113">
        <v>15.19</v>
      </c>
    </row>
    <row r="114" spans="1:6" x14ac:dyDescent="0.35">
      <c r="C114">
        <v>0</v>
      </c>
      <c r="D114">
        <f>SUM(C104:C113)</f>
        <v>192.21999999999997</v>
      </c>
      <c r="E114">
        <f>SUM(C2:C113)</f>
        <v>2691.9300000000007</v>
      </c>
      <c r="F114" t="s">
        <v>614</v>
      </c>
    </row>
    <row r="115" spans="1:6" x14ac:dyDescent="0.35">
      <c r="A115" t="s">
        <v>643</v>
      </c>
      <c r="B115" t="s">
        <v>117</v>
      </c>
      <c r="C115">
        <v>2.85</v>
      </c>
    </row>
    <row r="116" spans="1:6" x14ac:dyDescent="0.35">
      <c r="A116" t="s">
        <v>632</v>
      </c>
      <c r="B116" t="s">
        <v>644</v>
      </c>
      <c r="C116">
        <v>9.49</v>
      </c>
    </row>
    <row r="117" spans="1:6" x14ac:dyDescent="0.35">
      <c r="A117" t="s">
        <v>632</v>
      </c>
      <c r="B117" t="s">
        <v>636</v>
      </c>
      <c r="C117">
        <v>1.85</v>
      </c>
    </row>
    <row r="118" spans="1:6" x14ac:dyDescent="0.35">
      <c r="A118" t="s">
        <v>668</v>
      </c>
      <c r="B118" t="s">
        <v>636</v>
      </c>
      <c r="C118">
        <v>1.75</v>
      </c>
    </row>
    <row r="119" spans="1:6" x14ac:dyDescent="0.35">
      <c r="A119" t="s">
        <v>723</v>
      </c>
      <c r="B119" t="s">
        <v>117</v>
      </c>
      <c r="C119">
        <v>7.46</v>
      </c>
    </row>
    <row r="120" spans="1:6" x14ac:dyDescent="0.35">
      <c r="A120" t="s">
        <v>724</v>
      </c>
      <c r="B120" t="s">
        <v>725</v>
      </c>
      <c r="C120">
        <v>-19.72</v>
      </c>
    </row>
    <row r="121" spans="1:6" x14ac:dyDescent="0.35">
      <c r="A121" t="s">
        <v>724</v>
      </c>
      <c r="B121" t="s">
        <v>726</v>
      </c>
      <c r="C121">
        <v>5.73</v>
      </c>
    </row>
    <row r="122" spans="1:6" x14ac:dyDescent="0.35">
      <c r="A122" t="s">
        <v>724</v>
      </c>
      <c r="B122" t="s">
        <v>725</v>
      </c>
      <c r="C122">
        <v>19.72</v>
      </c>
    </row>
    <row r="123" spans="1:6" x14ac:dyDescent="0.35">
      <c r="A123" t="s">
        <v>710</v>
      </c>
      <c r="B123" t="s">
        <v>117</v>
      </c>
      <c r="C123">
        <v>2.85</v>
      </c>
    </row>
    <row r="124" spans="1:6" x14ac:dyDescent="0.35">
      <c r="A124" t="s">
        <v>727</v>
      </c>
      <c r="B124" t="s">
        <v>117</v>
      </c>
      <c r="C124">
        <v>5.05</v>
      </c>
    </row>
    <row r="125" spans="1:6" x14ac:dyDescent="0.35">
      <c r="A125" t="s">
        <v>728</v>
      </c>
      <c r="B125" t="s">
        <v>117</v>
      </c>
      <c r="C125">
        <v>2.85</v>
      </c>
    </row>
    <row r="126" spans="1:6" x14ac:dyDescent="0.35">
      <c r="A126" t="s">
        <v>729</v>
      </c>
      <c r="B126" t="s">
        <v>730</v>
      </c>
      <c r="C126">
        <v>10.98</v>
      </c>
    </row>
    <row r="127" spans="1:6" x14ac:dyDescent="0.35">
      <c r="A127" t="s">
        <v>713</v>
      </c>
      <c r="B127" t="s">
        <v>726</v>
      </c>
      <c r="C127">
        <v>2.21</v>
      </c>
    </row>
    <row r="128" spans="1:6" x14ac:dyDescent="0.35">
      <c r="A128" t="s">
        <v>714</v>
      </c>
      <c r="B128" t="s">
        <v>731</v>
      </c>
      <c r="C128">
        <v>1.76</v>
      </c>
    </row>
    <row r="129" spans="1:6" x14ac:dyDescent="0.35">
      <c r="A129" t="s">
        <v>732</v>
      </c>
      <c r="B129" t="s">
        <v>726</v>
      </c>
      <c r="C129">
        <v>6.51</v>
      </c>
    </row>
    <row r="130" spans="1:6" x14ac:dyDescent="0.35">
      <c r="A130" t="s">
        <v>716</v>
      </c>
      <c r="B130" t="s">
        <v>35</v>
      </c>
      <c r="C130">
        <v>0.56000000000000005</v>
      </c>
    </row>
    <row r="131" spans="1:6" x14ac:dyDescent="0.35">
      <c r="A131" t="s">
        <v>716</v>
      </c>
      <c r="B131" t="s">
        <v>36</v>
      </c>
      <c r="C131">
        <v>84.89</v>
      </c>
    </row>
    <row r="132" spans="1:6" x14ac:dyDescent="0.35">
      <c r="A132" t="s">
        <v>716</v>
      </c>
      <c r="B132" t="s">
        <v>733</v>
      </c>
      <c r="C132">
        <v>9.6999999999999993</v>
      </c>
    </row>
    <row r="133" spans="1:6" x14ac:dyDescent="0.35">
      <c r="C133">
        <v>0</v>
      </c>
      <c r="D133">
        <f>SUM(C115:C132)</f>
        <v>156.48999999999998</v>
      </c>
      <c r="E133">
        <f>SUM(C2:C132)</f>
        <v>2848.4200000000005</v>
      </c>
      <c r="F133" t="s">
        <v>699</v>
      </c>
    </row>
    <row r="134" spans="1:6" x14ac:dyDescent="0.35">
      <c r="A134" t="s">
        <v>734</v>
      </c>
      <c r="B134" t="s">
        <v>735</v>
      </c>
      <c r="C134">
        <v>5.91</v>
      </c>
    </row>
    <row r="135" spans="1:6" x14ac:dyDescent="0.35">
      <c r="A135" t="s">
        <v>734</v>
      </c>
      <c r="B135" t="s">
        <v>735</v>
      </c>
      <c r="C135">
        <v>10.75</v>
      </c>
    </row>
    <row r="136" spans="1:6" x14ac:dyDescent="0.35">
      <c r="A136" t="s">
        <v>734</v>
      </c>
      <c r="B136" t="s">
        <v>736</v>
      </c>
      <c r="C136">
        <v>12.8</v>
      </c>
    </row>
    <row r="137" spans="1:6" x14ac:dyDescent="0.35">
      <c r="A137" t="s">
        <v>734</v>
      </c>
      <c r="B137" t="s">
        <v>737</v>
      </c>
      <c r="C137">
        <v>6</v>
      </c>
    </row>
    <row r="138" spans="1:6" x14ac:dyDescent="0.35">
      <c r="A138" t="s">
        <v>734</v>
      </c>
      <c r="B138" t="s">
        <v>737</v>
      </c>
      <c r="C138">
        <v>83.94</v>
      </c>
    </row>
    <row r="139" spans="1:6" x14ac:dyDescent="0.35">
      <c r="A139" t="s">
        <v>700</v>
      </c>
      <c r="B139" t="s">
        <v>444</v>
      </c>
      <c r="C139">
        <v>15</v>
      </c>
    </row>
    <row r="140" spans="1:6" x14ac:dyDescent="0.35">
      <c r="A140" t="s">
        <v>700</v>
      </c>
      <c r="B140" t="s">
        <v>738</v>
      </c>
      <c r="C140">
        <v>6.5</v>
      </c>
    </row>
    <row r="141" spans="1:6" x14ac:dyDescent="0.35">
      <c r="A141" t="s">
        <v>700</v>
      </c>
      <c r="B141" t="s">
        <v>35</v>
      </c>
      <c r="C141">
        <v>1</v>
      </c>
    </row>
    <row r="142" spans="1:6" x14ac:dyDescent="0.35">
      <c r="A142" t="s">
        <v>717</v>
      </c>
      <c r="B142" t="s">
        <v>726</v>
      </c>
      <c r="C142">
        <v>2.21</v>
      </c>
    </row>
    <row r="143" spans="1:6" x14ac:dyDescent="0.35">
      <c r="A143" t="s">
        <v>826</v>
      </c>
      <c r="B143" t="s">
        <v>726</v>
      </c>
      <c r="C143">
        <v>5.73</v>
      </c>
    </row>
    <row r="144" spans="1:6" x14ac:dyDescent="0.35">
      <c r="A144" t="s">
        <v>785</v>
      </c>
      <c r="B144" t="s">
        <v>726</v>
      </c>
      <c r="C144">
        <v>2.21</v>
      </c>
    </row>
    <row r="145" spans="1:3" x14ac:dyDescent="0.35">
      <c r="A145" t="s">
        <v>811</v>
      </c>
      <c r="B145" t="s">
        <v>638</v>
      </c>
      <c r="C145">
        <v>6.62</v>
      </c>
    </row>
    <row r="146" spans="1:3" x14ac:dyDescent="0.35">
      <c r="A146" t="s">
        <v>812</v>
      </c>
      <c r="B146" t="s">
        <v>827</v>
      </c>
      <c r="C146">
        <v>17.489999999999998</v>
      </c>
    </row>
    <row r="147" spans="1:3" x14ac:dyDescent="0.35">
      <c r="A147" t="s">
        <v>813</v>
      </c>
      <c r="B147" t="s">
        <v>839</v>
      </c>
      <c r="C147">
        <v>1.6</v>
      </c>
    </row>
    <row r="148" spans="1:3" x14ac:dyDescent="0.35">
      <c r="A148" t="s">
        <v>828</v>
      </c>
      <c r="B148" t="s">
        <v>726</v>
      </c>
      <c r="C148">
        <v>8.81</v>
      </c>
    </row>
    <row r="149" spans="1:3" x14ac:dyDescent="0.35">
      <c r="A149" t="s">
        <v>814</v>
      </c>
      <c r="B149" t="s">
        <v>117</v>
      </c>
      <c r="C149">
        <v>2.85</v>
      </c>
    </row>
    <row r="150" spans="1:3" x14ac:dyDescent="0.35">
      <c r="A150" t="s">
        <v>814</v>
      </c>
      <c r="B150" t="s">
        <v>829</v>
      </c>
      <c r="C150">
        <v>3.29</v>
      </c>
    </row>
    <row r="151" spans="1:3" x14ac:dyDescent="0.35">
      <c r="A151" t="s">
        <v>814</v>
      </c>
      <c r="B151" t="s">
        <v>726</v>
      </c>
      <c r="C151">
        <v>4.42</v>
      </c>
    </row>
    <row r="152" spans="1:3" x14ac:dyDescent="0.35">
      <c r="A152" t="s">
        <v>802</v>
      </c>
      <c r="B152" t="s">
        <v>117</v>
      </c>
      <c r="C152">
        <v>18.850000000000001</v>
      </c>
    </row>
    <row r="153" spans="1:3" x14ac:dyDescent="0.35">
      <c r="A153" t="s">
        <v>830</v>
      </c>
      <c r="B153" t="s">
        <v>829</v>
      </c>
      <c r="C153">
        <v>7.59</v>
      </c>
    </row>
    <row r="154" spans="1:3" x14ac:dyDescent="0.35">
      <c r="A154" t="s">
        <v>831</v>
      </c>
      <c r="B154" t="s">
        <v>840</v>
      </c>
      <c r="C154">
        <v>38.520000000000003</v>
      </c>
    </row>
    <row r="155" spans="1:3" x14ac:dyDescent="0.35">
      <c r="A155" t="s">
        <v>831</v>
      </c>
      <c r="B155" t="s">
        <v>36</v>
      </c>
      <c r="C155">
        <v>149.44999999999999</v>
      </c>
    </row>
    <row r="156" spans="1:3" x14ac:dyDescent="0.35">
      <c r="A156" t="s">
        <v>815</v>
      </c>
      <c r="B156" t="s">
        <v>733</v>
      </c>
      <c r="C156">
        <v>11.9</v>
      </c>
    </row>
    <row r="157" spans="1:3" x14ac:dyDescent="0.35">
      <c r="A157" t="s">
        <v>794</v>
      </c>
      <c r="B157" t="s">
        <v>726</v>
      </c>
      <c r="C157">
        <v>5.4</v>
      </c>
    </row>
    <row r="158" spans="1:3" x14ac:dyDescent="0.35">
      <c r="A158" t="s">
        <v>832</v>
      </c>
      <c r="B158" t="s">
        <v>833</v>
      </c>
      <c r="C158">
        <v>9.66</v>
      </c>
    </row>
    <row r="159" spans="1:3" x14ac:dyDescent="0.35">
      <c r="A159" t="s">
        <v>834</v>
      </c>
      <c r="B159" t="s">
        <v>835</v>
      </c>
      <c r="C159">
        <v>5.67</v>
      </c>
    </row>
    <row r="160" spans="1:3" x14ac:dyDescent="0.35">
      <c r="A160" t="s">
        <v>817</v>
      </c>
      <c r="B160" t="s">
        <v>836</v>
      </c>
      <c r="C160">
        <v>7.89</v>
      </c>
    </row>
    <row r="161" spans="1:6" x14ac:dyDescent="0.35">
      <c r="A161" t="s">
        <v>817</v>
      </c>
      <c r="B161" t="s">
        <v>444</v>
      </c>
      <c r="C161">
        <v>12.5</v>
      </c>
    </row>
    <row r="162" spans="1:6" x14ac:dyDescent="0.35">
      <c r="A162" t="s">
        <v>817</v>
      </c>
      <c r="B162" t="s">
        <v>841</v>
      </c>
      <c r="C162">
        <v>5.44</v>
      </c>
    </row>
    <row r="163" spans="1:6" x14ac:dyDescent="0.35">
      <c r="C163">
        <v>0</v>
      </c>
      <c r="D163">
        <f>SUM(C134:C162)</f>
        <v>469.99999999999994</v>
      </c>
      <c r="E163">
        <f>SUM(C2:C162)</f>
        <v>3318.42</v>
      </c>
      <c r="F163" t="s">
        <v>796</v>
      </c>
    </row>
    <row r="164" spans="1:6" x14ac:dyDescent="0.35">
      <c r="A164" t="s">
        <v>837</v>
      </c>
      <c r="B164" t="s">
        <v>726</v>
      </c>
      <c r="C164">
        <v>6.72</v>
      </c>
    </row>
    <row r="165" spans="1:6" x14ac:dyDescent="0.35">
      <c r="A165" t="s">
        <v>842</v>
      </c>
      <c r="B165" t="s">
        <v>112</v>
      </c>
      <c r="C165">
        <v>36.880000000000003</v>
      </c>
    </row>
    <row r="166" spans="1:6" x14ac:dyDescent="0.35">
      <c r="A166" t="s">
        <v>842</v>
      </c>
      <c r="B166" t="s">
        <v>841</v>
      </c>
      <c r="C166">
        <v>4.3600000000000003</v>
      </c>
    </row>
    <row r="167" spans="1:6" x14ac:dyDescent="0.35">
      <c r="A167" t="s">
        <v>888</v>
      </c>
      <c r="B167" t="s">
        <v>117</v>
      </c>
      <c r="C167">
        <v>2.85</v>
      </c>
    </row>
    <row r="168" spans="1:6" x14ac:dyDescent="0.35">
      <c r="A168" t="s">
        <v>888</v>
      </c>
      <c r="B168" t="s">
        <v>833</v>
      </c>
      <c r="C168">
        <v>6</v>
      </c>
    </row>
    <row r="169" spans="1:6" x14ac:dyDescent="0.35">
      <c r="A169" t="s">
        <v>899</v>
      </c>
      <c r="B169" t="s">
        <v>835</v>
      </c>
      <c r="C169">
        <v>9.42</v>
      </c>
    </row>
    <row r="170" spans="1:6" x14ac:dyDescent="0.35">
      <c r="A170" t="s">
        <v>899</v>
      </c>
      <c r="B170" t="s">
        <v>827</v>
      </c>
      <c r="C170">
        <v>7.7</v>
      </c>
    </row>
    <row r="171" spans="1:6" x14ac:dyDescent="0.35">
      <c r="A171" t="s">
        <v>873</v>
      </c>
      <c r="B171" t="s">
        <v>726</v>
      </c>
      <c r="C171">
        <v>10.24</v>
      </c>
    </row>
    <row r="172" spans="1:6" x14ac:dyDescent="0.35">
      <c r="A172" t="s">
        <v>890</v>
      </c>
      <c r="B172" t="s">
        <v>726</v>
      </c>
      <c r="C172">
        <v>7.93</v>
      </c>
    </row>
    <row r="173" spans="1:6" x14ac:dyDescent="0.35">
      <c r="A173" t="s">
        <v>904</v>
      </c>
      <c r="B173" t="s">
        <v>912</v>
      </c>
      <c r="C173">
        <v>164.95</v>
      </c>
    </row>
    <row r="174" spans="1:6" x14ac:dyDescent="0.35">
      <c r="A174" t="s">
        <v>904</v>
      </c>
      <c r="B174" t="s">
        <v>905</v>
      </c>
      <c r="C174">
        <v>18.010000000000002</v>
      </c>
    </row>
    <row r="175" spans="1:6" x14ac:dyDescent="0.35">
      <c r="A175" t="s">
        <v>904</v>
      </c>
      <c r="B175" t="s">
        <v>911</v>
      </c>
      <c r="C175">
        <v>8</v>
      </c>
    </row>
    <row r="176" spans="1:6" x14ac:dyDescent="0.35">
      <c r="A176" t="s">
        <v>805</v>
      </c>
      <c r="B176" t="s">
        <v>117</v>
      </c>
      <c r="C176">
        <v>2.85</v>
      </c>
    </row>
    <row r="177" spans="1:6" x14ac:dyDescent="0.35">
      <c r="A177" t="s">
        <v>891</v>
      </c>
      <c r="B177" t="s">
        <v>440</v>
      </c>
      <c r="C177">
        <v>60.13</v>
      </c>
    </row>
    <row r="178" spans="1:6" x14ac:dyDescent="0.35">
      <c r="A178" t="s">
        <v>891</v>
      </c>
      <c r="B178" t="s">
        <v>913</v>
      </c>
      <c r="C178">
        <v>64</v>
      </c>
    </row>
    <row r="179" spans="1:6" x14ac:dyDescent="0.35">
      <c r="A179" t="s">
        <v>908</v>
      </c>
      <c r="B179" t="s">
        <v>909</v>
      </c>
      <c r="C179">
        <v>13.89</v>
      </c>
    </row>
    <row r="180" spans="1:6" x14ac:dyDescent="0.35">
      <c r="A180" t="s">
        <v>893</v>
      </c>
      <c r="B180" t="s">
        <v>726</v>
      </c>
      <c r="C180">
        <v>4.42</v>
      </c>
    </row>
    <row r="181" spans="1:6" x14ac:dyDescent="0.35">
      <c r="A181" t="s">
        <v>910</v>
      </c>
      <c r="B181" t="s">
        <v>112</v>
      </c>
      <c r="C181">
        <v>33.54</v>
      </c>
    </row>
    <row r="182" spans="1:6" x14ac:dyDescent="0.35">
      <c r="A182" t="s">
        <v>910</v>
      </c>
      <c r="B182" t="s">
        <v>112</v>
      </c>
      <c r="C182">
        <v>4.12</v>
      </c>
    </row>
    <row r="183" spans="1:6" x14ac:dyDescent="0.35">
      <c r="A183" t="s">
        <v>914</v>
      </c>
      <c r="B183" t="s">
        <v>113</v>
      </c>
      <c r="C183">
        <v>12.54</v>
      </c>
    </row>
    <row r="184" spans="1:6" x14ac:dyDescent="0.35">
      <c r="A184" t="s">
        <v>894</v>
      </c>
      <c r="B184" t="s">
        <v>835</v>
      </c>
      <c r="C184">
        <v>5.67</v>
      </c>
    </row>
    <row r="185" spans="1:6" x14ac:dyDescent="0.35">
      <c r="C185">
        <v>0</v>
      </c>
      <c r="D185">
        <f>SUM(C164:C184)</f>
        <v>484.22</v>
      </c>
      <c r="E185">
        <f>SUM(C2:C184)</f>
        <v>3802.6399999999994</v>
      </c>
      <c r="F185" t="s">
        <v>885</v>
      </c>
    </row>
    <row r="186" spans="1:6" x14ac:dyDescent="0.35">
      <c r="A186" t="s">
        <v>902</v>
      </c>
      <c r="B186" t="s">
        <v>726</v>
      </c>
      <c r="C186">
        <v>3.97</v>
      </c>
    </row>
    <row r="187" spans="1:6" x14ac:dyDescent="0.35">
      <c r="A187" t="s">
        <v>977</v>
      </c>
      <c r="B187" t="s">
        <v>36</v>
      </c>
      <c r="C187">
        <v>55.24</v>
      </c>
    </row>
    <row r="188" spans="1:6" x14ac:dyDescent="0.35">
      <c r="A188" t="s">
        <v>990</v>
      </c>
      <c r="B188" t="s">
        <v>206</v>
      </c>
      <c r="C188">
        <v>4</v>
      </c>
    </row>
    <row r="189" spans="1:6" x14ac:dyDescent="0.35">
      <c r="A189" t="s">
        <v>990</v>
      </c>
      <c r="B189" t="s">
        <v>206</v>
      </c>
      <c r="C189">
        <v>2.66</v>
      </c>
    </row>
    <row r="190" spans="1:6" x14ac:dyDescent="0.35">
      <c r="A190" t="s">
        <v>990</v>
      </c>
      <c r="B190" t="s">
        <v>991</v>
      </c>
      <c r="C190">
        <v>38.47</v>
      </c>
    </row>
    <row r="191" spans="1:6" x14ac:dyDescent="0.35">
      <c r="A191" t="s">
        <v>1005</v>
      </c>
      <c r="B191" t="s">
        <v>1046</v>
      </c>
      <c r="C191">
        <v>8.6199999999999992</v>
      </c>
    </row>
    <row r="192" spans="1:6" x14ac:dyDescent="0.35">
      <c r="A192" t="s">
        <v>1005</v>
      </c>
      <c r="B192" t="s">
        <v>32</v>
      </c>
      <c r="C192">
        <v>4.88</v>
      </c>
    </row>
    <row r="193" spans="1:6" x14ac:dyDescent="0.35">
      <c r="A193" t="s">
        <v>979</v>
      </c>
      <c r="B193" t="s">
        <v>992</v>
      </c>
      <c r="C193">
        <v>28.6</v>
      </c>
    </row>
    <row r="194" spans="1:6" x14ac:dyDescent="0.35">
      <c r="A194" t="s">
        <v>979</v>
      </c>
      <c r="B194" t="s">
        <v>117</v>
      </c>
      <c r="C194">
        <v>6.9</v>
      </c>
    </row>
    <row r="195" spans="1:6" x14ac:dyDescent="0.35">
      <c r="A195" t="s">
        <v>970</v>
      </c>
      <c r="B195" t="s">
        <v>738</v>
      </c>
      <c r="C195">
        <v>6.5</v>
      </c>
    </row>
    <row r="196" spans="1:6" x14ac:dyDescent="0.35">
      <c r="A196" t="s">
        <v>970</v>
      </c>
      <c r="B196" t="s">
        <v>738</v>
      </c>
      <c r="C196">
        <v>2.81</v>
      </c>
    </row>
    <row r="197" spans="1:6" x14ac:dyDescent="0.35">
      <c r="A197" t="s">
        <v>993</v>
      </c>
      <c r="B197" t="s">
        <v>206</v>
      </c>
      <c r="C197">
        <v>2</v>
      </c>
    </row>
    <row r="198" spans="1:6" x14ac:dyDescent="0.35">
      <c r="A198" t="s">
        <v>993</v>
      </c>
      <c r="B198" t="s">
        <v>32</v>
      </c>
      <c r="C198">
        <v>17</v>
      </c>
    </row>
    <row r="199" spans="1:6" x14ac:dyDescent="0.35">
      <c r="A199" t="s">
        <v>994</v>
      </c>
      <c r="B199" t="s">
        <v>995</v>
      </c>
      <c r="C199">
        <v>18.2</v>
      </c>
    </row>
    <row r="200" spans="1:6" x14ac:dyDescent="0.35">
      <c r="A200" t="s">
        <v>996</v>
      </c>
      <c r="B200" t="s">
        <v>1002</v>
      </c>
      <c r="C200">
        <v>13.44</v>
      </c>
    </row>
    <row r="201" spans="1:6" x14ac:dyDescent="0.35">
      <c r="A201" t="s">
        <v>996</v>
      </c>
      <c r="B201" t="s">
        <v>206</v>
      </c>
      <c r="C201">
        <v>8</v>
      </c>
    </row>
    <row r="202" spans="1:6" x14ac:dyDescent="0.35">
      <c r="A202" t="s">
        <v>996</v>
      </c>
      <c r="B202" t="s">
        <v>1001</v>
      </c>
      <c r="C202">
        <v>283.19</v>
      </c>
    </row>
    <row r="203" spans="1:6" x14ac:dyDescent="0.35">
      <c r="A203" t="s">
        <v>984</v>
      </c>
      <c r="B203" t="s">
        <v>1002</v>
      </c>
      <c r="C203">
        <v>25.5</v>
      </c>
    </row>
    <row r="204" spans="1:6" x14ac:dyDescent="0.35">
      <c r="A204" t="s">
        <v>981</v>
      </c>
      <c r="B204" t="s">
        <v>997</v>
      </c>
      <c r="C204">
        <v>30.76</v>
      </c>
    </row>
    <row r="205" spans="1:6" x14ac:dyDescent="0.35">
      <c r="A205" t="s">
        <v>982</v>
      </c>
      <c r="B205" t="s">
        <v>995</v>
      </c>
      <c r="C205">
        <v>15.43</v>
      </c>
    </row>
    <row r="206" spans="1:6" x14ac:dyDescent="0.35">
      <c r="C206">
        <v>0</v>
      </c>
      <c r="D206">
        <f>SUM(C186:C205)</f>
        <v>576.16999999999996</v>
      </c>
      <c r="E206">
        <f>SUM(C2:C205)</f>
        <v>4378.8099999999986</v>
      </c>
      <c r="F206" t="s">
        <v>965</v>
      </c>
    </row>
    <row r="207" spans="1:6" x14ac:dyDescent="0.35">
      <c r="A207" t="s">
        <v>966</v>
      </c>
      <c r="B207" t="s">
        <v>998</v>
      </c>
      <c r="C207">
        <v>61</v>
      </c>
    </row>
    <row r="208" spans="1:6" x14ac:dyDescent="0.35">
      <c r="A208" t="s">
        <v>1000</v>
      </c>
      <c r="B208" t="s">
        <v>726</v>
      </c>
      <c r="C208">
        <v>9.27</v>
      </c>
    </row>
    <row r="209" spans="1:6" x14ac:dyDescent="0.35">
      <c r="A209" t="s">
        <v>1026</v>
      </c>
      <c r="B209" t="s">
        <v>1027</v>
      </c>
      <c r="C209">
        <v>2.85</v>
      </c>
    </row>
    <row r="210" spans="1:6" x14ac:dyDescent="0.35">
      <c r="A210" t="s">
        <v>1078</v>
      </c>
      <c r="B210" t="s">
        <v>1079</v>
      </c>
      <c r="C210">
        <v>50.91</v>
      </c>
    </row>
    <row r="211" spans="1:6" x14ac:dyDescent="0.35">
      <c r="A211" t="s">
        <v>1080</v>
      </c>
      <c r="B211" t="s">
        <v>1081</v>
      </c>
      <c r="C211">
        <v>30.03</v>
      </c>
    </row>
    <row r="212" spans="1:6" x14ac:dyDescent="0.35">
      <c r="A212" t="s">
        <v>1080</v>
      </c>
      <c r="B212" t="s">
        <v>841</v>
      </c>
      <c r="C212">
        <v>2.1800000000000002</v>
      </c>
    </row>
    <row r="213" spans="1:6" x14ac:dyDescent="0.35">
      <c r="A213" t="s">
        <v>968</v>
      </c>
      <c r="B213" t="s">
        <v>32</v>
      </c>
      <c r="C213">
        <v>13.66</v>
      </c>
    </row>
    <row r="214" spans="1:6" x14ac:dyDescent="0.35">
      <c r="A214" t="s">
        <v>1082</v>
      </c>
      <c r="B214" t="s">
        <v>827</v>
      </c>
      <c r="C214">
        <v>9.9</v>
      </c>
    </row>
    <row r="215" spans="1:6" x14ac:dyDescent="0.35">
      <c r="C215">
        <v>0</v>
      </c>
      <c r="E215">
        <f>SUM(C2:C214)</f>
        <v>4558.6099999999988</v>
      </c>
      <c r="F215" t="s">
        <v>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287"/>
  <sheetViews>
    <sheetView topLeftCell="A280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31</v>
      </c>
      <c r="B2" t="s">
        <v>32</v>
      </c>
      <c r="C2">
        <v>8.01</v>
      </c>
    </row>
    <row r="3" spans="1:6" x14ac:dyDescent="0.35">
      <c r="A3" t="s">
        <v>26</v>
      </c>
      <c r="B3" t="s">
        <v>27</v>
      </c>
      <c r="C3">
        <v>8.8699999999999992</v>
      </c>
    </row>
    <row r="4" spans="1:6" x14ac:dyDescent="0.35">
      <c r="A4" t="s">
        <v>29</v>
      </c>
      <c r="B4" t="s">
        <v>27</v>
      </c>
      <c r="C4">
        <v>9.6199999999999992</v>
      </c>
    </row>
    <row r="5" spans="1:6" x14ac:dyDescent="0.35">
      <c r="A5" t="s">
        <v>30</v>
      </c>
      <c r="B5" t="s">
        <v>27</v>
      </c>
      <c r="C5">
        <v>7.8</v>
      </c>
    </row>
    <row r="6" spans="1:6" x14ac:dyDescent="0.35">
      <c r="A6" t="s">
        <v>33</v>
      </c>
      <c r="B6" t="s">
        <v>32</v>
      </c>
      <c r="C6">
        <v>5.78</v>
      </c>
    </row>
    <row r="7" spans="1:6" x14ac:dyDescent="0.35">
      <c r="C7">
        <v>0</v>
      </c>
      <c r="D7">
        <f>SUM(C2:C6)</f>
        <v>40.08</v>
      </c>
      <c r="E7">
        <f>SUM(C2:C6)</f>
        <v>40.08</v>
      </c>
      <c r="F7" t="s">
        <v>6</v>
      </c>
    </row>
    <row r="8" spans="1:6" x14ac:dyDescent="0.35">
      <c r="A8" t="s">
        <v>19</v>
      </c>
      <c r="B8" t="s">
        <v>32</v>
      </c>
      <c r="C8">
        <v>3.35</v>
      </c>
    </row>
    <row r="9" spans="1:6" x14ac:dyDescent="0.35">
      <c r="A9" t="s">
        <v>19</v>
      </c>
      <c r="B9" t="s">
        <v>34</v>
      </c>
      <c r="C9">
        <v>3.32</v>
      </c>
    </row>
    <row r="10" spans="1:6" x14ac:dyDescent="0.35">
      <c r="A10" t="s">
        <v>19</v>
      </c>
      <c r="B10" t="s">
        <v>35</v>
      </c>
      <c r="C10">
        <v>3</v>
      </c>
    </row>
    <row r="11" spans="1:6" x14ac:dyDescent="0.35">
      <c r="A11" t="s">
        <v>19</v>
      </c>
      <c r="B11" t="s">
        <v>36</v>
      </c>
      <c r="C11">
        <v>88.61</v>
      </c>
    </row>
    <row r="12" spans="1:6" x14ac:dyDescent="0.35">
      <c r="A12" t="s">
        <v>21</v>
      </c>
      <c r="B12" t="s">
        <v>32</v>
      </c>
      <c r="C12">
        <v>2.23</v>
      </c>
    </row>
    <row r="13" spans="1:6" x14ac:dyDescent="0.35">
      <c r="A13" t="s">
        <v>93</v>
      </c>
      <c r="B13" t="s">
        <v>143</v>
      </c>
      <c r="C13">
        <v>7.39</v>
      </c>
    </row>
    <row r="14" spans="1:6" x14ac:dyDescent="0.35">
      <c r="A14" t="s">
        <v>93</v>
      </c>
      <c r="B14" t="s">
        <v>144</v>
      </c>
      <c r="C14">
        <v>6.62</v>
      </c>
    </row>
    <row r="15" spans="1:6" x14ac:dyDescent="0.35">
      <c r="A15" t="s">
        <v>81</v>
      </c>
      <c r="B15" t="s">
        <v>32</v>
      </c>
      <c r="C15">
        <v>8.01</v>
      </c>
    </row>
    <row r="16" spans="1:6" x14ac:dyDescent="0.35">
      <c r="A16" t="s">
        <v>10</v>
      </c>
      <c r="B16" t="s">
        <v>120</v>
      </c>
      <c r="C16">
        <v>8.92</v>
      </c>
    </row>
    <row r="17" spans="1:6" x14ac:dyDescent="0.35">
      <c r="A17" t="s">
        <v>10</v>
      </c>
      <c r="B17" t="s">
        <v>119</v>
      </c>
      <c r="C17">
        <v>6.62</v>
      </c>
    </row>
    <row r="18" spans="1:6" x14ac:dyDescent="0.35">
      <c r="A18" t="s">
        <v>111</v>
      </c>
      <c r="B18" t="s">
        <v>112</v>
      </c>
      <c r="C18">
        <v>3.97</v>
      </c>
    </row>
    <row r="19" spans="1:6" x14ac:dyDescent="0.35">
      <c r="A19" t="s">
        <v>111</v>
      </c>
      <c r="B19" t="s">
        <v>112</v>
      </c>
      <c r="C19">
        <v>49.62</v>
      </c>
    </row>
    <row r="20" spans="1:6" x14ac:dyDescent="0.35">
      <c r="A20" t="s">
        <v>96</v>
      </c>
      <c r="B20" t="s">
        <v>36</v>
      </c>
      <c r="C20">
        <v>105.72</v>
      </c>
    </row>
    <row r="21" spans="1:6" x14ac:dyDescent="0.35">
      <c r="A21" t="s">
        <v>121</v>
      </c>
      <c r="B21" t="s">
        <v>122</v>
      </c>
      <c r="C21">
        <v>73.55</v>
      </c>
    </row>
    <row r="22" spans="1:6" x14ac:dyDescent="0.35">
      <c r="A22" t="s">
        <v>115</v>
      </c>
      <c r="B22" t="s">
        <v>116</v>
      </c>
      <c r="C22">
        <v>19.190000000000001</v>
      </c>
    </row>
    <row r="23" spans="1:6" x14ac:dyDescent="0.35">
      <c r="A23" t="s">
        <v>135</v>
      </c>
      <c r="B23" t="s">
        <v>142</v>
      </c>
      <c r="C23">
        <v>14.37</v>
      </c>
    </row>
    <row r="24" spans="1:6" x14ac:dyDescent="0.35">
      <c r="A24" t="s">
        <v>101</v>
      </c>
      <c r="B24" t="s">
        <v>102</v>
      </c>
      <c r="C24">
        <v>5.34</v>
      </c>
    </row>
    <row r="25" spans="1:6" x14ac:dyDescent="0.35">
      <c r="C25">
        <v>0</v>
      </c>
      <c r="D25">
        <f>SUM(C8:C24)</f>
        <v>409.83</v>
      </c>
      <c r="E25">
        <f>SUM(C2:C24)</f>
        <v>449.90999999999997</v>
      </c>
      <c r="F25" t="s">
        <v>89</v>
      </c>
    </row>
    <row r="26" spans="1:6" x14ac:dyDescent="0.35">
      <c r="A26" t="s">
        <v>105</v>
      </c>
      <c r="B26" t="s">
        <v>106</v>
      </c>
      <c r="C26">
        <v>18.75</v>
      </c>
    </row>
    <row r="27" spans="1:6" x14ac:dyDescent="0.35">
      <c r="A27" t="s">
        <v>105</v>
      </c>
      <c r="B27" t="s">
        <v>117</v>
      </c>
      <c r="C27">
        <v>8.36</v>
      </c>
    </row>
    <row r="28" spans="1:6" x14ac:dyDescent="0.35">
      <c r="A28" t="s">
        <v>118</v>
      </c>
      <c r="B28" t="s">
        <v>116</v>
      </c>
      <c r="C28">
        <v>15.76</v>
      </c>
    </row>
    <row r="29" spans="1:6" x14ac:dyDescent="0.35">
      <c r="A29" t="s">
        <v>118</v>
      </c>
      <c r="B29" t="s">
        <v>116</v>
      </c>
      <c r="C29">
        <v>-6.6</v>
      </c>
    </row>
    <row r="30" spans="1:6" x14ac:dyDescent="0.35">
      <c r="A30" t="s">
        <v>98</v>
      </c>
      <c r="B30" t="s">
        <v>123</v>
      </c>
      <c r="C30">
        <v>11.6</v>
      </c>
    </row>
    <row r="31" spans="1:6" x14ac:dyDescent="0.35">
      <c r="A31" t="s">
        <v>90</v>
      </c>
      <c r="B31" t="s">
        <v>117</v>
      </c>
      <c r="C31">
        <v>3.32</v>
      </c>
    </row>
    <row r="32" spans="1:6" x14ac:dyDescent="0.35">
      <c r="A32" t="s">
        <v>192</v>
      </c>
      <c r="B32" t="s">
        <v>203</v>
      </c>
      <c r="C32">
        <v>15.5</v>
      </c>
    </row>
    <row r="33" spans="1:6" x14ac:dyDescent="0.35">
      <c r="A33" t="s">
        <v>204</v>
      </c>
      <c r="B33" t="s">
        <v>112</v>
      </c>
      <c r="C33">
        <v>41.15</v>
      </c>
    </row>
    <row r="34" spans="1:6" x14ac:dyDescent="0.35">
      <c r="A34" t="s">
        <v>184</v>
      </c>
      <c r="B34" t="s">
        <v>205</v>
      </c>
      <c r="C34">
        <v>33.28</v>
      </c>
    </row>
    <row r="35" spans="1:6" x14ac:dyDescent="0.35">
      <c r="A35" t="s">
        <v>184</v>
      </c>
      <c r="B35" t="s">
        <v>206</v>
      </c>
      <c r="C35">
        <v>4</v>
      </c>
    </row>
    <row r="36" spans="1:6" x14ac:dyDescent="0.35">
      <c r="A36" t="s">
        <v>173</v>
      </c>
      <c r="B36" t="s">
        <v>206</v>
      </c>
      <c r="C36">
        <v>4</v>
      </c>
    </row>
    <row r="37" spans="1:6" x14ac:dyDescent="0.35">
      <c r="A37" t="s">
        <v>207</v>
      </c>
      <c r="B37" t="s">
        <v>123</v>
      </c>
      <c r="C37">
        <v>11.27</v>
      </c>
    </row>
    <row r="38" spans="1:6" x14ac:dyDescent="0.35">
      <c r="A38" t="s">
        <v>208</v>
      </c>
      <c r="B38" t="s">
        <v>209</v>
      </c>
      <c r="C38">
        <v>72.819999999999993</v>
      </c>
    </row>
    <row r="39" spans="1:6" x14ac:dyDescent="0.35">
      <c r="A39" t="s">
        <v>189</v>
      </c>
      <c r="B39" t="s">
        <v>206</v>
      </c>
      <c r="C39">
        <v>-4</v>
      </c>
    </row>
    <row r="40" spans="1:6" x14ac:dyDescent="0.35">
      <c r="A40" t="s">
        <v>196</v>
      </c>
      <c r="B40" t="s">
        <v>123</v>
      </c>
      <c r="C40">
        <v>11.6</v>
      </c>
    </row>
    <row r="41" spans="1:6" x14ac:dyDescent="0.35">
      <c r="A41" t="s">
        <v>210</v>
      </c>
      <c r="B41" t="s">
        <v>117</v>
      </c>
      <c r="C41">
        <v>5.94</v>
      </c>
    </row>
    <row r="42" spans="1:6" x14ac:dyDescent="0.35">
      <c r="A42" t="s">
        <v>211</v>
      </c>
      <c r="B42" t="s">
        <v>123</v>
      </c>
      <c r="C42">
        <v>12.38</v>
      </c>
    </row>
    <row r="43" spans="1:6" x14ac:dyDescent="0.35">
      <c r="A43" t="s">
        <v>211</v>
      </c>
      <c r="B43" t="s">
        <v>117</v>
      </c>
      <c r="C43">
        <v>4.62</v>
      </c>
    </row>
    <row r="44" spans="1:6" x14ac:dyDescent="0.35">
      <c r="A44" t="s">
        <v>191</v>
      </c>
      <c r="B44" t="s">
        <v>212</v>
      </c>
      <c r="C44">
        <v>59.76</v>
      </c>
    </row>
    <row r="45" spans="1:6" x14ac:dyDescent="0.35">
      <c r="A45" t="s">
        <v>191</v>
      </c>
      <c r="B45" t="s">
        <v>212</v>
      </c>
      <c r="C45">
        <v>8.8000000000000007</v>
      </c>
    </row>
    <row r="46" spans="1:6" x14ac:dyDescent="0.35">
      <c r="A46" t="s">
        <v>194</v>
      </c>
      <c r="B46" t="s">
        <v>123</v>
      </c>
      <c r="C46">
        <v>8.56</v>
      </c>
    </row>
    <row r="47" spans="1:6" x14ac:dyDescent="0.35">
      <c r="A47" t="s">
        <v>213</v>
      </c>
      <c r="B47" t="s">
        <v>123</v>
      </c>
      <c r="C47">
        <v>12.65</v>
      </c>
    </row>
    <row r="48" spans="1:6" x14ac:dyDescent="0.35">
      <c r="C48">
        <v>0</v>
      </c>
      <c r="D48">
        <f>SUM(C26:C47)</f>
        <v>353.52</v>
      </c>
      <c r="E48">
        <f>SUM(C2:C47)</f>
        <v>803.42999999999984</v>
      </c>
      <c r="F48" t="s">
        <v>200</v>
      </c>
    </row>
    <row r="49" spans="1:6" x14ac:dyDescent="0.35">
      <c r="A49" t="s">
        <v>214</v>
      </c>
      <c r="B49" t="s">
        <v>215</v>
      </c>
      <c r="C49">
        <v>18.510000000000002</v>
      </c>
    </row>
    <row r="50" spans="1:6" x14ac:dyDescent="0.35">
      <c r="A50" t="s">
        <v>293</v>
      </c>
      <c r="B50" t="s">
        <v>294</v>
      </c>
      <c r="C50">
        <v>2</v>
      </c>
    </row>
    <row r="51" spans="1:6" x14ac:dyDescent="0.35">
      <c r="A51" t="s">
        <v>270</v>
      </c>
      <c r="B51" t="s">
        <v>123</v>
      </c>
      <c r="C51">
        <v>5.8</v>
      </c>
    </row>
    <row r="52" spans="1:6" x14ac:dyDescent="0.35">
      <c r="A52" t="s">
        <v>301</v>
      </c>
      <c r="B52" t="s">
        <v>119</v>
      </c>
      <c r="C52">
        <v>10.93</v>
      </c>
    </row>
    <row r="53" spans="1:6" x14ac:dyDescent="0.35">
      <c r="A53" t="s">
        <v>295</v>
      </c>
      <c r="B53" t="s">
        <v>117</v>
      </c>
      <c r="C53">
        <v>3.32</v>
      </c>
    </row>
    <row r="54" spans="1:6" x14ac:dyDescent="0.35">
      <c r="A54" t="s">
        <v>295</v>
      </c>
      <c r="B54" t="s">
        <v>302</v>
      </c>
      <c r="C54">
        <v>18.61</v>
      </c>
    </row>
    <row r="55" spans="1:6" x14ac:dyDescent="0.35">
      <c r="A55" t="s">
        <v>296</v>
      </c>
      <c r="B55" t="s">
        <v>117</v>
      </c>
      <c r="C55">
        <v>9.4600000000000009</v>
      </c>
    </row>
    <row r="56" spans="1:6" x14ac:dyDescent="0.35">
      <c r="A56" t="s">
        <v>303</v>
      </c>
      <c r="B56" t="s">
        <v>123</v>
      </c>
      <c r="C56">
        <v>3.04</v>
      </c>
    </row>
    <row r="57" spans="1:6" x14ac:dyDescent="0.35">
      <c r="A57" t="s">
        <v>297</v>
      </c>
      <c r="B57" t="s">
        <v>298</v>
      </c>
      <c r="C57">
        <v>33.17</v>
      </c>
    </row>
    <row r="58" spans="1:6" x14ac:dyDescent="0.35">
      <c r="A58" t="s">
        <v>288</v>
      </c>
      <c r="B58" t="s">
        <v>117</v>
      </c>
      <c r="C58">
        <v>6.38</v>
      </c>
    </row>
    <row r="59" spans="1:6" x14ac:dyDescent="0.35">
      <c r="A59" t="s">
        <v>299</v>
      </c>
      <c r="B59" t="s">
        <v>300</v>
      </c>
      <c r="C59">
        <v>19.37</v>
      </c>
    </row>
    <row r="60" spans="1:6" x14ac:dyDescent="0.35">
      <c r="C60">
        <v>0</v>
      </c>
      <c r="D60">
        <f>SUM(C49:C59)</f>
        <v>130.59</v>
      </c>
      <c r="E60">
        <f>SUM(C2:C59)</f>
        <v>934.01999999999975</v>
      </c>
      <c r="F60" t="s">
        <v>282</v>
      </c>
    </row>
    <row r="61" spans="1:6" x14ac:dyDescent="0.35">
      <c r="A61" t="s">
        <v>283</v>
      </c>
      <c r="B61" t="s">
        <v>117</v>
      </c>
      <c r="C61">
        <v>9.7799999999999994</v>
      </c>
    </row>
    <row r="62" spans="1:6" x14ac:dyDescent="0.35">
      <c r="A62" t="s">
        <v>369</v>
      </c>
      <c r="B62" t="s">
        <v>370</v>
      </c>
      <c r="C62">
        <v>2.41</v>
      </c>
    </row>
    <row r="63" spans="1:6" x14ac:dyDescent="0.35">
      <c r="A63" t="s">
        <v>359</v>
      </c>
      <c r="B63" t="s">
        <v>360</v>
      </c>
      <c r="C63">
        <v>68.09</v>
      </c>
    </row>
    <row r="64" spans="1:6" x14ac:dyDescent="0.35">
      <c r="A64" t="s">
        <v>285</v>
      </c>
      <c r="B64" t="s">
        <v>117</v>
      </c>
      <c r="C64">
        <v>10.34</v>
      </c>
    </row>
    <row r="65" spans="1:6" x14ac:dyDescent="0.35">
      <c r="A65" t="s">
        <v>351</v>
      </c>
      <c r="B65" t="s">
        <v>361</v>
      </c>
      <c r="C65">
        <v>3</v>
      </c>
    </row>
    <row r="66" spans="1:6" x14ac:dyDescent="0.35">
      <c r="A66" t="s">
        <v>351</v>
      </c>
      <c r="B66" t="s">
        <v>362</v>
      </c>
      <c r="C66">
        <v>3</v>
      </c>
    </row>
    <row r="67" spans="1:6" x14ac:dyDescent="0.35">
      <c r="A67" t="s">
        <v>351</v>
      </c>
      <c r="B67" t="s">
        <v>363</v>
      </c>
      <c r="C67">
        <v>3</v>
      </c>
    </row>
    <row r="68" spans="1:6" x14ac:dyDescent="0.35">
      <c r="A68" t="s">
        <v>371</v>
      </c>
      <c r="B68" t="s">
        <v>123</v>
      </c>
      <c r="C68">
        <v>11.6</v>
      </c>
    </row>
    <row r="69" spans="1:6" x14ac:dyDescent="0.35">
      <c r="A69" t="s">
        <v>353</v>
      </c>
      <c r="B69" t="s">
        <v>117</v>
      </c>
      <c r="C69">
        <v>6.04</v>
      </c>
    </row>
    <row r="70" spans="1:6" x14ac:dyDescent="0.35">
      <c r="A70" t="s">
        <v>353</v>
      </c>
      <c r="B70" t="s">
        <v>117</v>
      </c>
      <c r="C70">
        <v>26.63</v>
      </c>
    </row>
    <row r="71" spans="1:6" x14ac:dyDescent="0.35">
      <c r="A71" t="s">
        <v>353</v>
      </c>
      <c r="B71" t="s">
        <v>36</v>
      </c>
      <c r="C71">
        <v>39.630000000000003</v>
      </c>
    </row>
    <row r="72" spans="1:6" x14ac:dyDescent="0.35">
      <c r="A72" t="s">
        <v>372</v>
      </c>
      <c r="B72" t="s">
        <v>123</v>
      </c>
      <c r="C72">
        <v>8.56</v>
      </c>
    </row>
    <row r="73" spans="1:6" x14ac:dyDescent="0.35">
      <c r="A73" t="s">
        <v>364</v>
      </c>
      <c r="B73" t="s">
        <v>117</v>
      </c>
      <c r="C73">
        <v>6.04</v>
      </c>
    </row>
    <row r="74" spans="1:6" x14ac:dyDescent="0.35">
      <c r="A74" t="s">
        <v>364</v>
      </c>
      <c r="B74" t="s">
        <v>123</v>
      </c>
      <c r="C74">
        <v>14.92</v>
      </c>
    </row>
    <row r="75" spans="1:6" x14ac:dyDescent="0.35">
      <c r="A75" t="s">
        <v>373</v>
      </c>
      <c r="B75" t="s">
        <v>123</v>
      </c>
      <c r="C75">
        <v>14.37</v>
      </c>
    </row>
    <row r="76" spans="1:6" x14ac:dyDescent="0.35">
      <c r="A76" t="s">
        <v>355</v>
      </c>
      <c r="B76" t="s">
        <v>365</v>
      </c>
      <c r="C76">
        <v>3.36</v>
      </c>
    </row>
    <row r="77" spans="1:6" x14ac:dyDescent="0.35">
      <c r="A77" t="s">
        <v>355</v>
      </c>
      <c r="B77" t="s">
        <v>366</v>
      </c>
      <c r="C77">
        <v>8.94</v>
      </c>
    </row>
    <row r="78" spans="1:6" x14ac:dyDescent="0.35">
      <c r="A78" t="s">
        <v>355</v>
      </c>
      <c r="B78" t="s">
        <v>367</v>
      </c>
      <c r="C78">
        <v>143.13</v>
      </c>
    </row>
    <row r="79" spans="1:6" x14ac:dyDescent="0.35">
      <c r="C79">
        <v>0</v>
      </c>
      <c r="D79">
        <f>SUM(C61:C78)</f>
        <v>382.84000000000003</v>
      </c>
      <c r="E79">
        <f>SUM(C2:C78)</f>
        <v>1316.8599999999997</v>
      </c>
      <c r="F79" t="s">
        <v>347</v>
      </c>
    </row>
    <row r="80" spans="1:6" x14ac:dyDescent="0.35">
      <c r="A80" t="s">
        <v>368</v>
      </c>
      <c r="B80" t="s">
        <v>117</v>
      </c>
      <c r="C80">
        <v>2.21</v>
      </c>
    </row>
    <row r="81" spans="1:3" x14ac:dyDescent="0.35">
      <c r="A81" t="s">
        <v>368</v>
      </c>
      <c r="B81" t="s">
        <v>123</v>
      </c>
      <c r="C81">
        <v>11.6</v>
      </c>
    </row>
    <row r="82" spans="1:3" x14ac:dyDescent="0.35">
      <c r="A82" t="s">
        <v>358</v>
      </c>
      <c r="B82" t="s">
        <v>117</v>
      </c>
      <c r="C82">
        <v>4.7300000000000004</v>
      </c>
    </row>
    <row r="83" spans="1:3" x14ac:dyDescent="0.35">
      <c r="A83" t="s">
        <v>358</v>
      </c>
      <c r="B83" t="s">
        <v>206</v>
      </c>
      <c r="C83">
        <v>8</v>
      </c>
    </row>
    <row r="84" spans="1:3" x14ac:dyDescent="0.35">
      <c r="A84" t="s">
        <v>405</v>
      </c>
      <c r="B84" t="s">
        <v>117</v>
      </c>
      <c r="C84">
        <v>7.36</v>
      </c>
    </row>
    <row r="85" spans="1:3" x14ac:dyDescent="0.35">
      <c r="A85" t="s">
        <v>446</v>
      </c>
      <c r="B85" t="s">
        <v>123</v>
      </c>
      <c r="C85">
        <v>8.56</v>
      </c>
    </row>
    <row r="86" spans="1:3" x14ac:dyDescent="0.35">
      <c r="A86" t="s">
        <v>423</v>
      </c>
      <c r="B86" t="s">
        <v>34</v>
      </c>
      <c r="C86">
        <v>6.14</v>
      </c>
    </row>
    <row r="87" spans="1:3" x14ac:dyDescent="0.35">
      <c r="A87" t="s">
        <v>423</v>
      </c>
      <c r="B87" t="s">
        <v>432</v>
      </c>
      <c r="C87">
        <v>45.16</v>
      </c>
    </row>
    <row r="88" spans="1:3" x14ac:dyDescent="0.35">
      <c r="A88" t="s">
        <v>423</v>
      </c>
      <c r="B88" t="s">
        <v>35</v>
      </c>
      <c r="C88">
        <v>4</v>
      </c>
    </row>
    <row r="89" spans="1:3" x14ac:dyDescent="0.35">
      <c r="A89" t="s">
        <v>424</v>
      </c>
      <c r="B89" t="s">
        <v>434</v>
      </c>
      <c r="C89">
        <v>14.8</v>
      </c>
    </row>
    <row r="90" spans="1:3" x14ac:dyDescent="0.35">
      <c r="A90" t="s">
        <v>447</v>
      </c>
      <c r="B90" t="s">
        <v>123</v>
      </c>
      <c r="C90">
        <v>6.08</v>
      </c>
    </row>
    <row r="91" spans="1:3" x14ac:dyDescent="0.35">
      <c r="A91" t="s">
        <v>348</v>
      </c>
      <c r="B91" t="s">
        <v>123</v>
      </c>
      <c r="C91">
        <v>9.61</v>
      </c>
    </row>
    <row r="92" spans="1:3" x14ac:dyDescent="0.35">
      <c r="A92" t="s">
        <v>435</v>
      </c>
      <c r="B92" t="s">
        <v>117</v>
      </c>
      <c r="C92">
        <v>7.59</v>
      </c>
    </row>
    <row r="93" spans="1:3" x14ac:dyDescent="0.35">
      <c r="A93" t="s">
        <v>437</v>
      </c>
      <c r="B93" t="s">
        <v>438</v>
      </c>
      <c r="C93">
        <v>5</v>
      </c>
    </row>
    <row r="94" spans="1:3" x14ac:dyDescent="0.35">
      <c r="A94" t="s">
        <v>437</v>
      </c>
      <c r="B94" t="s">
        <v>438</v>
      </c>
      <c r="C94">
        <v>5</v>
      </c>
    </row>
    <row r="95" spans="1:3" x14ac:dyDescent="0.35">
      <c r="A95" t="s">
        <v>437</v>
      </c>
      <c r="B95" t="s">
        <v>438</v>
      </c>
      <c r="C95">
        <v>26.68</v>
      </c>
    </row>
    <row r="96" spans="1:3" x14ac:dyDescent="0.35">
      <c r="A96" t="s">
        <v>416</v>
      </c>
      <c r="B96" t="s">
        <v>35</v>
      </c>
      <c r="C96">
        <v>4</v>
      </c>
    </row>
    <row r="97" spans="1:6" x14ac:dyDescent="0.35">
      <c r="A97" t="s">
        <v>439</v>
      </c>
      <c r="B97" t="s">
        <v>440</v>
      </c>
      <c r="C97">
        <v>66.17</v>
      </c>
    </row>
    <row r="98" spans="1:6" x14ac:dyDescent="0.35">
      <c r="A98" t="s">
        <v>448</v>
      </c>
      <c r="B98" t="s">
        <v>123</v>
      </c>
      <c r="C98">
        <v>8.56</v>
      </c>
    </row>
    <row r="99" spans="1:6" x14ac:dyDescent="0.35">
      <c r="A99" t="s">
        <v>441</v>
      </c>
      <c r="B99" t="s">
        <v>112</v>
      </c>
      <c r="C99">
        <v>40.44</v>
      </c>
    </row>
    <row r="100" spans="1:6" x14ac:dyDescent="0.35">
      <c r="A100" t="s">
        <v>442</v>
      </c>
      <c r="B100" t="s">
        <v>117</v>
      </c>
      <c r="C100">
        <v>5.05</v>
      </c>
    </row>
    <row r="101" spans="1:6" x14ac:dyDescent="0.35">
      <c r="A101" t="s">
        <v>431</v>
      </c>
      <c r="B101" t="s">
        <v>205</v>
      </c>
      <c r="C101">
        <v>46.61</v>
      </c>
    </row>
    <row r="102" spans="1:6" x14ac:dyDescent="0.35">
      <c r="A102" t="s">
        <v>418</v>
      </c>
      <c r="B102" t="s">
        <v>117</v>
      </c>
      <c r="C102">
        <v>6.6</v>
      </c>
    </row>
    <row r="103" spans="1:6" x14ac:dyDescent="0.35">
      <c r="C103">
        <v>0</v>
      </c>
      <c r="D103">
        <f>SUM(C80:C102)</f>
        <v>349.95000000000005</v>
      </c>
      <c r="E103">
        <f>SUM(C2:C102)</f>
        <v>1666.8099999999993</v>
      </c>
      <c r="F103" t="s">
        <v>420</v>
      </c>
    </row>
    <row r="104" spans="1:6" x14ac:dyDescent="0.35">
      <c r="A104" t="s">
        <v>427</v>
      </c>
      <c r="B104" t="s">
        <v>432</v>
      </c>
      <c r="C104">
        <v>63.87</v>
      </c>
    </row>
    <row r="105" spans="1:6" x14ac:dyDescent="0.35">
      <c r="A105" t="s">
        <v>427</v>
      </c>
      <c r="B105" t="s">
        <v>444</v>
      </c>
      <c r="C105">
        <v>20</v>
      </c>
    </row>
    <row r="106" spans="1:6" x14ac:dyDescent="0.35">
      <c r="A106" t="s">
        <v>445</v>
      </c>
      <c r="B106" t="s">
        <v>440</v>
      </c>
      <c r="C106">
        <v>15.45</v>
      </c>
    </row>
    <row r="107" spans="1:6" x14ac:dyDescent="0.35">
      <c r="A107" t="s">
        <v>428</v>
      </c>
      <c r="B107" t="s">
        <v>123</v>
      </c>
      <c r="C107">
        <v>11.6</v>
      </c>
    </row>
    <row r="108" spans="1:6" x14ac:dyDescent="0.35">
      <c r="A108" t="s">
        <v>429</v>
      </c>
      <c r="B108" t="s">
        <v>123</v>
      </c>
      <c r="C108">
        <v>9.06</v>
      </c>
    </row>
    <row r="109" spans="1:6" x14ac:dyDescent="0.35">
      <c r="A109" t="s">
        <v>488</v>
      </c>
      <c r="B109" t="s">
        <v>123</v>
      </c>
      <c r="C109">
        <v>11.6</v>
      </c>
    </row>
    <row r="110" spans="1:6" x14ac:dyDescent="0.35">
      <c r="A110" t="s">
        <v>521</v>
      </c>
      <c r="B110" t="s">
        <v>522</v>
      </c>
      <c r="C110">
        <v>15.03</v>
      </c>
    </row>
    <row r="111" spans="1:6" x14ac:dyDescent="0.35">
      <c r="A111" t="s">
        <v>490</v>
      </c>
      <c r="B111" t="s">
        <v>123</v>
      </c>
      <c r="C111">
        <v>6.08</v>
      </c>
    </row>
    <row r="112" spans="1:6" x14ac:dyDescent="0.35">
      <c r="A112" t="s">
        <v>523</v>
      </c>
      <c r="B112" t="s">
        <v>206</v>
      </c>
      <c r="C112">
        <v>8</v>
      </c>
    </row>
    <row r="113" spans="1:3" x14ac:dyDescent="0.35">
      <c r="A113" t="s">
        <v>519</v>
      </c>
      <c r="B113" t="s">
        <v>524</v>
      </c>
      <c r="C113">
        <v>59.27</v>
      </c>
    </row>
    <row r="114" spans="1:3" x14ac:dyDescent="0.35">
      <c r="A114" t="s">
        <v>519</v>
      </c>
      <c r="B114" t="s">
        <v>32</v>
      </c>
      <c r="C114">
        <v>2.88</v>
      </c>
    </row>
    <row r="115" spans="1:3" x14ac:dyDescent="0.35">
      <c r="A115" t="s">
        <v>525</v>
      </c>
      <c r="B115" t="s">
        <v>526</v>
      </c>
      <c r="C115">
        <v>24.15</v>
      </c>
    </row>
    <row r="116" spans="1:3" x14ac:dyDescent="0.35">
      <c r="A116" t="s">
        <v>525</v>
      </c>
      <c r="B116" t="s">
        <v>527</v>
      </c>
      <c r="C116">
        <v>8.98</v>
      </c>
    </row>
    <row r="117" spans="1:3" x14ac:dyDescent="0.35">
      <c r="A117" t="s">
        <v>525</v>
      </c>
      <c r="B117" t="s">
        <v>528</v>
      </c>
      <c r="C117">
        <v>25.65</v>
      </c>
    </row>
    <row r="118" spans="1:3" x14ac:dyDescent="0.35">
      <c r="A118" t="s">
        <v>525</v>
      </c>
      <c r="B118" t="s">
        <v>529</v>
      </c>
      <c r="C118">
        <v>17.260000000000002</v>
      </c>
    </row>
    <row r="119" spans="1:3" x14ac:dyDescent="0.35">
      <c r="A119" t="s">
        <v>530</v>
      </c>
      <c r="B119" t="s">
        <v>531</v>
      </c>
      <c r="C119">
        <v>8.7200000000000006</v>
      </c>
    </row>
    <row r="120" spans="1:3" x14ac:dyDescent="0.35">
      <c r="A120" t="s">
        <v>530</v>
      </c>
      <c r="B120" t="s">
        <v>532</v>
      </c>
      <c r="C120">
        <v>20.6</v>
      </c>
    </row>
    <row r="121" spans="1:3" x14ac:dyDescent="0.35">
      <c r="A121" t="s">
        <v>530</v>
      </c>
      <c r="B121" t="s">
        <v>533</v>
      </c>
      <c r="C121">
        <v>24.84</v>
      </c>
    </row>
    <row r="122" spans="1:3" x14ac:dyDescent="0.35">
      <c r="A122" t="s">
        <v>515</v>
      </c>
      <c r="B122" t="s">
        <v>534</v>
      </c>
      <c r="C122">
        <v>7.01</v>
      </c>
    </row>
    <row r="123" spans="1:3" x14ac:dyDescent="0.35">
      <c r="A123" t="s">
        <v>515</v>
      </c>
      <c r="B123" t="s">
        <v>534</v>
      </c>
      <c r="C123">
        <v>14.46</v>
      </c>
    </row>
    <row r="124" spans="1:3" x14ac:dyDescent="0.35">
      <c r="A124" t="s">
        <v>535</v>
      </c>
      <c r="B124" t="s">
        <v>536</v>
      </c>
      <c r="C124">
        <v>5</v>
      </c>
    </row>
    <row r="125" spans="1:3" x14ac:dyDescent="0.35">
      <c r="A125" t="s">
        <v>535</v>
      </c>
      <c r="B125" t="s">
        <v>536</v>
      </c>
      <c r="C125">
        <v>5</v>
      </c>
    </row>
    <row r="126" spans="1:3" x14ac:dyDescent="0.35">
      <c r="A126" t="s">
        <v>535</v>
      </c>
      <c r="B126" t="s">
        <v>537</v>
      </c>
      <c r="C126">
        <v>65.09</v>
      </c>
    </row>
    <row r="127" spans="1:3" x14ac:dyDescent="0.35">
      <c r="A127" t="s">
        <v>538</v>
      </c>
      <c r="B127" t="s">
        <v>539</v>
      </c>
      <c r="C127">
        <v>85.83</v>
      </c>
    </row>
    <row r="128" spans="1:3" x14ac:dyDescent="0.35">
      <c r="A128" t="s">
        <v>538</v>
      </c>
      <c r="B128" t="s">
        <v>112</v>
      </c>
      <c r="C128">
        <v>39.6</v>
      </c>
    </row>
    <row r="129" spans="1:6" x14ac:dyDescent="0.35">
      <c r="A129" t="s">
        <v>538</v>
      </c>
      <c r="B129" t="s">
        <v>112</v>
      </c>
      <c r="C129">
        <v>1.68</v>
      </c>
    </row>
    <row r="130" spans="1:6" x14ac:dyDescent="0.35">
      <c r="A130" t="s">
        <v>540</v>
      </c>
      <c r="B130" t="s">
        <v>541</v>
      </c>
      <c r="C130">
        <v>6.91</v>
      </c>
    </row>
    <row r="131" spans="1:6" x14ac:dyDescent="0.35">
      <c r="A131" t="s">
        <v>540</v>
      </c>
      <c r="B131" t="s">
        <v>120</v>
      </c>
      <c r="C131">
        <v>6.86</v>
      </c>
    </row>
    <row r="132" spans="1:6" x14ac:dyDescent="0.35">
      <c r="A132" t="s">
        <v>542</v>
      </c>
      <c r="B132" t="s">
        <v>543</v>
      </c>
      <c r="C132">
        <v>7.94</v>
      </c>
    </row>
    <row r="133" spans="1:6" x14ac:dyDescent="0.35">
      <c r="A133" t="s">
        <v>542</v>
      </c>
      <c r="B133" t="s">
        <v>544</v>
      </c>
      <c r="C133">
        <v>5.35</v>
      </c>
    </row>
    <row r="134" spans="1:6" x14ac:dyDescent="0.35">
      <c r="A134" t="s">
        <v>542</v>
      </c>
      <c r="B134" t="s">
        <v>544</v>
      </c>
      <c r="C134">
        <v>3.35</v>
      </c>
    </row>
    <row r="135" spans="1:6" x14ac:dyDescent="0.35">
      <c r="A135" t="s">
        <v>542</v>
      </c>
      <c r="B135" t="s">
        <v>545</v>
      </c>
      <c r="C135">
        <v>20.04</v>
      </c>
    </row>
    <row r="136" spans="1:6" x14ac:dyDescent="0.35">
      <c r="C136">
        <v>0</v>
      </c>
      <c r="D136">
        <f>SUM(C104:C135)</f>
        <v>627.16000000000008</v>
      </c>
      <c r="E136">
        <f>SUM(C2:C135)</f>
        <v>2293.9699999999984</v>
      </c>
      <c r="F136" t="s">
        <v>503</v>
      </c>
    </row>
    <row r="137" spans="1:6" x14ac:dyDescent="0.35">
      <c r="A137" t="s">
        <v>504</v>
      </c>
      <c r="B137" t="s">
        <v>543</v>
      </c>
      <c r="C137">
        <v>7.94</v>
      </c>
    </row>
    <row r="138" spans="1:6" x14ac:dyDescent="0.35">
      <c r="A138" t="s">
        <v>504</v>
      </c>
      <c r="B138" t="s">
        <v>120</v>
      </c>
      <c r="C138">
        <v>9.14</v>
      </c>
    </row>
    <row r="139" spans="1:6" x14ac:dyDescent="0.35">
      <c r="A139" t="s">
        <v>546</v>
      </c>
      <c r="B139" t="s">
        <v>117</v>
      </c>
      <c r="C139">
        <v>2.85</v>
      </c>
    </row>
    <row r="140" spans="1:6" x14ac:dyDescent="0.35">
      <c r="A140" t="s">
        <v>546</v>
      </c>
      <c r="B140" t="s">
        <v>545</v>
      </c>
      <c r="C140">
        <v>12.25</v>
      </c>
    </row>
    <row r="141" spans="1:6" x14ac:dyDescent="0.35">
      <c r="A141" t="s">
        <v>622</v>
      </c>
      <c r="B141" t="s">
        <v>638</v>
      </c>
      <c r="C141">
        <v>6.4</v>
      </c>
    </row>
    <row r="142" spans="1:6" x14ac:dyDescent="0.35">
      <c r="A142" t="s">
        <v>639</v>
      </c>
      <c r="B142" t="s">
        <v>36</v>
      </c>
      <c r="C142">
        <v>125.67</v>
      </c>
    </row>
    <row r="143" spans="1:6" x14ac:dyDescent="0.35">
      <c r="A143" t="s">
        <v>625</v>
      </c>
      <c r="B143" t="s">
        <v>119</v>
      </c>
      <c r="C143">
        <v>7.5</v>
      </c>
    </row>
    <row r="144" spans="1:6" x14ac:dyDescent="0.35">
      <c r="A144" t="s">
        <v>645</v>
      </c>
      <c r="B144" t="s">
        <v>123</v>
      </c>
      <c r="C144">
        <v>11.6</v>
      </c>
    </row>
    <row r="145" spans="1:6" x14ac:dyDescent="0.35">
      <c r="A145" t="s">
        <v>640</v>
      </c>
      <c r="B145" t="s">
        <v>117</v>
      </c>
      <c r="C145">
        <v>4.2699999999999996</v>
      </c>
    </row>
    <row r="146" spans="1:6" x14ac:dyDescent="0.35">
      <c r="A146" t="s">
        <v>641</v>
      </c>
      <c r="B146" t="s">
        <v>642</v>
      </c>
      <c r="C146">
        <v>12.76</v>
      </c>
    </row>
    <row r="147" spans="1:6" x14ac:dyDescent="0.35">
      <c r="A147" t="s">
        <v>641</v>
      </c>
      <c r="B147" t="s">
        <v>444</v>
      </c>
      <c r="C147">
        <v>15.19</v>
      </c>
    </row>
    <row r="148" spans="1:6" x14ac:dyDescent="0.35">
      <c r="A148" t="s">
        <v>646</v>
      </c>
      <c r="B148" t="s">
        <v>543</v>
      </c>
      <c r="C148">
        <v>7.94</v>
      </c>
    </row>
    <row r="149" spans="1:6" x14ac:dyDescent="0.35">
      <c r="A149" t="s">
        <v>647</v>
      </c>
      <c r="B149" t="s">
        <v>302</v>
      </c>
      <c r="C149">
        <v>15.71</v>
      </c>
    </row>
    <row r="150" spans="1:6" x14ac:dyDescent="0.35">
      <c r="A150" t="s">
        <v>627</v>
      </c>
      <c r="B150" t="s">
        <v>119</v>
      </c>
      <c r="C150">
        <v>13.25</v>
      </c>
    </row>
    <row r="151" spans="1:6" x14ac:dyDescent="0.35">
      <c r="A151" t="s">
        <v>631</v>
      </c>
      <c r="B151" t="s">
        <v>648</v>
      </c>
      <c r="C151">
        <v>100.87</v>
      </c>
    </row>
    <row r="152" spans="1:6" x14ac:dyDescent="0.35">
      <c r="C152">
        <v>0</v>
      </c>
      <c r="D152">
        <f>SUM(C137:C151)</f>
        <v>353.34000000000003</v>
      </c>
      <c r="E152">
        <f>SUM(C2:C151)</f>
        <v>2647.3099999999986</v>
      </c>
      <c r="F152" t="s">
        <v>614</v>
      </c>
    </row>
    <row r="153" spans="1:6" x14ac:dyDescent="0.35">
      <c r="A153" t="s">
        <v>643</v>
      </c>
      <c r="B153" t="s">
        <v>117</v>
      </c>
      <c r="C153">
        <v>2.85</v>
      </c>
    </row>
    <row r="154" spans="1:6" x14ac:dyDescent="0.35">
      <c r="A154" t="s">
        <v>643</v>
      </c>
      <c r="B154" t="s">
        <v>543</v>
      </c>
      <c r="C154">
        <v>8.02</v>
      </c>
    </row>
    <row r="155" spans="1:6" x14ac:dyDescent="0.35">
      <c r="A155" t="s">
        <v>629</v>
      </c>
      <c r="B155" t="s">
        <v>123</v>
      </c>
      <c r="C155">
        <v>8.84</v>
      </c>
    </row>
    <row r="156" spans="1:6" x14ac:dyDescent="0.35">
      <c r="A156" t="s">
        <v>632</v>
      </c>
      <c r="B156" t="s">
        <v>633</v>
      </c>
      <c r="C156">
        <v>-2.25</v>
      </c>
    </row>
    <row r="157" spans="1:6" x14ac:dyDescent="0.35">
      <c r="A157" t="s">
        <v>632</v>
      </c>
      <c r="B157" t="s">
        <v>633</v>
      </c>
      <c r="C157">
        <v>2.25</v>
      </c>
    </row>
    <row r="158" spans="1:6" x14ac:dyDescent="0.35">
      <c r="A158" t="s">
        <v>632</v>
      </c>
      <c r="B158" t="s">
        <v>721</v>
      </c>
      <c r="C158">
        <v>4</v>
      </c>
    </row>
    <row r="159" spans="1:6" x14ac:dyDescent="0.35">
      <c r="A159" t="s">
        <v>632</v>
      </c>
      <c r="B159" t="s">
        <v>644</v>
      </c>
      <c r="C159">
        <v>9.49</v>
      </c>
    </row>
    <row r="160" spans="1:6" x14ac:dyDescent="0.35">
      <c r="A160" t="s">
        <v>668</v>
      </c>
      <c r="B160" t="s">
        <v>123</v>
      </c>
      <c r="C160">
        <v>11.6</v>
      </c>
    </row>
    <row r="161" spans="1:3" x14ac:dyDescent="0.35">
      <c r="A161" t="s">
        <v>668</v>
      </c>
      <c r="B161" t="s">
        <v>633</v>
      </c>
      <c r="C161">
        <v>1.35</v>
      </c>
    </row>
    <row r="162" spans="1:3" x14ac:dyDescent="0.35">
      <c r="A162" t="s">
        <v>668</v>
      </c>
      <c r="B162" t="s">
        <v>633</v>
      </c>
      <c r="C162">
        <v>1.35</v>
      </c>
    </row>
    <row r="163" spans="1:3" x14ac:dyDescent="0.35">
      <c r="A163" t="s">
        <v>668</v>
      </c>
      <c r="B163" t="s">
        <v>633</v>
      </c>
      <c r="C163">
        <v>1.75</v>
      </c>
    </row>
    <row r="164" spans="1:3" x14ac:dyDescent="0.35">
      <c r="A164" t="s">
        <v>668</v>
      </c>
      <c r="B164" t="s">
        <v>721</v>
      </c>
      <c r="C164">
        <v>5.71</v>
      </c>
    </row>
    <row r="165" spans="1:3" x14ac:dyDescent="0.35">
      <c r="A165" t="s">
        <v>668</v>
      </c>
      <c r="B165" t="s">
        <v>739</v>
      </c>
      <c r="C165">
        <v>15.18</v>
      </c>
    </row>
    <row r="166" spans="1:3" x14ac:dyDescent="0.35">
      <c r="A166" t="s">
        <v>708</v>
      </c>
      <c r="B166" t="s">
        <v>633</v>
      </c>
      <c r="C166">
        <v>1.35</v>
      </c>
    </row>
    <row r="167" spans="1:3" x14ac:dyDescent="0.35">
      <c r="A167" t="s">
        <v>708</v>
      </c>
      <c r="B167" t="s">
        <v>633</v>
      </c>
      <c r="C167">
        <v>1.35</v>
      </c>
    </row>
    <row r="168" spans="1:3" x14ac:dyDescent="0.35">
      <c r="A168" t="s">
        <v>708</v>
      </c>
      <c r="B168" t="s">
        <v>722</v>
      </c>
      <c r="C168">
        <v>5.04</v>
      </c>
    </row>
    <row r="169" spans="1:3" x14ac:dyDescent="0.35">
      <c r="A169" t="s">
        <v>708</v>
      </c>
      <c r="B169" t="s">
        <v>722</v>
      </c>
      <c r="C169">
        <v>1.75</v>
      </c>
    </row>
    <row r="170" spans="1:3" x14ac:dyDescent="0.35">
      <c r="A170" t="s">
        <v>723</v>
      </c>
      <c r="B170" t="s">
        <v>117</v>
      </c>
      <c r="C170">
        <v>7.46</v>
      </c>
    </row>
    <row r="171" spans="1:3" x14ac:dyDescent="0.35">
      <c r="A171" t="s">
        <v>724</v>
      </c>
      <c r="B171" t="s">
        <v>725</v>
      </c>
      <c r="C171">
        <v>-19.72</v>
      </c>
    </row>
    <row r="172" spans="1:3" x14ac:dyDescent="0.35">
      <c r="A172" t="s">
        <v>724</v>
      </c>
      <c r="B172" t="s">
        <v>726</v>
      </c>
      <c r="C172">
        <v>5.73</v>
      </c>
    </row>
    <row r="173" spans="1:3" x14ac:dyDescent="0.35">
      <c r="A173" t="s">
        <v>724</v>
      </c>
      <c r="B173" t="s">
        <v>725</v>
      </c>
      <c r="C173">
        <v>19.72</v>
      </c>
    </row>
    <row r="174" spans="1:3" x14ac:dyDescent="0.35">
      <c r="A174" t="s">
        <v>615</v>
      </c>
      <c r="B174" t="s">
        <v>543</v>
      </c>
      <c r="C174">
        <v>8.02</v>
      </c>
    </row>
    <row r="175" spans="1:3" x14ac:dyDescent="0.35">
      <c r="A175" t="s">
        <v>710</v>
      </c>
      <c r="B175" t="s">
        <v>119</v>
      </c>
      <c r="C175">
        <v>7.17</v>
      </c>
    </row>
    <row r="176" spans="1:3" x14ac:dyDescent="0.35">
      <c r="A176" t="s">
        <v>710</v>
      </c>
      <c r="B176" t="s">
        <v>117</v>
      </c>
      <c r="C176">
        <v>2.85</v>
      </c>
    </row>
    <row r="177" spans="1:6" x14ac:dyDescent="0.35">
      <c r="A177" t="s">
        <v>727</v>
      </c>
      <c r="B177" t="s">
        <v>117</v>
      </c>
      <c r="C177">
        <v>5.05</v>
      </c>
    </row>
    <row r="178" spans="1:6" x14ac:dyDescent="0.35">
      <c r="A178" t="s">
        <v>728</v>
      </c>
      <c r="B178" t="s">
        <v>117</v>
      </c>
      <c r="C178">
        <v>2.85</v>
      </c>
    </row>
    <row r="179" spans="1:6" x14ac:dyDescent="0.35">
      <c r="A179" t="s">
        <v>729</v>
      </c>
      <c r="B179" t="s">
        <v>730</v>
      </c>
      <c r="C179">
        <v>10.98</v>
      </c>
    </row>
    <row r="180" spans="1:6" x14ac:dyDescent="0.35">
      <c r="A180" t="s">
        <v>713</v>
      </c>
      <c r="B180" t="s">
        <v>726</v>
      </c>
      <c r="C180">
        <v>2.21</v>
      </c>
    </row>
    <row r="181" spans="1:6" x14ac:dyDescent="0.35">
      <c r="A181" t="s">
        <v>740</v>
      </c>
      <c r="B181" t="s">
        <v>123</v>
      </c>
      <c r="C181">
        <v>8.84</v>
      </c>
    </row>
    <row r="182" spans="1:6" x14ac:dyDescent="0.35">
      <c r="A182" t="s">
        <v>714</v>
      </c>
      <c r="B182" t="s">
        <v>731</v>
      </c>
      <c r="C182">
        <v>1.76</v>
      </c>
    </row>
    <row r="183" spans="1:6" x14ac:dyDescent="0.35">
      <c r="A183" t="s">
        <v>732</v>
      </c>
      <c r="B183" t="s">
        <v>726</v>
      </c>
      <c r="C183">
        <v>6.51</v>
      </c>
    </row>
    <row r="184" spans="1:6" x14ac:dyDescent="0.35">
      <c r="A184" t="s">
        <v>715</v>
      </c>
      <c r="B184" t="s">
        <v>543</v>
      </c>
      <c r="C184">
        <v>8.02</v>
      </c>
    </row>
    <row r="185" spans="1:6" x14ac:dyDescent="0.35">
      <c r="A185" t="s">
        <v>716</v>
      </c>
      <c r="B185" t="s">
        <v>35</v>
      </c>
      <c r="C185">
        <v>0.56000000000000005</v>
      </c>
    </row>
    <row r="186" spans="1:6" x14ac:dyDescent="0.35">
      <c r="A186" t="s">
        <v>716</v>
      </c>
      <c r="B186" t="s">
        <v>36</v>
      </c>
      <c r="C186">
        <v>84.89</v>
      </c>
    </row>
    <row r="187" spans="1:6" x14ac:dyDescent="0.35">
      <c r="A187" t="s">
        <v>716</v>
      </c>
      <c r="B187" t="s">
        <v>733</v>
      </c>
      <c r="C187">
        <v>9.6999999999999993</v>
      </c>
    </row>
    <row r="188" spans="1:6" x14ac:dyDescent="0.35">
      <c r="C188">
        <v>0</v>
      </c>
      <c r="D188">
        <f>SUM(C153:C187)</f>
        <v>252.22999999999996</v>
      </c>
      <c r="E188">
        <f>SUM(C2:C187)</f>
        <v>2899.5399999999981</v>
      </c>
      <c r="F188" t="s">
        <v>699</v>
      </c>
    </row>
    <row r="189" spans="1:6" x14ac:dyDescent="0.35">
      <c r="A189" t="s">
        <v>734</v>
      </c>
      <c r="B189" t="s">
        <v>735</v>
      </c>
      <c r="C189">
        <v>5.91</v>
      </c>
    </row>
    <row r="190" spans="1:6" x14ac:dyDescent="0.35">
      <c r="A190" t="s">
        <v>734</v>
      </c>
      <c r="B190" t="s">
        <v>735</v>
      </c>
      <c r="C190">
        <v>10.75</v>
      </c>
    </row>
    <row r="191" spans="1:6" x14ac:dyDescent="0.35">
      <c r="A191" t="s">
        <v>734</v>
      </c>
      <c r="B191" t="s">
        <v>736</v>
      </c>
      <c r="C191">
        <v>12.8</v>
      </c>
    </row>
    <row r="192" spans="1:6" x14ac:dyDescent="0.35">
      <c r="A192" t="s">
        <v>700</v>
      </c>
      <c r="B192" t="s">
        <v>444</v>
      </c>
      <c r="C192">
        <v>15</v>
      </c>
    </row>
    <row r="193" spans="1:3" x14ac:dyDescent="0.35">
      <c r="A193" t="s">
        <v>700</v>
      </c>
      <c r="B193" t="s">
        <v>738</v>
      </c>
      <c r="C193">
        <v>6.5</v>
      </c>
    </row>
    <row r="194" spans="1:3" x14ac:dyDescent="0.35">
      <c r="A194" t="s">
        <v>700</v>
      </c>
      <c r="B194" t="s">
        <v>35</v>
      </c>
      <c r="C194">
        <v>1</v>
      </c>
    </row>
    <row r="195" spans="1:3" x14ac:dyDescent="0.35">
      <c r="A195" t="s">
        <v>717</v>
      </c>
      <c r="B195" t="s">
        <v>726</v>
      </c>
      <c r="C195">
        <v>2.21</v>
      </c>
    </row>
    <row r="196" spans="1:3" x14ac:dyDescent="0.35">
      <c r="A196" t="s">
        <v>809</v>
      </c>
      <c r="B196" t="s">
        <v>119</v>
      </c>
      <c r="C196">
        <v>40.31</v>
      </c>
    </row>
    <row r="197" spans="1:3" x14ac:dyDescent="0.35">
      <c r="A197" t="s">
        <v>826</v>
      </c>
      <c r="B197" t="s">
        <v>726</v>
      </c>
      <c r="C197">
        <v>5.73</v>
      </c>
    </row>
    <row r="198" spans="1:3" x14ac:dyDescent="0.35">
      <c r="A198" t="s">
        <v>785</v>
      </c>
      <c r="B198" t="s">
        <v>726</v>
      </c>
      <c r="C198">
        <v>2.21</v>
      </c>
    </row>
    <row r="199" spans="1:3" x14ac:dyDescent="0.35">
      <c r="A199" t="s">
        <v>811</v>
      </c>
      <c r="B199" t="s">
        <v>638</v>
      </c>
      <c r="C199">
        <v>6.62</v>
      </c>
    </row>
    <row r="200" spans="1:3" x14ac:dyDescent="0.35">
      <c r="A200" t="s">
        <v>812</v>
      </c>
      <c r="B200" t="s">
        <v>827</v>
      </c>
      <c r="C200">
        <v>17.489999999999998</v>
      </c>
    </row>
    <row r="201" spans="1:3" x14ac:dyDescent="0.35">
      <c r="A201" t="s">
        <v>828</v>
      </c>
      <c r="B201" t="s">
        <v>726</v>
      </c>
      <c r="C201">
        <v>8.81</v>
      </c>
    </row>
    <row r="202" spans="1:3" x14ac:dyDescent="0.35">
      <c r="A202" t="s">
        <v>828</v>
      </c>
      <c r="B202" t="s">
        <v>120</v>
      </c>
      <c r="C202">
        <v>6.86</v>
      </c>
    </row>
    <row r="203" spans="1:3" x14ac:dyDescent="0.35">
      <c r="A203" t="s">
        <v>828</v>
      </c>
      <c r="B203" t="s">
        <v>120</v>
      </c>
      <c r="C203">
        <v>2.29</v>
      </c>
    </row>
    <row r="204" spans="1:3" x14ac:dyDescent="0.35">
      <c r="A204" t="s">
        <v>814</v>
      </c>
      <c r="B204" t="s">
        <v>117</v>
      </c>
      <c r="C204">
        <v>2.85</v>
      </c>
    </row>
    <row r="205" spans="1:3" x14ac:dyDescent="0.35">
      <c r="A205" t="s">
        <v>814</v>
      </c>
      <c r="B205" t="s">
        <v>829</v>
      </c>
      <c r="C205">
        <v>3.29</v>
      </c>
    </row>
    <row r="206" spans="1:3" x14ac:dyDescent="0.35">
      <c r="A206" t="s">
        <v>814</v>
      </c>
      <c r="B206" t="s">
        <v>726</v>
      </c>
      <c r="C206">
        <v>4.42</v>
      </c>
    </row>
    <row r="207" spans="1:3" x14ac:dyDescent="0.35">
      <c r="A207" t="s">
        <v>802</v>
      </c>
      <c r="B207" t="s">
        <v>117</v>
      </c>
      <c r="C207">
        <v>18.850000000000001</v>
      </c>
    </row>
    <row r="208" spans="1:3" x14ac:dyDescent="0.35">
      <c r="A208" t="s">
        <v>830</v>
      </c>
      <c r="B208" t="s">
        <v>829</v>
      </c>
      <c r="C208">
        <v>7.59</v>
      </c>
    </row>
    <row r="209" spans="1:6" x14ac:dyDescent="0.35">
      <c r="A209" t="s">
        <v>831</v>
      </c>
      <c r="B209" t="s">
        <v>36</v>
      </c>
      <c r="C209">
        <v>149.44999999999999</v>
      </c>
    </row>
    <row r="210" spans="1:6" x14ac:dyDescent="0.35">
      <c r="A210" t="s">
        <v>815</v>
      </c>
      <c r="B210" t="s">
        <v>733</v>
      </c>
      <c r="C210">
        <v>11.9</v>
      </c>
    </row>
    <row r="211" spans="1:6" x14ac:dyDescent="0.35">
      <c r="A211" t="s">
        <v>794</v>
      </c>
      <c r="B211" t="s">
        <v>726</v>
      </c>
      <c r="C211">
        <v>5.4</v>
      </c>
    </row>
    <row r="212" spans="1:6" x14ac:dyDescent="0.35">
      <c r="A212" t="s">
        <v>832</v>
      </c>
      <c r="B212" t="s">
        <v>833</v>
      </c>
      <c r="C212">
        <v>9.66</v>
      </c>
    </row>
    <row r="213" spans="1:6" x14ac:dyDescent="0.35">
      <c r="A213" t="s">
        <v>819</v>
      </c>
      <c r="B213" t="s">
        <v>821</v>
      </c>
      <c r="C213">
        <v>10.49</v>
      </c>
    </row>
    <row r="214" spans="1:6" x14ac:dyDescent="0.35">
      <c r="A214" t="s">
        <v>834</v>
      </c>
      <c r="B214" t="s">
        <v>123</v>
      </c>
      <c r="C214">
        <v>9.06</v>
      </c>
    </row>
    <row r="215" spans="1:6" x14ac:dyDescent="0.35">
      <c r="A215" t="s">
        <v>834</v>
      </c>
      <c r="B215" t="s">
        <v>835</v>
      </c>
      <c r="C215">
        <v>5.67</v>
      </c>
    </row>
    <row r="216" spans="1:6" x14ac:dyDescent="0.35">
      <c r="A216" t="s">
        <v>822</v>
      </c>
      <c r="B216" t="s">
        <v>823</v>
      </c>
      <c r="C216">
        <v>11.34</v>
      </c>
    </row>
    <row r="217" spans="1:6" x14ac:dyDescent="0.35">
      <c r="A217" t="s">
        <v>822</v>
      </c>
      <c r="B217" t="s">
        <v>823</v>
      </c>
      <c r="C217">
        <v>3.01</v>
      </c>
    </row>
    <row r="218" spans="1:6" x14ac:dyDescent="0.35">
      <c r="A218" t="s">
        <v>817</v>
      </c>
      <c r="B218" t="s">
        <v>836</v>
      </c>
      <c r="C218">
        <v>7.89</v>
      </c>
    </row>
    <row r="219" spans="1:6" x14ac:dyDescent="0.35">
      <c r="A219" t="s">
        <v>817</v>
      </c>
      <c r="B219" t="s">
        <v>444</v>
      </c>
      <c r="C219">
        <v>12.5</v>
      </c>
    </row>
    <row r="220" spans="1:6" x14ac:dyDescent="0.35">
      <c r="C220">
        <v>0</v>
      </c>
      <c r="D220">
        <f>SUM(C189:C219)</f>
        <v>417.8599999999999</v>
      </c>
      <c r="E220">
        <f>SUM(C2:C219)</f>
        <v>3317.3999999999978</v>
      </c>
      <c r="F220" t="s">
        <v>796</v>
      </c>
    </row>
    <row r="221" spans="1:6" x14ac:dyDescent="0.35">
      <c r="A221" t="s">
        <v>837</v>
      </c>
      <c r="B221" t="s">
        <v>726</v>
      </c>
      <c r="C221">
        <v>6.72</v>
      </c>
    </row>
    <row r="222" spans="1:6" x14ac:dyDescent="0.35">
      <c r="A222" t="s">
        <v>838</v>
      </c>
      <c r="B222" t="s">
        <v>543</v>
      </c>
      <c r="C222">
        <v>8.02</v>
      </c>
    </row>
    <row r="223" spans="1:6" x14ac:dyDescent="0.35">
      <c r="A223" t="s">
        <v>842</v>
      </c>
      <c r="B223" t="s">
        <v>112</v>
      </c>
      <c r="C223">
        <v>36.880000000000003</v>
      </c>
    </row>
    <row r="224" spans="1:6" x14ac:dyDescent="0.35">
      <c r="A224" t="s">
        <v>888</v>
      </c>
      <c r="B224" t="s">
        <v>119</v>
      </c>
      <c r="C224">
        <v>6.96</v>
      </c>
    </row>
    <row r="225" spans="1:3" x14ac:dyDescent="0.35">
      <c r="A225" t="s">
        <v>888</v>
      </c>
      <c r="B225" t="s">
        <v>117</v>
      </c>
      <c r="C225">
        <v>2.85</v>
      </c>
    </row>
    <row r="226" spans="1:3" x14ac:dyDescent="0.35">
      <c r="A226" t="s">
        <v>888</v>
      </c>
      <c r="B226" t="s">
        <v>833</v>
      </c>
      <c r="C226">
        <v>6</v>
      </c>
    </row>
    <row r="227" spans="1:3" x14ac:dyDescent="0.35">
      <c r="A227" t="s">
        <v>888</v>
      </c>
      <c r="B227" t="s">
        <v>956</v>
      </c>
      <c r="C227">
        <v>1.56</v>
      </c>
    </row>
    <row r="228" spans="1:3" x14ac:dyDescent="0.35">
      <c r="A228" t="s">
        <v>888</v>
      </c>
      <c r="B228" t="s">
        <v>956</v>
      </c>
      <c r="C228">
        <v>10.199999999999999</v>
      </c>
    </row>
    <row r="229" spans="1:3" x14ac:dyDescent="0.35">
      <c r="A229" t="s">
        <v>899</v>
      </c>
      <c r="B229" t="s">
        <v>903</v>
      </c>
      <c r="C229">
        <v>12.85</v>
      </c>
    </row>
    <row r="230" spans="1:3" x14ac:dyDescent="0.35">
      <c r="A230" t="s">
        <v>899</v>
      </c>
      <c r="B230" t="s">
        <v>821</v>
      </c>
      <c r="C230">
        <v>8.39</v>
      </c>
    </row>
    <row r="231" spans="1:3" x14ac:dyDescent="0.35">
      <c r="A231" t="s">
        <v>899</v>
      </c>
      <c r="B231" t="s">
        <v>835</v>
      </c>
      <c r="C231">
        <v>9.42</v>
      </c>
    </row>
    <row r="232" spans="1:3" x14ac:dyDescent="0.35">
      <c r="A232" t="s">
        <v>899</v>
      </c>
      <c r="B232" t="s">
        <v>827</v>
      </c>
      <c r="C232">
        <v>7.7</v>
      </c>
    </row>
    <row r="233" spans="1:3" x14ac:dyDescent="0.35">
      <c r="A233" t="s">
        <v>899</v>
      </c>
      <c r="B233" t="s">
        <v>123</v>
      </c>
      <c r="C233">
        <v>3.04</v>
      </c>
    </row>
    <row r="234" spans="1:3" x14ac:dyDescent="0.35">
      <c r="A234" t="s">
        <v>873</v>
      </c>
      <c r="B234" t="s">
        <v>933</v>
      </c>
      <c r="C234">
        <v>381.19</v>
      </c>
    </row>
    <row r="235" spans="1:3" x14ac:dyDescent="0.35">
      <c r="A235" t="s">
        <v>873</v>
      </c>
      <c r="B235" t="s">
        <v>726</v>
      </c>
      <c r="C235">
        <v>10.24</v>
      </c>
    </row>
    <row r="236" spans="1:3" x14ac:dyDescent="0.35">
      <c r="A236" t="s">
        <v>890</v>
      </c>
      <c r="B236" t="s">
        <v>726</v>
      </c>
      <c r="C236">
        <v>7.93</v>
      </c>
    </row>
    <row r="237" spans="1:3" x14ac:dyDescent="0.35">
      <c r="A237" t="s">
        <v>904</v>
      </c>
      <c r="B237" t="s">
        <v>905</v>
      </c>
      <c r="C237">
        <v>18.010000000000002</v>
      </c>
    </row>
    <row r="238" spans="1:3" x14ac:dyDescent="0.35">
      <c r="A238" t="s">
        <v>906</v>
      </c>
      <c r="B238" t="s">
        <v>123</v>
      </c>
      <c r="C238">
        <v>6.85</v>
      </c>
    </row>
    <row r="239" spans="1:3" x14ac:dyDescent="0.35">
      <c r="A239" t="s">
        <v>805</v>
      </c>
      <c r="B239" t="s">
        <v>117</v>
      </c>
      <c r="C239">
        <v>2.85</v>
      </c>
    </row>
    <row r="240" spans="1:3" x14ac:dyDescent="0.35">
      <c r="A240" t="s">
        <v>891</v>
      </c>
      <c r="B240" t="s">
        <v>907</v>
      </c>
      <c r="C240">
        <v>2.4300000000000002</v>
      </c>
    </row>
    <row r="241" spans="1:6" x14ac:dyDescent="0.35">
      <c r="A241" t="s">
        <v>891</v>
      </c>
      <c r="B241" t="s">
        <v>440</v>
      </c>
      <c r="C241">
        <v>60.13</v>
      </c>
    </row>
    <row r="242" spans="1:6" x14ac:dyDescent="0.35">
      <c r="A242" t="s">
        <v>908</v>
      </c>
      <c r="B242" t="s">
        <v>909</v>
      </c>
      <c r="C242">
        <v>13.89</v>
      </c>
    </row>
    <row r="243" spans="1:6" x14ac:dyDescent="0.35">
      <c r="A243" t="s">
        <v>893</v>
      </c>
      <c r="B243" t="s">
        <v>123</v>
      </c>
      <c r="C243">
        <v>15.97</v>
      </c>
    </row>
    <row r="244" spans="1:6" x14ac:dyDescent="0.35">
      <c r="A244" t="s">
        <v>893</v>
      </c>
      <c r="B244" t="s">
        <v>726</v>
      </c>
      <c r="C244">
        <v>4.42</v>
      </c>
    </row>
    <row r="245" spans="1:6" x14ac:dyDescent="0.35">
      <c r="A245" t="s">
        <v>910</v>
      </c>
      <c r="B245" t="s">
        <v>112</v>
      </c>
      <c r="C245">
        <v>4.12</v>
      </c>
    </row>
    <row r="246" spans="1:6" x14ac:dyDescent="0.35">
      <c r="A246" t="s">
        <v>910</v>
      </c>
      <c r="B246" t="s">
        <v>112</v>
      </c>
      <c r="C246">
        <v>33.54</v>
      </c>
    </row>
    <row r="247" spans="1:6" x14ac:dyDescent="0.35">
      <c r="A247" t="s">
        <v>894</v>
      </c>
      <c r="B247" t="s">
        <v>835</v>
      </c>
      <c r="C247">
        <v>5.67</v>
      </c>
    </row>
    <row r="248" spans="1:6" x14ac:dyDescent="0.35">
      <c r="A248" t="s">
        <v>896</v>
      </c>
      <c r="B248" t="s">
        <v>900</v>
      </c>
      <c r="C248">
        <v>5.37</v>
      </c>
    </row>
    <row r="249" spans="1:6" x14ac:dyDescent="0.35">
      <c r="A249" t="s">
        <v>883</v>
      </c>
      <c r="B249" t="s">
        <v>123</v>
      </c>
      <c r="C249">
        <v>3.26</v>
      </c>
    </row>
    <row r="250" spans="1:6" x14ac:dyDescent="0.35">
      <c r="A250" t="s">
        <v>883</v>
      </c>
      <c r="B250" t="s">
        <v>821</v>
      </c>
      <c r="C250">
        <v>9.4</v>
      </c>
    </row>
    <row r="251" spans="1:6" x14ac:dyDescent="0.35">
      <c r="A251" t="s">
        <v>883</v>
      </c>
      <c r="B251" t="s">
        <v>901</v>
      </c>
      <c r="C251">
        <v>8</v>
      </c>
    </row>
    <row r="252" spans="1:6" x14ac:dyDescent="0.35">
      <c r="C252">
        <v>0</v>
      </c>
      <c r="D252">
        <f>SUM(C221:C251)</f>
        <v>713.85999999999979</v>
      </c>
      <c r="E252">
        <f>SUM(C2:C251)</f>
        <v>4031.2599999999966</v>
      </c>
      <c r="F252" t="s">
        <v>885</v>
      </c>
    </row>
    <row r="253" spans="1:6" x14ac:dyDescent="0.35">
      <c r="A253" t="s">
        <v>902</v>
      </c>
      <c r="B253" t="s">
        <v>726</v>
      </c>
      <c r="C253">
        <v>3.97</v>
      </c>
    </row>
    <row r="254" spans="1:6" x14ac:dyDescent="0.35">
      <c r="A254" t="s">
        <v>902</v>
      </c>
      <c r="B254" t="s">
        <v>821</v>
      </c>
      <c r="C254">
        <v>11.44</v>
      </c>
    </row>
    <row r="255" spans="1:6" x14ac:dyDescent="0.35">
      <c r="A255" t="s">
        <v>895</v>
      </c>
      <c r="B255" t="s">
        <v>123</v>
      </c>
      <c r="C255">
        <v>9.61</v>
      </c>
    </row>
    <row r="256" spans="1:6" x14ac:dyDescent="0.35">
      <c r="A256" t="s">
        <v>977</v>
      </c>
      <c r="B256" t="s">
        <v>36</v>
      </c>
      <c r="C256">
        <v>55.24</v>
      </c>
    </row>
    <row r="257" spans="1:3" x14ac:dyDescent="0.35">
      <c r="A257" t="s">
        <v>988</v>
      </c>
      <c r="B257" t="s">
        <v>989</v>
      </c>
      <c r="C257">
        <v>27.13</v>
      </c>
    </row>
    <row r="258" spans="1:3" x14ac:dyDescent="0.35">
      <c r="A258" t="s">
        <v>990</v>
      </c>
      <c r="B258" t="s">
        <v>206</v>
      </c>
      <c r="C258">
        <v>4</v>
      </c>
    </row>
    <row r="259" spans="1:3" x14ac:dyDescent="0.35">
      <c r="A259" t="s">
        <v>990</v>
      </c>
      <c r="B259" t="s">
        <v>206</v>
      </c>
      <c r="C259">
        <v>2.66</v>
      </c>
    </row>
    <row r="260" spans="1:3" x14ac:dyDescent="0.35">
      <c r="A260" t="s">
        <v>990</v>
      </c>
      <c r="B260" t="s">
        <v>991</v>
      </c>
      <c r="C260">
        <v>38.47</v>
      </c>
    </row>
    <row r="261" spans="1:3" x14ac:dyDescent="0.35">
      <c r="A261" t="s">
        <v>1005</v>
      </c>
      <c r="B261" t="s">
        <v>1046</v>
      </c>
      <c r="C261">
        <v>8.6199999999999992</v>
      </c>
    </row>
    <row r="262" spans="1:3" x14ac:dyDescent="0.35">
      <c r="A262" t="s">
        <v>1005</v>
      </c>
      <c r="B262" t="s">
        <v>1047</v>
      </c>
      <c r="C262">
        <v>4.43</v>
      </c>
    </row>
    <row r="263" spans="1:3" x14ac:dyDescent="0.35">
      <c r="A263" t="s">
        <v>1005</v>
      </c>
      <c r="B263" t="s">
        <v>1047</v>
      </c>
      <c r="C263">
        <v>11.55</v>
      </c>
    </row>
    <row r="264" spans="1:3" x14ac:dyDescent="0.35">
      <c r="A264" t="s">
        <v>1005</v>
      </c>
      <c r="B264" t="s">
        <v>32</v>
      </c>
      <c r="C264">
        <v>4.88</v>
      </c>
    </row>
    <row r="265" spans="1:3" x14ac:dyDescent="0.35">
      <c r="A265" t="s">
        <v>979</v>
      </c>
      <c r="B265" t="s">
        <v>992</v>
      </c>
      <c r="C265">
        <v>28.6</v>
      </c>
    </row>
    <row r="266" spans="1:3" x14ac:dyDescent="0.35">
      <c r="A266" t="s">
        <v>979</v>
      </c>
      <c r="B266" t="s">
        <v>117</v>
      </c>
      <c r="C266">
        <v>6.9</v>
      </c>
    </row>
    <row r="267" spans="1:3" x14ac:dyDescent="0.35">
      <c r="A267" t="s">
        <v>970</v>
      </c>
      <c r="B267" t="s">
        <v>738</v>
      </c>
      <c r="C267">
        <v>6.5</v>
      </c>
    </row>
    <row r="268" spans="1:3" x14ac:dyDescent="0.35">
      <c r="A268" t="s">
        <v>970</v>
      </c>
      <c r="B268" t="s">
        <v>738</v>
      </c>
      <c r="C268">
        <v>2.81</v>
      </c>
    </row>
    <row r="269" spans="1:3" x14ac:dyDescent="0.35">
      <c r="A269" t="s">
        <v>970</v>
      </c>
      <c r="B269" t="s">
        <v>123</v>
      </c>
      <c r="C269">
        <v>6.52</v>
      </c>
    </row>
    <row r="270" spans="1:3" x14ac:dyDescent="0.35">
      <c r="A270" t="s">
        <v>993</v>
      </c>
      <c r="B270" t="s">
        <v>206</v>
      </c>
      <c r="C270">
        <v>2</v>
      </c>
    </row>
    <row r="271" spans="1:3" x14ac:dyDescent="0.35">
      <c r="A271" t="s">
        <v>993</v>
      </c>
      <c r="B271" t="s">
        <v>32</v>
      </c>
      <c r="C271">
        <v>17</v>
      </c>
    </row>
    <row r="272" spans="1:3" x14ac:dyDescent="0.35">
      <c r="A272" t="s">
        <v>994</v>
      </c>
      <c r="B272" t="s">
        <v>995</v>
      </c>
      <c r="C272">
        <v>18.2</v>
      </c>
    </row>
    <row r="273" spans="1:6" x14ac:dyDescent="0.35">
      <c r="A273" t="s">
        <v>996</v>
      </c>
      <c r="B273" t="s">
        <v>206</v>
      </c>
      <c r="C273">
        <v>8</v>
      </c>
    </row>
    <row r="274" spans="1:6" x14ac:dyDescent="0.35">
      <c r="A274" t="s">
        <v>981</v>
      </c>
      <c r="B274" t="s">
        <v>997</v>
      </c>
      <c r="C274">
        <v>30.76</v>
      </c>
    </row>
    <row r="275" spans="1:6" x14ac:dyDescent="0.35">
      <c r="A275" t="s">
        <v>981</v>
      </c>
      <c r="B275" t="s">
        <v>543</v>
      </c>
      <c r="C275">
        <v>8.02</v>
      </c>
    </row>
    <row r="276" spans="1:6" x14ac:dyDescent="0.35">
      <c r="A276" t="s">
        <v>982</v>
      </c>
      <c r="B276" t="s">
        <v>995</v>
      </c>
      <c r="C276">
        <v>15.43</v>
      </c>
    </row>
    <row r="277" spans="1:6" x14ac:dyDescent="0.35">
      <c r="C277">
        <v>0</v>
      </c>
      <c r="D277">
        <f>SUM(C253:C276)</f>
        <v>332.74</v>
      </c>
      <c r="E277">
        <f>SUM(C2:C276)</f>
        <v>4363.9999999999991</v>
      </c>
      <c r="F277" t="s">
        <v>965</v>
      </c>
    </row>
    <row r="278" spans="1:6" x14ac:dyDescent="0.35">
      <c r="A278" t="s">
        <v>966</v>
      </c>
      <c r="B278" t="s">
        <v>998</v>
      </c>
      <c r="C278">
        <v>61</v>
      </c>
    </row>
    <row r="279" spans="1:6" x14ac:dyDescent="0.35">
      <c r="A279" t="s">
        <v>999</v>
      </c>
      <c r="B279" t="s">
        <v>123</v>
      </c>
      <c r="C279">
        <v>225</v>
      </c>
    </row>
    <row r="280" spans="1:6" x14ac:dyDescent="0.35">
      <c r="A280" t="s">
        <v>1000</v>
      </c>
      <c r="B280" t="s">
        <v>726</v>
      </c>
      <c r="C280">
        <v>9.27</v>
      </c>
    </row>
    <row r="281" spans="1:6" x14ac:dyDescent="0.35">
      <c r="A281" t="s">
        <v>1026</v>
      </c>
      <c r="B281" t="s">
        <v>1027</v>
      </c>
      <c r="C281">
        <v>2.85</v>
      </c>
    </row>
    <row r="282" spans="1:6" x14ac:dyDescent="0.35">
      <c r="A282" t="s">
        <v>1078</v>
      </c>
      <c r="B282" t="s">
        <v>1079</v>
      </c>
      <c r="C282">
        <v>50.91</v>
      </c>
    </row>
    <row r="283" spans="1:6" x14ac:dyDescent="0.35">
      <c r="A283" t="s">
        <v>1080</v>
      </c>
      <c r="B283" t="s">
        <v>1081</v>
      </c>
      <c r="C283">
        <v>30.03</v>
      </c>
    </row>
    <row r="284" spans="1:6" x14ac:dyDescent="0.35">
      <c r="A284" t="s">
        <v>1080</v>
      </c>
      <c r="B284" t="s">
        <v>1083</v>
      </c>
      <c r="C284">
        <v>39.49</v>
      </c>
    </row>
    <row r="285" spans="1:6" x14ac:dyDescent="0.35">
      <c r="A285" t="s">
        <v>968</v>
      </c>
      <c r="B285" t="s">
        <v>32</v>
      </c>
      <c r="C285">
        <v>13.66</v>
      </c>
    </row>
    <row r="286" spans="1:6" x14ac:dyDescent="0.35">
      <c r="A286" t="s">
        <v>1082</v>
      </c>
      <c r="B286" t="s">
        <v>827</v>
      </c>
      <c r="C286">
        <v>9.9</v>
      </c>
    </row>
    <row r="287" spans="1:6" x14ac:dyDescent="0.35">
      <c r="C287">
        <v>0</v>
      </c>
      <c r="E287">
        <f>SUM(C2:C286)</f>
        <v>4806.1099999999988</v>
      </c>
      <c r="F287" t="s">
        <v>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96"/>
  <sheetViews>
    <sheetView topLeftCell="A88" workbookViewId="0">
      <selection activeCell="B13" sqref="B13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24</v>
      </c>
      <c r="B2" t="s">
        <v>25</v>
      </c>
      <c r="C2">
        <v>136.68</v>
      </c>
    </row>
    <row r="3" spans="1:6" x14ac:dyDescent="0.35">
      <c r="A3" t="s">
        <v>26</v>
      </c>
      <c r="B3" t="s">
        <v>27</v>
      </c>
      <c r="C3">
        <v>8.8699999999999992</v>
      </c>
    </row>
    <row r="4" spans="1:6" x14ac:dyDescent="0.35">
      <c r="A4" t="s">
        <v>26</v>
      </c>
      <c r="B4" t="s">
        <v>28</v>
      </c>
      <c r="C4">
        <v>1.97</v>
      </c>
    </row>
    <row r="5" spans="1:6" x14ac:dyDescent="0.35">
      <c r="A5" t="s">
        <v>29</v>
      </c>
      <c r="B5" t="s">
        <v>27</v>
      </c>
      <c r="C5">
        <v>9.6199999999999992</v>
      </c>
    </row>
    <row r="6" spans="1:6" x14ac:dyDescent="0.35">
      <c r="A6" t="s">
        <v>30</v>
      </c>
      <c r="B6" t="s">
        <v>27</v>
      </c>
      <c r="C6">
        <v>7.8</v>
      </c>
    </row>
    <row r="7" spans="1:6" x14ac:dyDescent="0.35">
      <c r="C7">
        <v>0</v>
      </c>
      <c r="D7">
        <f>SUM(C2:C6)</f>
        <v>164.94000000000003</v>
      </c>
      <c r="E7">
        <f>SUM(C2:C6)</f>
        <v>164.94000000000003</v>
      </c>
      <c r="F7" t="s">
        <v>6</v>
      </c>
    </row>
    <row r="8" spans="1:6" x14ac:dyDescent="0.35">
      <c r="A8" t="s">
        <v>21</v>
      </c>
      <c r="B8" t="s">
        <v>80</v>
      </c>
      <c r="C8">
        <v>20</v>
      </c>
    </row>
    <row r="9" spans="1:6" x14ac:dyDescent="0.35">
      <c r="A9" t="s">
        <v>99</v>
      </c>
      <c r="B9" t="s">
        <v>100</v>
      </c>
      <c r="C9">
        <v>27.75</v>
      </c>
    </row>
    <row r="10" spans="1:6" x14ac:dyDescent="0.35">
      <c r="A10" t="s">
        <v>10</v>
      </c>
      <c r="B10" t="s">
        <v>120</v>
      </c>
      <c r="C10">
        <v>8.92</v>
      </c>
    </row>
    <row r="11" spans="1:6" x14ac:dyDescent="0.35">
      <c r="A11" t="s">
        <v>157</v>
      </c>
      <c r="B11" t="s">
        <v>168</v>
      </c>
      <c r="C11">
        <v>20.2</v>
      </c>
    </row>
    <row r="12" spans="1:6" x14ac:dyDescent="0.35">
      <c r="A12" t="s">
        <v>87</v>
      </c>
      <c r="B12" t="s">
        <v>80</v>
      </c>
      <c r="C12">
        <v>20</v>
      </c>
    </row>
    <row r="13" spans="1:6" x14ac:dyDescent="0.35">
      <c r="A13" t="s">
        <v>121</v>
      </c>
      <c r="B13" t="s">
        <v>140</v>
      </c>
      <c r="C13">
        <v>42.13</v>
      </c>
    </row>
    <row r="14" spans="1:6" x14ac:dyDescent="0.35">
      <c r="A14" t="s">
        <v>135</v>
      </c>
      <c r="B14" t="s">
        <v>142</v>
      </c>
      <c r="C14">
        <v>14.37</v>
      </c>
    </row>
    <row r="15" spans="1:6" x14ac:dyDescent="0.35">
      <c r="A15" t="s">
        <v>101</v>
      </c>
      <c r="B15" t="s">
        <v>102</v>
      </c>
      <c r="C15">
        <v>5.34</v>
      </c>
    </row>
    <row r="16" spans="1:6" x14ac:dyDescent="0.35">
      <c r="C16">
        <v>0</v>
      </c>
      <c r="D16">
        <f>SUM(C8:C15)</f>
        <v>158.71</v>
      </c>
      <c r="E16">
        <f>SUM(C2:C15)</f>
        <v>323.64999999999998</v>
      </c>
      <c r="F16" t="s">
        <v>89</v>
      </c>
    </row>
    <row r="17" spans="1:6" x14ac:dyDescent="0.35">
      <c r="A17" t="s">
        <v>105</v>
      </c>
      <c r="B17" t="s">
        <v>106</v>
      </c>
      <c r="C17">
        <v>18.75</v>
      </c>
    </row>
    <row r="18" spans="1:6" x14ac:dyDescent="0.35">
      <c r="A18" t="s">
        <v>184</v>
      </c>
      <c r="B18" t="s">
        <v>195</v>
      </c>
      <c r="C18">
        <v>5.55</v>
      </c>
    </row>
    <row r="19" spans="1:6" x14ac:dyDescent="0.35">
      <c r="A19" t="s">
        <v>173</v>
      </c>
      <c r="B19" t="s">
        <v>80</v>
      </c>
      <c r="C19">
        <v>20</v>
      </c>
    </row>
    <row r="20" spans="1:6" x14ac:dyDescent="0.35">
      <c r="A20" t="s">
        <v>210</v>
      </c>
      <c r="B20" t="s">
        <v>80</v>
      </c>
      <c r="C20">
        <v>20</v>
      </c>
    </row>
    <row r="21" spans="1:6" x14ac:dyDescent="0.35">
      <c r="A21" t="s">
        <v>352</v>
      </c>
      <c r="B21" t="s">
        <v>80</v>
      </c>
      <c r="C21">
        <v>20</v>
      </c>
    </row>
    <row r="22" spans="1:6" x14ac:dyDescent="0.35">
      <c r="A22" t="s">
        <v>345</v>
      </c>
      <c r="B22" t="s">
        <v>80</v>
      </c>
      <c r="C22">
        <v>20</v>
      </c>
    </row>
    <row r="23" spans="1:6" x14ac:dyDescent="0.35">
      <c r="C23">
        <v>0</v>
      </c>
      <c r="D23">
        <f>SUM(C17:C22)</f>
        <v>104.3</v>
      </c>
      <c r="E23">
        <f>SUM(C2:C22)</f>
        <v>427.95</v>
      </c>
      <c r="F23" t="s">
        <v>347</v>
      </c>
    </row>
    <row r="24" spans="1:6" x14ac:dyDescent="0.35">
      <c r="A24" t="s">
        <v>358</v>
      </c>
      <c r="B24" t="s">
        <v>100</v>
      </c>
      <c r="C24">
        <v>27.75</v>
      </c>
    </row>
    <row r="25" spans="1:6" x14ac:dyDescent="0.35">
      <c r="A25" t="s">
        <v>471</v>
      </c>
      <c r="B25" t="s">
        <v>80</v>
      </c>
      <c r="C25">
        <v>20</v>
      </c>
    </row>
    <row r="26" spans="1:6" x14ac:dyDescent="0.35">
      <c r="A26" t="s">
        <v>423</v>
      </c>
      <c r="B26" t="s">
        <v>100</v>
      </c>
      <c r="C26">
        <v>27.75</v>
      </c>
    </row>
    <row r="27" spans="1:6" x14ac:dyDescent="0.35">
      <c r="A27" t="s">
        <v>485</v>
      </c>
      <c r="B27" t="s">
        <v>80</v>
      </c>
      <c r="C27">
        <v>20</v>
      </c>
    </row>
    <row r="28" spans="1:6" x14ac:dyDescent="0.35">
      <c r="A28" t="s">
        <v>448</v>
      </c>
      <c r="B28" t="s">
        <v>80</v>
      </c>
      <c r="C28">
        <v>20</v>
      </c>
    </row>
    <row r="29" spans="1:6" x14ac:dyDescent="0.35">
      <c r="A29" t="s">
        <v>431</v>
      </c>
      <c r="B29" t="s">
        <v>168</v>
      </c>
      <c r="C29">
        <v>17</v>
      </c>
    </row>
    <row r="30" spans="1:6" x14ac:dyDescent="0.35">
      <c r="A30" t="s">
        <v>418</v>
      </c>
      <c r="B30" t="s">
        <v>80</v>
      </c>
      <c r="C30">
        <v>20</v>
      </c>
    </row>
    <row r="31" spans="1:6" x14ac:dyDescent="0.35">
      <c r="C31">
        <v>0</v>
      </c>
      <c r="D31">
        <f>SUM(C24:C30)</f>
        <v>152.5</v>
      </c>
      <c r="E31">
        <f>SUM(C2:C30)</f>
        <v>580.45000000000005</v>
      </c>
      <c r="F31" t="s">
        <v>420</v>
      </c>
    </row>
    <row r="32" spans="1:6" x14ac:dyDescent="0.35">
      <c r="A32" t="s">
        <v>429</v>
      </c>
      <c r="B32" t="s">
        <v>430</v>
      </c>
      <c r="C32">
        <v>222.18</v>
      </c>
    </row>
    <row r="33" spans="1:6" x14ac:dyDescent="0.35">
      <c r="A33" t="s">
        <v>488</v>
      </c>
      <c r="B33" t="s">
        <v>80</v>
      </c>
      <c r="C33">
        <v>20</v>
      </c>
    </row>
    <row r="34" spans="1:6" x14ac:dyDescent="0.35">
      <c r="A34" t="s">
        <v>510</v>
      </c>
      <c r="B34" t="s">
        <v>80</v>
      </c>
      <c r="C34">
        <v>20</v>
      </c>
    </row>
    <row r="35" spans="1:6" x14ac:dyDescent="0.35">
      <c r="A35" t="s">
        <v>540</v>
      </c>
      <c r="B35" t="s">
        <v>120</v>
      </c>
      <c r="C35">
        <v>6.86</v>
      </c>
    </row>
    <row r="36" spans="1:6" x14ac:dyDescent="0.35">
      <c r="A36" t="s">
        <v>542</v>
      </c>
      <c r="B36" t="s">
        <v>544</v>
      </c>
      <c r="C36">
        <v>3.35</v>
      </c>
    </row>
    <row r="37" spans="1:6" x14ac:dyDescent="0.35">
      <c r="A37" t="s">
        <v>542</v>
      </c>
      <c r="B37" t="s">
        <v>544</v>
      </c>
      <c r="C37">
        <v>5.35</v>
      </c>
    </row>
    <row r="38" spans="1:6" x14ac:dyDescent="0.35">
      <c r="C38">
        <v>0</v>
      </c>
      <c r="D38">
        <f>SUM(C32:C37)</f>
        <v>277.74000000000007</v>
      </c>
      <c r="E38">
        <f>SUM(C2:C37)</f>
        <v>858.19000000000017</v>
      </c>
      <c r="F38" t="s">
        <v>503</v>
      </c>
    </row>
    <row r="39" spans="1:6" x14ac:dyDescent="0.35">
      <c r="A39" t="s">
        <v>504</v>
      </c>
      <c r="B39" t="s">
        <v>80</v>
      </c>
      <c r="C39">
        <v>20</v>
      </c>
    </row>
    <row r="40" spans="1:6" x14ac:dyDescent="0.35">
      <c r="A40" t="s">
        <v>504</v>
      </c>
      <c r="B40" t="s">
        <v>120</v>
      </c>
      <c r="C40">
        <v>9.14</v>
      </c>
    </row>
    <row r="41" spans="1:6" x14ac:dyDescent="0.35">
      <c r="A41" t="s">
        <v>622</v>
      </c>
      <c r="B41" t="s">
        <v>80</v>
      </c>
      <c r="C41">
        <v>20</v>
      </c>
    </row>
    <row r="42" spans="1:6" x14ac:dyDescent="0.35">
      <c r="A42" t="s">
        <v>508</v>
      </c>
      <c r="B42" t="s">
        <v>80</v>
      </c>
      <c r="C42">
        <v>20</v>
      </c>
    </row>
    <row r="43" spans="1:6" x14ac:dyDescent="0.35">
      <c r="A43" t="s">
        <v>657</v>
      </c>
      <c r="B43" t="s">
        <v>80</v>
      </c>
      <c r="C43">
        <v>20</v>
      </c>
    </row>
    <row r="44" spans="1:6" x14ac:dyDescent="0.35">
      <c r="C44">
        <v>0</v>
      </c>
      <c r="D44">
        <f>SUM(C39:C43)</f>
        <v>89.14</v>
      </c>
      <c r="E44">
        <f>SUM(C2:C43)</f>
        <v>947.33000000000015</v>
      </c>
      <c r="F44" t="s">
        <v>614</v>
      </c>
    </row>
    <row r="45" spans="1:6" x14ac:dyDescent="0.35">
      <c r="A45" t="s">
        <v>643</v>
      </c>
      <c r="B45" t="s">
        <v>80</v>
      </c>
      <c r="C45">
        <v>20</v>
      </c>
    </row>
    <row r="46" spans="1:6" x14ac:dyDescent="0.35">
      <c r="A46" t="s">
        <v>632</v>
      </c>
      <c r="B46" t="s">
        <v>636</v>
      </c>
      <c r="C46">
        <v>1.85</v>
      </c>
    </row>
    <row r="47" spans="1:6" x14ac:dyDescent="0.35">
      <c r="A47" t="s">
        <v>632</v>
      </c>
      <c r="B47" t="s">
        <v>635</v>
      </c>
      <c r="C47">
        <v>124.94</v>
      </c>
    </row>
    <row r="48" spans="1:6" x14ac:dyDescent="0.35">
      <c r="A48" t="s">
        <v>632</v>
      </c>
      <c r="B48" t="s">
        <v>633</v>
      </c>
      <c r="C48">
        <v>2.25</v>
      </c>
    </row>
    <row r="49" spans="1:3" x14ac:dyDescent="0.35">
      <c r="A49" t="s">
        <v>632</v>
      </c>
      <c r="B49" t="s">
        <v>634</v>
      </c>
      <c r="C49">
        <v>13</v>
      </c>
    </row>
    <row r="50" spans="1:3" x14ac:dyDescent="0.35">
      <c r="A50" t="s">
        <v>632</v>
      </c>
      <c r="B50" t="s">
        <v>721</v>
      </c>
      <c r="C50">
        <v>4</v>
      </c>
    </row>
    <row r="51" spans="1:3" x14ac:dyDescent="0.35">
      <c r="A51" t="s">
        <v>632</v>
      </c>
      <c r="B51" t="s">
        <v>633</v>
      </c>
      <c r="C51">
        <v>-2.25</v>
      </c>
    </row>
    <row r="52" spans="1:3" x14ac:dyDescent="0.35">
      <c r="A52" t="s">
        <v>668</v>
      </c>
      <c r="B52" t="s">
        <v>636</v>
      </c>
      <c r="C52">
        <v>1.75</v>
      </c>
    </row>
    <row r="53" spans="1:3" x14ac:dyDescent="0.35">
      <c r="A53" t="s">
        <v>668</v>
      </c>
      <c r="B53" t="s">
        <v>633</v>
      </c>
      <c r="C53">
        <v>1.35</v>
      </c>
    </row>
    <row r="54" spans="1:3" x14ac:dyDescent="0.35">
      <c r="A54" t="s">
        <v>668</v>
      </c>
      <c r="B54" t="s">
        <v>633</v>
      </c>
      <c r="C54">
        <v>1.35</v>
      </c>
    </row>
    <row r="55" spans="1:3" x14ac:dyDescent="0.35">
      <c r="A55" t="s">
        <v>668</v>
      </c>
      <c r="B55" t="s">
        <v>633</v>
      </c>
      <c r="C55">
        <v>1.75</v>
      </c>
    </row>
    <row r="56" spans="1:3" x14ac:dyDescent="0.35">
      <c r="A56" t="s">
        <v>668</v>
      </c>
      <c r="B56" t="s">
        <v>634</v>
      </c>
      <c r="C56">
        <v>13</v>
      </c>
    </row>
    <row r="57" spans="1:3" x14ac:dyDescent="0.35">
      <c r="A57" t="s">
        <v>668</v>
      </c>
      <c r="B57" t="s">
        <v>721</v>
      </c>
      <c r="C57">
        <v>5.71</v>
      </c>
    </row>
    <row r="58" spans="1:3" x14ac:dyDescent="0.35">
      <c r="A58" t="s">
        <v>708</v>
      </c>
      <c r="B58" t="s">
        <v>634</v>
      </c>
      <c r="C58">
        <v>13</v>
      </c>
    </row>
    <row r="59" spans="1:3" x14ac:dyDescent="0.35">
      <c r="A59" t="s">
        <v>708</v>
      </c>
      <c r="B59" t="s">
        <v>633</v>
      </c>
      <c r="C59">
        <v>1.35</v>
      </c>
    </row>
    <row r="60" spans="1:3" x14ac:dyDescent="0.35">
      <c r="A60" t="s">
        <v>708</v>
      </c>
      <c r="B60" t="s">
        <v>633</v>
      </c>
      <c r="C60">
        <v>1.35</v>
      </c>
    </row>
    <row r="61" spans="1:3" x14ac:dyDescent="0.35">
      <c r="A61" t="s">
        <v>708</v>
      </c>
      <c r="B61" t="s">
        <v>722</v>
      </c>
      <c r="C61">
        <v>5.04</v>
      </c>
    </row>
    <row r="62" spans="1:3" x14ac:dyDescent="0.35">
      <c r="A62" t="s">
        <v>708</v>
      </c>
      <c r="B62" t="s">
        <v>722</v>
      </c>
      <c r="C62">
        <v>1.75</v>
      </c>
    </row>
    <row r="63" spans="1:3" x14ac:dyDescent="0.35">
      <c r="A63" t="s">
        <v>723</v>
      </c>
      <c r="B63" t="s">
        <v>168</v>
      </c>
      <c r="C63">
        <v>16.55</v>
      </c>
    </row>
    <row r="64" spans="1:3" x14ac:dyDescent="0.35">
      <c r="A64" t="s">
        <v>724</v>
      </c>
      <c r="B64" t="s">
        <v>80</v>
      </c>
      <c r="C64">
        <v>20</v>
      </c>
    </row>
    <row r="65" spans="1:6" x14ac:dyDescent="0.35">
      <c r="A65" t="s">
        <v>706</v>
      </c>
      <c r="B65" t="s">
        <v>80</v>
      </c>
      <c r="C65">
        <v>20</v>
      </c>
    </row>
    <row r="66" spans="1:6" x14ac:dyDescent="0.35">
      <c r="C66">
        <v>0</v>
      </c>
      <c r="D66">
        <f>SUM(C45:C65)</f>
        <v>267.74</v>
      </c>
      <c r="E66">
        <f>SUM(C2:C65)</f>
        <v>1215.0699999999997</v>
      </c>
      <c r="F66" t="s">
        <v>699</v>
      </c>
    </row>
    <row r="67" spans="1:6" x14ac:dyDescent="0.35">
      <c r="A67" t="s">
        <v>717</v>
      </c>
      <c r="B67" t="s">
        <v>80</v>
      </c>
      <c r="C67">
        <v>20</v>
      </c>
    </row>
    <row r="68" spans="1:6" x14ac:dyDescent="0.35">
      <c r="A68" t="s">
        <v>828</v>
      </c>
      <c r="B68" t="s">
        <v>80</v>
      </c>
      <c r="C68">
        <v>20</v>
      </c>
    </row>
    <row r="69" spans="1:6" x14ac:dyDescent="0.35">
      <c r="A69" t="s">
        <v>828</v>
      </c>
      <c r="B69" t="s">
        <v>120</v>
      </c>
      <c r="C69">
        <v>2.29</v>
      </c>
    </row>
    <row r="70" spans="1:6" x14ac:dyDescent="0.35">
      <c r="A70" t="s">
        <v>828</v>
      </c>
      <c r="B70" t="s">
        <v>120</v>
      </c>
      <c r="C70">
        <v>6.86</v>
      </c>
    </row>
    <row r="71" spans="1:6" x14ac:dyDescent="0.35">
      <c r="A71" t="s">
        <v>794</v>
      </c>
      <c r="B71" t="s">
        <v>168</v>
      </c>
      <c r="C71">
        <v>16.8</v>
      </c>
    </row>
    <row r="72" spans="1:6" x14ac:dyDescent="0.35">
      <c r="A72" t="s">
        <v>819</v>
      </c>
      <c r="B72" t="s">
        <v>820</v>
      </c>
      <c r="C72">
        <v>83.44</v>
      </c>
    </row>
    <row r="73" spans="1:6" x14ac:dyDescent="0.35">
      <c r="A73" t="s">
        <v>822</v>
      </c>
      <c r="B73" t="s">
        <v>825</v>
      </c>
      <c r="C73">
        <v>57.96</v>
      </c>
    </row>
    <row r="74" spans="1:6" x14ac:dyDescent="0.35">
      <c r="A74" t="s">
        <v>822</v>
      </c>
      <c r="B74" t="s">
        <v>823</v>
      </c>
      <c r="C74">
        <v>3.01</v>
      </c>
    </row>
    <row r="75" spans="1:6" x14ac:dyDescent="0.35">
      <c r="A75" t="s">
        <v>822</v>
      </c>
      <c r="B75" t="s">
        <v>823</v>
      </c>
      <c r="C75">
        <v>11.34</v>
      </c>
    </row>
    <row r="76" spans="1:6" x14ac:dyDescent="0.35">
      <c r="C76">
        <v>0</v>
      </c>
      <c r="D76">
        <f>SUM(C67:C75)</f>
        <v>221.7</v>
      </c>
      <c r="E76">
        <f>SUM(C2:C75)</f>
        <v>1436.7699999999995</v>
      </c>
      <c r="F76" t="s">
        <v>796</v>
      </c>
    </row>
    <row r="77" spans="1:6" x14ac:dyDescent="0.35">
      <c r="A77" t="s">
        <v>848</v>
      </c>
      <c r="B77" t="s">
        <v>897</v>
      </c>
      <c r="C77">
        <v>449.24</v>
      </c>
    </row>
    <row r="78" spans="1:6" x14ac:dyDescent="0.35">
      <c r="A78" t="s">
        <v>888</v>
      </c>
      <c r="B78" t="s">
        <v>898</v>
      </c>
      <c r="C78">
        <v>155.69</v>
      </c>
    </row>
    <row r="79" spans="1:6" x14ac:dyDescent="0.35">
      <c r="A79" t="s">
        <v>888</v>
      </c>
      <c r="B79" t="s">
        <v>956</v>
      </c>
      <c r="C79">
        <v>1.56</v>
      </c>
    </row>
    <row r="80" spans="1:6" x14ac:dyDescent="0.35">
      <c r="A80" t="s">
        <v>888</v>
      </c>
      <c r="B80" t="s">
        <v>956</v>
      </c>
      <c r="C80">
        <v>10.199999999999999</v>
      </c>
    </row>
    <row r="81" spans="1:6" x14ac:dyDescent="0.35">
      <c r="A81" t="s">
        <v>873</v>
      </c>
      <c r="B81" t="s">
        <v>933</v>
      </c>
      <c r="C81">
        <v>381.19</v>
      </c>
    </row>
    <row r="82" spans="1:6" x14ac:dyDescent="0.35">
      <c r="A82" t="s">
        <v>873</v>
      </c>
      <c r="B82" t="s">
        <v>898</v>
      </c>
      <c r="C82">
        <v>-155.69</v>
      </c>
    </row>
    <row r="83" spans="1:6" x14ac:dyDescent="0.35">
      <c r="A83" t="s">
        <v>800</v>
      </c>
      <c r="B83" t="s">
        <v>80</v>
      </c>
      <c r="C83">
        <v>20</v>
      </c>
    </row>
    <row r="84" spans="1:6" x14ac:dyDescent="0.35">
      <c r="A84" t="s">
        <v>890</v>
      </c>
      <c r="B84" t="s">
        <v>168</v>
      </c>
      <c r="C84">
        <v>16.350000000000001</v>
      </c>
    </row>
    <row r="85" spans="1:6" x14ac:dyDescent="0.35">
      <c r="A85" t="s">
        <v>890</v>
      </c>
      <c r="B85" t="s">
        <v>897</v>
      </c>
      <c r="C85">
        <v>-200</v>
      </c>
    </row>
    <row r="86" spans="1:6" x14ac:dyDescent="0.35">
      <c r="A86" t="s">
        <v>921</v>
      </c>
      <c r="B86" t="s">
        <v>80</v>
      </c>
      <c r="C86">
        <v>20</v>
      </c>
    </row>
    <row r="87" spans="1:6" x14ac:dyDescent="0.35">
      <c r="A87" t="s">
        <v>941</v>
      </c>
      <c r="B87" t="s">
        <v>80</v>
      </c>
      <c r="C87">
        <v>20</v>
      </c>
    </row>
    <row r="88" spans="1:6" x14ac:dyDescent="0.35">
      <c r="A88" t="s">
        <v>896</v>
      </c>
      <c r="B88" t="s">
        <v>900</v>
      </c>
      <c r="C88">
        <v>5.37</v>
      </c>
    </row>
    <row r="89" spans="1:6" x14ac:dyDescent="0.35">
      <c r="A89" t="s">
        <v>883</v>
      </c>
      <c r="B89" t="s">
        <v>901</v>
      </c>
      <c r="C89">
        <v>8</v>
      </c>
    </row>
    <row r="90" spans="1:6" x14ac:dyDescent="0.35">
      <c r="A90" t="s">
        <v>895</v>
      </c>
      <c r="B90" t="s">
        <v>80</v>
      </c>
      <c r="C90">
        <v>20</v>
      </c>
    </row>
    <row r="91" spans="1:6" x14ac:dyDescent="0.35">
      <c r="A91" t="s">
        <v>1013</v>
      </c>
      <c r="B91" t="s">
        <v>80</v>
      </c>
      <c r="C91">
        <v>20</v>
      </c>
    </row>
    <row r="92" spans="1:6" x14ac:dyDescent="0.35">
      <c r="A92" t="s">
        <v>984</v>
      </c>
      <c r="B92" t="s">
        <v>100</v>
      </c>
      <c r="C92">
        <v>27.75</v>
      </c>
    </row>
    <row r="93" spans="1:6" x14ac:dyDescent="0.35">
      <c r="C93">
        <v>0</v>
      </c>
      <c r="D93">
        <f>SUM(C77:C92)</f>
        <v>799.66000000000008</v>
      </c>
      <c r="E93">
        <f>SUM(C2:C92)</f>
        <v>2236.4299999999994</v>
      </c>
      <c r="F93" t="s">
        <v>965</v>
      </c>
    </row>
    <row r="94" spans="1:6" x14ac:dyDescent="0.35">
      <c r="A94" t="s">
        <v>1080</v>
      </c>
      <c r="B94" t="s">
        <v>168</v>
      </c>
      <c r="C94">
        <v>16.05</v>
      </c>
    </row>
    <row r="95" spans="1:6" x14ac:dyDescent="0.35">
      <c r="A95" t="s">
        <v>1064</v>
      </c>
      <c r="B95" t="s">
        <v>80</v>
      </c>
      <c r="C95">
        <v>20</v>
      </c>
    </row>
    <row r="96" spans="1:6" x14ac:dyDescent="0.35">
      <c r="C96">
        <v>0</v>
      </c>
      <c r="E96">
        <f>SUM(C2:C95)</f>
        <v>2272.4799999999996</v>
      </c>
      <c r="F96" t="s">
        <v>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8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21</v>
      </c>
      <c r="B2" t="s">
        <v>37</v>
      </c>
      <c r="C2">
        <v>60.01</v>
      </c>
    </row>
    <row r="3" spans="1:6" x14ac:dyDescent="0.35">
      <c r="C3">
        <v>0</v>
      </c>
      <c r="D3">
        <f>SUM(C2:C2)</f>
        <v>60.01</v>
      </c>
      <c r="E3">
        <f>SUM(C2:C2)</f>
        <v>60.01</v>
      </c>
      <c r="F3" t="s">
        <v>503</v>
      </c>
    </row>
    <row r="4" spans="1:6" x14ac:dyDescent="0.35">
      <c r="A4" t="s">
        <v>508</v>
      </c>
      <c r="B4" t="s">
        <v>649</v>
      </c>
      <c r="C4">
        <v>76.67</v>
      </c>
    </row>
    <row r="5" spans="1:6" x14ac:dyDescent="0.35">
      <c r="C5">
        <v>0</v>
      </c>
      <c r="D5">
        <f>SUM(C4:C4)</f>
        <v>76.67</v>
      </c>
      <c r="E5">
        <f>SUM(C2:C4)</f>
        <v>136.68</v>
      </c>
      <c r="F5" t="s">
        <v>965</v>
      </c>
    </row>
    <row r="6" spans="1:6" x14ac:dyDescent="0.35">
      <c r="A6" t="s">
        <v>999</v>
      </c>
      <c r="B6" t="s">
        <v>1003</v>
      </c>
      <c r="C6">
        <v>40.380000000000003</v>
      </c>
    </row>
    <row r="7" spans="1:6" x14ac:dyDescent="0.35">
      <c r="A7" t="s">
        <v>999</v>
      </c>
      <c r="B7" t="s">
        <v>37</v>
      </c>
      <c r="C7">
        <v>52.22</v>
      </c>
    </row>
    <row r="8" spans="1:6" x14ac:dyDescent="0.35">
      <c r="C8">
        <v>0</v>
      </c>
      <c r="E8">
        <f>SUM(C2:C7)</f>
        <v>229.28</v>
      </c>
      <c r="F8" t="s">
        <v>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85"/>
  <sheetViews>
    <sheetView topLeftCell="A178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31</v>
      </c>
      <c r="B2" t="s">
        <v>32</v>
      </c>
      <c r="C2">
        <v>8.01</v>
      </c>
    </row>
    <row r="3" spans="1:6" x14ac:dyDescent="0.35">
      <c r="A3" t="s">
        <v>33</v>
      </c>
      <c r="B3" t="s">
        <v>32</v>
      </c>
      <c r="C3">
        <v>5.78</v>
      </c>
    </row>
    <row r="4" spans="1:6" x14ac:dyDescent="0.35">
      <c r="C4">
        <v>0</v>
      </c>
      <c r="D4">
        <f>SUM(C2:C3)</f>
        <v>13.79</v>
      </c>
      <c r="E4">
        <f>SUM(C2:C3)</f>
        <v>13.79</v>
      </c>
      <c r="F4" t="s">
        <v>6</v>
      </c>
    </row>
    <row r="5" spans="1:6" x14ac:dyDescent="0.35">
      <c r="A5" t="s">
        <v>19</v>
      </c>
      <c r="B5" t="s">
        <v>32</v>
      </c>
      <c r="C5">
        <v>3.35</v>
      </c>
    </row>
    <row r="6" spans="1:6" x14ac:dyDescent="0.35">
      <c r="A6" t="s">
        <v>19</v>
      </c>
      <c r="B6" t="s">
        <v>34</v>
      </c>
      <c r="C6">
        <v>3.32</v>
      </c>
    </row>
    <row r="7" spans="1:6" x14ac:dyDescent="0.35">
      <c r="A7" t="s">
        <v>19</v>
      </c>
      <c r="B7" t="s">
        <v>35</v>
      </c>
      <c r="C7">
        <v>3</v>
      </c>
    </row>
    <row r="8" spans="1:6" x14ac:dyDescent="0.35">
      <c r="A8" t="s">
        <v>19</v>
      </c>
      <c r="B8" t="s">
        <v>36</v>
      </c>
      <c r="C8">
        <v>88.61</v>
      </c>
    </row>
    <row r="9" spans="1:6" x14ac:dyDescent="0.35">
      <c r="A9" t="s">
        <v>21</v>
      </c>
      <c r="B9" t="s">
        <v>32</v>
      </c>
      <c r="C9">
        <v>2.23</v>
      </c>
    </row>
    <row r="10" spans="1:6" x14ac:dyDescent="0.35">
      <c r="A10" t="s">
        <v>81</v>
      </c>
      <c r="B10" t="s">
        <v>32</v>
      </c>
      <c r="C10">
        <v>8.01</v>
      </c>
    </row>
    <row r="11" spans="1:6" x14ac:dyDescent="0.35">
      <c r="A11" t="s">
        <v>111</v>
      </c>
      <c r="B11" t="s">
        <v>112</v>
      </c>
      <c r="C11">
        <v>49.62</v>
      </c>
    </row>
    <row r="12" spans="1:6" x14ac:dyDescent="0.35">
      <c r="A12" t="s">
        <v>111</v>
      </c>
      <c r="B12" t="s">
        <v>112</v>
      </c>
      <c r="C12">
        <v>3.97</v>
      </c>
    </row>
    <row r="13" spans="1:6" x14ac:dyDescent="0.35">
      <c r="A13" t="s">
        <v>96</v>
      </c>
      <c r="B13" t="s">
        <v>36</v>
      </c>
      <c r="C13">
        <v>105.72</v>
      </c>
    </row>
    <row r="14" spans="1:6" x14ac:dyDescent="0.35">
      <c r="A14" t="s">
        <v>115</v>
      </c>
      <c r="B14" t="s">
        <v>116</v>
      </c>
      <c r="C14">
        <v>19.190000000000001</v>
      </c>
    </row>
    <row r="15" spans="1:6" x14ac:dyDescent="0.35">
      <c r="C15">
        <v>0</v>
      </c>
      <c r="D15">
        <f>SUM(C5:C14)</f>
        <v>287.02000000000004</v>
      </c>
      <c r="E15">
        <f>SUM(C2:C14)</f>
        <v>300.81</v>
      </c>
      <c r="F15" t="s">
        <v>89</v>
      </c>
    </row>
    <row r="16" spans="1:6" x14ac:dyDescent="0.35">
      <c r="A16" t="s">
        <v>105</v>
      </c>
      <c r="B16" t="s">
        <v>117</v>
      </c>
      <c r="C16">
        <v>8.36</v>
      </c>
    </row>
    <row r="17" spans="1:6" x14ac:dyDescent="0.35">
      <c r="A17" t="s">
        <v>118</v>
      </c>
      <c r="B17" t="s">
        <v>116</v>
      </c>
      <c r="C17">
        <v>-6.6</v>
      </c>
    </row>
    <row r="18" spans="1:6" x14ac:dyDescent="0.35">
      <c r="A18" t="s">
        <v>118</v>
      </c>
      <c r="B18" t="s">
        <v>116</v>
      </c>
      <c r="C18">
        <v>15.76</v>
      </c>
    </row>
    <row r="19" spans="1:6" x14ac:dyDescent="0.35">
      <c r="A19" t="s">
        <v>90</v>
      </c>
      <c r="B19" t="s">
        <v>117</v>
      </c>
      <c r="C19">
        <v>3.32</v>
      </c>
    </row>
    <row r="20" spans="1:6" x14ac:dyDescent="0.35">
      <c r="A20" t="s">
        <v>204</v>
      </c>
      <c r="B20" t="s">
        <v>112</v>
      </c>
      <c r="C20">
        <v>41.15</v>
      </c>
    </row>
    <row r="21" spans="1:6" x14ac:dyDescent="0.35">
      <c r="A21" t="s">
        <v>184</v>
      </c>
      <c r="B21" t="s">
        <v>205</v>
      </c>
      <c r="C21">
        <v>33.28</v>
      </c>
    </row>
    <row r="22" spans="1:6" x14ac:dyDescent="0.35">
      <c r="A22" t="s">
        <v>184</v>
      </c>
      <c r="B22" t="s">
        <v>206</v>
      </c>
      <c r="C22">
        <v>4</v>
      </c>
    </row>
    <row r="23" spans="1:6" x14ac:dyDescent="0.35">
      <c r="A23" t="s">
        <v>173</v>
      </c>
      <c r="B23" t="s">
        <v>206</v>
      </c>
      <c r="C23">
        <v>4</v>
      </c>
    </row>
    <row r="24" spans="1:6" x14ac:dyDescent="0.35">
      <c r="A24" t="s">
        <v>208</v>
      </c>
      <c r="B24" t="s">
        <v>209</v>
      </c>
      <c r="C24">
        <v>72.819999999999993</v>
      </c>
    </row>
    <row r="25" spans="1:6" x14ac:dyDescent="0.35">
      <c r="A25" t="s">
        <v>189</v>
      </c>
      <c r="B25" t="s">
        <v>206</v>
      </c>
      <c r="C25">
        <v>-4</v>
      </c>
    </row>
    <row r="26" spans="1:6" x14ac:dyDescent="0.35">
      <c r="A26" t="s">
        <v>210</v>
      </c>
      <c r="B26" t="s">
        <v>117</v>
      </c>
      <c r="C26">
        <v>5.94</v>
      </c>
    </row>
    <row r="27" spans="1:6" x14ac:dyDescent="0.35">
      <c r="A27" t="s">
        <v>211</v>
      </c>
      <c r="B27" t="s">
        <v>117</v>
      </c>
      <c r="C27">
        <v>4.62</v>
      </c>
    </row>
    <row r="28" spans="1:6" x14ac:dyDescent="0.35">
      <c r="A28" t="s">
        <v>191</v>
      </c>
      <c r="B28" t="s">
        <v>212</v>
      </c>
      <c r="C28">
        <v>59.76</v>
      </c>
    </row>
    <row r="29" spans="1:6" x14ac:dyDescent="0.35">
      <c r="A29" t="s">
        <v>191</v>
      </c>
      <c r="B29" t="s">
        <v>212</v>
      </c>
      <c r="C29">
        <v>8.8000000000000007</v>
      </c>
    </row>
    <row r="30" spans="1:6" x14ac:dyDescent="0.35">
      <c r="C30">
        <v>0</v>
      </c>
      <c r="D30">
        <f>SUM(C16:C29)</f>
        <v>251.20999999999998</v>
      </c>
      <c r="E30">
        <f>SUM(C2:C29)</f>
        <v>552.01999999999987</v>
      </c>
      <c r="F30" t="s">
        <v>200</v>
      </c>
    </row>
    <row r="31" spans="1:6" x14ac:dyDescent="0.35">
      <c r="A31" t="s">
        <v>214</v>
      </c>
      <c r="B31" t="s">
        <v>215</v>
      </c>
      <c r="C31">
        <v>18.510000000000002</v>
      </c>
    </row>
    <row r="32" spans="1:6" x14ac:dyDescent="0.35">
      <c r="A32" t="s">
        <v>293</v>
      </c>
      <c r="B32" t="s">
        <v>294</v>
      </c>
      <c r="C32">
        <v>2</v>
      </c>
    </row>
    <row r="33" spans="1:6" x14ac:dyDescent="0.35">
      <c r="A33" t="s">
        <v>295</v>
      </c>
      <c r="B33" t="s">
        <v>117</v>
      </c>
      <c r="C33">
        <v>3.32</v>
      </c>
    </row>
    <row r="34" spans="1:6" x14ac:dyDescent="0.35">
      <c r="A34" t="s">
        <v>296</v>
      </c>
      <c r="B34" t="s">
        <v>117</v>
      </c>
      <c r="C34">
        <v>9.4600000000000009</v>
      </c>
    </row>
    <row r="35" spans="1:6" x14ac:dyDescent="0.35">
      <c r="A35" t="s">
        <v>297</v>
      </c>
      <c r="B35" t="s">
        <v>298</v>
      </c>
      <c r="C35">
        <v>33.17</v>
      </c>
    </row>
    <row r="36" spans="1:6" x14ac:dyDescent="0.35">
      <c r="A36" t="s">
        <v>288</v>
      </c>
      <c r="B36" t="s">
        <v>117</v>
      </c>
      <c r="C36">
        <v>6.38</v>
      </c>
    </row>
    <row r="37" spans="1:6" x14ac:dyDescent="0.35">
      <c r="A37" t="s">
        <v>299</v>
      </c>
      <c r="B37" t="s">
        <v>300</v>
      </c>
      <c r="C37">
        <v>19.37</v>
      </c>
    </row>
    <row r="38" spans="1:6" x14ac:dyDescent="0.35">
      <c r="C38">
        <v>0</v>
      </c>
      <c r="D38">
        <f>SUM(C31:C37)</f>
        <v>92.210000000000008</v>
      </c>
      <c r="E38">
        <f>SUM(C2:C37)</f>
        <v>644.2299999999999</v>
      </c>
      <c r="F38" t="s">
        <v>282</v>
      </c>
    </row>
    <row r="39" spans="1:6" x14ac:dyDescent="0.35">
      <c r="A39" t="s">
        <v>283</v>
      </c>
      <c r="B39" t="s">
        <v>117</v>
      </c>
      <c r="C39">
        <v>9.7799999999999994</v>
      </c>
    </row>
    <row r="40" spans="1:6" x14ac:dyDescent="0.35">
      <c r="A40" t="s">
        <v>359</v>
      </c>
      <c r="B40" t="s">
        <v>360</v>
      </c>
      <c r="C40">
        <v>68.09</v>
      </c>
    </row>
    <row r="41" spans="1:6" x14ac:dyDescent="0.35">
      <c r="A41" t="s">
        <v>285</v>
      </c>
      <c r="B41" t="s">
        <v>117</v>
      </c>
      <c r="C41">
        <v>10.34</v>
      </c>
    </row>
    <row r="42" spans="1:6" x14ac:dyDescent="0.35">
      <c r="A42" t="s">
        <v>351</v>
      </c>
      <c r="B42" t="s">
        <v>361</v>
      </c>
      <c r="C42">
        <v>3</v>
      </c>
    </row>
    <row r="43" spans="1:6" x14ac:dyDescent="0.35">
      <c r="A43" t="s">
        <v>351</v>
      </c>
      <c r="B43" t="s">
        <v>362</v>
      </c>
      <c r="C43">
        <v>3</v>
      </c>
    </row>
    <row r="44" spans="1:6" x14ac:dyDescent="0.35">
      <c r="A44" t="s">
        <v>351</v>
      </c>
      <c r="B44" t="s">
        <v>363</v>
      </c>
      <c r="C44">
        <v>3</v>
      </c>
    </row>
    <row r="45" spans="1:6" x14ac:dyDescent="0.35">
      <c r="A45" t="s">
        <v>353</v>
      </c>
      <c r="B45" t="s">
        <v>117</v>
      </c>
      <c r="C45">
        <v>6.04</v>
      </c>
    </row>
    <row r="46" spans="1:6" x14ac:dyDescent="0.35">
      <c r="A46" t="s">
        <v>353</v>
      </c>
      <c r="B46" t="s">
        <v>117</v>
      </c>
      <c r="C46">
        <v>26.63</v>
      </c>
    </row>
    <row r="47" spans="1:6" x14ac:dyDescent="0.35">
      <c r="A47" t="s">
        <v>353</v>
      </c>
      <c r="B47" t="s">
        <v>36</v>
      </c>
      <c r="C47">
        <v>39.630000000000003</v>
      </c>
    </row>
    <row r="48" spans="1:6" x14ac:dyDescent="0.35">
      <c r="A48" t="s">
        <v>364</v>
      </c>
      <c r="B48" t="s">
        <v>117</v>
      </c>
      <c r="C48">
        <v>6.04</v>
      </c>
    </row>
    <row r="49" spans="1:6" x14ac:dyDescent="0.35">
      <c r="A49" t="s">
        <v>355</v>
      </c>
      <c r="B49" t="s">
        <v>365</v>
      </c>
      <c r="C49">
        <v>3.36</v>
      </c>
    </row>
    <row r="50" spans="1:6" x14ac:dyDescent="0.35">
      <c r="A50" t="s">
        <v>355</v>
      </c>
      <c r="B50" t="s">
        <v>366</v>
      </c>
      <c r="C50">
        <v>8.94</v>
      </c>
    </row>
    <row r="51" spans="1:6" x14ac:dyDescent="0.35">
      <c r="A51" t="s">
        <v>355</v>
      </c>
      <c r="B51" t="s">
        <v>367</v>
      </c>
      <c r="C51">
        <v>143.13</v>
      </c>
    </row>
    <row r="52" spans="1:6" x14ac:dyDescent="0.35">
      <c r="C52">
        <v>0</v>
      </c>
      <c r="D52">
        <f>SUM(C39:C51)</f>
        <v>330.98</v>
      </c>
      <c r="E52">
        <f>SUM(C2:C51)</f>
        <v>975.20999999999992</v>
      </c>
      <c r="F52" t="s">
        <v>347</v>
      </c>
    </row>
    <row r="53" spans="1:6" x14ac:dyDescent="0.35">
      <c r="A53" t="s">
        <v>368</v>
      </c>
      <c r="B53" t="s">
        <v>117</v>
      </c>
      <c r="C53">
        <v>2.21</v>
      </c>
    </row>
    <row r="54" spans="1:6" x14ac:dyDescent="0.35">
      <c r="A54" t="s">
        <v>358</v>
      </c>
      <c r="B54" t="s">
        <v>117</v>
      </c>
      <c r="C54">
        <v>4.7300000000000004</v>
      </c>
    </row>
    <row r="55" spans="1:6" x14ac:dyDescent="0.35">
      <c r="A55" t="s">
        <v>358</v>
      </c>
      <c r="B55" t="s">
        <v>206</v>
      </c>
      <c r="C55">
        <v>8</v>
      </c>
    </row>
    <row r="56" spans="1:6" x14ac:dyDescent="0.35">
      <c r="A56" t="s">
        <v>405</v>
      </c>
      <c r="B56" t="s">
        <v>117</v>
      </c>
      <c r="C56">
        <v>7.36</v>
      </c>
    </row>
    <row r="57" spans="1:6" x14ac:dyDescent="0.35">
      <c r="A57" t="s">
        <v>423</v>
      </c>
      <c r="B57" t="s">
        <v>34</v>
      </c>
      <c r="C57">
        <v>6.14</v>
      </c>
    </row>
    <row r="58" spans="1:6" x14ac:dyDescent="0.35">
      <c r="A58" t="s">
        <v>423</v>
      </c>
      <c r="B58" t="s">
        <v>432</v>
      </c>
      <c r="C58">
        <v>45.16</v>
      </c>
    </row>
    <row r="59" spans="1:6" x14ac:dyDescent="0.35">
      <c r="A59" t="s">
        <v>423</v>
      </c>
      <c r="B59" t="s">
        <v>35</v>
      </c>
      <c r="C59">
        <v>4</v>
      </c>
    </row>
    <row r="60" spans="1:6" x14ac:dyDescent="0.35">
      <c r="A60" t="s">
        <v>424</v>
      </c>
      <c r="B60" t="s">
        <v>434</v>
      </c>
      <c r="C60">
        <v>14.8</v>
      </c>
    </row>
    <row r="61" spans="1:6" x14ac:dyDescent="0.35">
      <c r="A61" t="s">
        <v>435</v>
      </c>
      <c r="B61" t="s">
        <v>117</v>
      </c>
      <c r="C61">
        <v>7.59</v>
      </c>
    </row>
    <row r="62" spans="1:6" x14ac:dyDescent="0.35">
      <c r="A62" t="s">
        <v>437</v>
      </c>
      <c r="B62" t="s">
        <v>438</v>
      </c>
      <c r="C62">
        <v>5</v>
      </c>
    </row>
    <row r="63" spans="1:6" x14ac:dyDescent="0.35">
      <c r="A63" t="s">
        <v>437</v>
      </c>
      <c r="B63" t="s">
        <v>438</v>
      </c>
      <c r="C63">
        <v>5</v>
      </c>
    </row>
    <row r="64" spans="1:6" x14ac:dyDescent="0.35">
      <c r="A64" t="s">
        <v>437</v>
      </c>
      <c r="B64" t="s">
        <v>438</v>
      </c>
      <c r="C64">
        <v>26.68</v>
      </c>
    </row>
    <row r="65" spans="1:6" x14ac:dyDescent="0.35">
      <c r="A65" t="s">
        <v>416</v>
      </c>
      <c r="B65" t="s">
        <v>35</v>
      </c>
      <c r="C65">
        <v>4</v>
      </c>
    </row>
    <row r="66" spans="1:6" x14ac:dyDescent="0.35">
      <c r="A66" t="s">
        <v>441</v>
      </c>
      <c r="B66" t="s">
        <v>112</v>
      </c>
      <c r="C66">
        <v>40.44</v>
      </c>
    </row>
    <row r="67" spans="1:6" x14ac:dyDescent="0.35">
      <c r="A67" t="s">
        <v>442</v>
      </c>
      <c r="B67" t="s">
        <v>117</v>
      </c>
      <c r="C67">
        <v>5.05</v>
      </c>
    </row>
    <row r="68" spans="1:6" x14ac:dyDescent="0.35">
      <c r="A68" t="s">
        <v>431</v>
      </c>
      <c r="B68" t="s">
        <v>205</v>
      </c>
      <c r="C68">
        <v>46.61</v>
      </c>
    </row>
    <row r="69" spans="1:6" x14ac:dyDescent="0.35">
      <c r="A69" t="s">
        <v>418</v>
      </c>
      <c r="B69" t="s">
        <v>117</v>
      </c>
      <c r="C69">
        <v>6.6</v>
      </c>
    </row>
    <row r="70" spans="1:6" x14ac:dyDescent="0.35">
      <c r="C70">
        <v>0</v>
      </c>
      <c r="D70">
        <f>SUM(C53:C69)</f>
        <v>239.36999999999998</v>
      </c>
      <c r="E70">
        <f>SUM(C2:C69)</f>
        <v>1214.5799999999997</v>
      </c>
      <c r="F70" t="s">
        <v>420</v>
      </c>
    </row>
    <row r="71" spans="1:6" x14ac:dyDescent="0.35">
      <c r="A71" t="s">
        <v>427</v>
      </c>
      <c r="B71" t="s">
        <v>432</v>
      </c>
      <c r="C71">
        <v>63.87</v>
      </c>
    </row>
    <row r="72" spans="1:6" x14ac:dyDescent="0.35">
      <c r="A72" t="s">
        <v>427</v>
      </c>
      <c r="B72" t="s">
        <v>444</v>
      </c>
      <c r="C72">
        <v>20</v>
      </c>
    </row>
    <row r="73" spans="1:6" x14ac:dyDescent="0.35">
      <c r="A73" t="s">
        <v>521</v>
      </c>
      <c r="B73" t="s">
        <v>522</v>
      </c>
      <c r="C73">
        <v>15.03</v>
      </c>
    </row>
    <row r="74" spans="1:6" x14ac:dyDescent="0.35">
      <c r="A74" t="s">
        <v>523</v>
      </c>
      <c r="B74" t="s">
        <v>206</v>
      </c>
      <c r="C74">
        <v>8</v>
      </c>
    </row>
    <row r="75" spans="1:6" x14ac:dyDescent="0.35">
      <c r="A75" t="s">
        <v>519</v>
      </c>
      <c r="B75" t="s">
        <v>524</v>
      </c>
      <c r="C75">
        <v>59.27</v>
      </c>
    </row>
    <row r="76" spans="1:6" x14ac:dyDescent="0.35">
      <c r="A76" t="s">
        <v>519</v>
      </c>
      <c r="B76" t="s">
        <v>32</v>
      </c>
      <c r="C76">
        <v>2.88</v>
      </c>
    </row>
    <row r="77" spans="1:6" x14ac:dyDescent="0.35">
      <c r="A77" t="s">
        <v>525</v>
      </c>
      <c r="B77" t="s">
        <v>526</v>
      </c>
      <c r="C77">
        <v>24.15</v>
      </c>
    </row>
    <row r="78" spans="1:6" x14ac:dyDescent="0.35">
      <c r="A78" t="s">
        <v>525</v>
      </c>
      <c r="B78" t="s">
        <v>527</v>
      </c>
      <c r="C78">
        <v>8.98</v>
      </c>
    </row>
    <row r="79" spans="1:6" x14ac:dyDescent="0.35">
      <c r="A79" t="s">
        <v>525</v>
      </c>
      <c r="B79" t="s">
        <v>528</v>
      </c>
      <c r="C79">
        <v>25.65</v>
      </c>
    </row>
    <row r="80" spans="1:6" x14ac:dyDescent="0.35">
      <c r="A80" t="s">
        <v>525</v>
      </c>
      <c r="B80" t="s">
        <v>529</v>
      </c>
      <c r="C80">
        <v>17.260000000000002</v>
      </c>
    </row>
    <row r="81" spans="1:6" x14ac:dyDescent="0.35">
      <c r="A81" t="s">
        <v>530</v>
      </c>
      <c r="B81" t="s">
        <v>531</v>
      </c>
      <c r="C81">
        <v>8.7200000000000006</v>
      </c>
    </row>
    <row r="82" spans="1:6" x14ac:dyDescent="0.35">
      <c r="A82" t="s">
        <v>530</v>
      </c>
      <c r="B82" t="s">
        <v>532</v>
      </c>
      <c r="C82">
        <v>20.6</v>
      </c>
    </row>
    <row r="83" spans="1:6" x14ac:dyDescent="0.35">
      <c r="A83" t="s">
        <v>530</v>
      </c>
      <c r="B83" t="s">
        <v>533</v>
      </c>
      <c r="C83">
        <v>24.84</v>
      </c>
    </row>
    <row r="84" spans="1:6" x14ac:dyDescent="0.35">
      <c r="A84" t="s">
        <v>515</v>
      </c>
      <c r="B84" t="s">
        <v>534</v>
      </c>
      <c r="C84">
        <v>7.01</v>
      </c>
    </row>
    <row r="85" spans="1:6" x14ac:dyDescent="0.35">
      <c r="A85" t="s">
        <v>515</v>
      </c>
      <c r="B85" t="s">
        <v>534</v>
      </c>
      <c r="C85">
        <v>14.46</v>
      </c>
    </row>
    <row r="86" spans="1:6" x14ac:dyDescent="0.35">
      <c r="A86" t="s">
        <v>535</v>
      </c>
      <c r="B86" t="s">
        <v>536</v>
      </c>
      <c r="C86">
        <v>5</v>
      </c>
    </row>
    <row r="87" spans="1:6" x14ac:dyDescent="0.35">
      <c r="A87" t="s">
        <v>535</v>
      </c>
      <c r="B87" t="s">
        <v>536</v>
      </c>
      <c r="C87">
        <v>5</v>
      </c>
    </row>
    <row r="88" spans="1:6" x14ac:dyDescent="0.35">
      <c r="A88" t="s">
        <v>535</v>
      </c>
      <c r="B88" t="s">
        <v>537</v>
      </c>
      <c r="C88">
        <v>65.09</v>
      </c>
    </row>
    <row r="89" spans="1:6" x14ac:dyDescent="0.35">
      <c r="A89" t="s">
        <v>538</v>
      </c>
      <c r="B89" t="s">
        <v>539</v>
      </c>
      <c r="C89">
        <v>85.83</v>
      </c>
    </row>
    <row r="90" spans="1:6" x14ac:dyDescent="0.35">
      <c r="A90" t="s">
        <v>538</v>
      </c>
      <c r="B90" t="s">
        <v>112</v>
      </c>
      <c r="C90">
        <v>39.6</v>
      </c>
    </row>
    <row r="91" spans="1:6" x14ac:dyDescent="0.35">
      <c r="A91" t="s">
        <v>538</v>
      </c>
      <c r="B91" t="s">
        <v>112</v>
      </c>
      <c r="C91">
        <v>1.68</v>
      </c>
    </row>
    <row r="92" spans="1:6" x14ac:dyDescent="0.35">
      <c r="A92" t="s">
        <v>540</v>
      </c>
      <c r="B92" t="s">
        <v>541</v>
      </c>
      <c r="C92">
        <v>6.91</v>
      </c>
    </row>
    <row r="93" spans="1:6" x14ac:dyDescent="0.35">
      <c r="C93">
        <v>0</v>
      </c>
      <c r="D93">
        <f>SUM(C71:C92)</f>
        <v>529.82999999999981</v>
      </c>
      <c r="E93">
        <f>SUM(C2:C92)</f>
        <v>1744.4099999999996</v>
      </c>
      <c r="F93" t="s">
        <v>503</v>
      </c>
    </row>
    <row r="94" spans="1:6" x14ac:dyDescent="0.35">
      <c r="A94" t="s">
        <v>546</v>
      </c>
      <c r="B94" t="s">
        <v>117</v>
      </c>
      <c r="C94">
        <v>2.85</v>
      </c>
    </row>
    <row r="95" spans="1:6" x14ac:dyDescent="0.35">
      <c r="A95" t="s">
        <v>622</v>
      </c>
      <c r="B95" t="s">
        <v>638</v>
      </c>
      <c r="C95">
        <v>6.4</v>
      </c>
    </row>
    <row r="96" spans="1:6" x14ac:dyDescent="0.35">
      <c r="A96" t="s">
        <v>639</v>
      </c>
      <c r="B96" t="s">
        <v>36</v>
      </c>
      <c r="C96">
        <v>125.67</v>
      </c>
    </row>
    <row r="97" spans="1:6" x14ac:dyDescent="0.35">
      <c r="A97" t="s">
        <v>640</v>
      </c>
      <c r="B97" t="s">
        <v>117</v>
      </c>
      <c r="C97">
        <v>4.2699999999999996</v>
      </c>
    </row>
    <row r="98" spans="1:6" x14ac:dyDescent="0.35">
      <c r="A98" t="s">
        <v>641</v>
      </c>
      <c r="B98" t="s">
        <v>642</v>
      </c>
      <c r="C98">
        <v>12.76</v>
      </c>
    </row>
    <row r="99" spans="1:6" x14ac:dyDescent="0.35">
      <c r="A99" t="s">
        <v>641</v>
      </c>
      <c r="B99" t="s">
        <v>444</v>
      </c>
      <c r="C99">
        <v>15.19</v>
      </c>
    </row>
    <row r="100" spans="1:6" x14ac:dyDescent="0.35">
      <c r="C100">
        <v>0</v>
      </c>
      <c r="D100">
        <f>SUM(C94:C99)</f>
        <v>167.14000000000001</v>
      </c>
      <c r="E100">
        <f>SUM(C2:C99)</f>
        <v>1911.5499999999997</v>
      </c>
      <c r="F100" t="s">
        <v>614</v>
      </c>
    </row>
    <row r="101" spans="1:6" x14ac:dyDescent="0.35">
      <c r="A101" t="s">
        <v>643</v>
      </c>
      <c r="B101" t="s">
        <v>117</v>
      </c>
      <c r="C101">
        <v>2.85</v>
      </c>
    </row>
    <row r="102" spans="1:6" x14ac:dyDescent="0.35">
      <c r="A102" t="s">
        <v>632</v>
      </c>
      <c r="B102" t="s">
        <v>644</v>
      </c>
      <c r="C102">
        <v>9.49</v>
      </c>
    </row>
    <row r="103" spans="1:6" x14ac:dyDescent="0.35">
      <c r="A103" t="s">
        <v>723</v>
      </c>
      <c r="B103" t="s">
        <v>117</v>
      </c>
      <c r="C103">
        <v>7.46</v>
      </c>
    </row>
    <row r="104" spans="1:6" x14ac:dyDescent="0.35">
      <c r="A104" t="s">
        <v>724</v>
      </c>
      <c r="B104" t="s">
        <v>725</v>
      </c>
      <c r="C104">
        <v>-19.72</v>
      </c>
    </row>
    <row r="105" spans="1:6" x14ac:dyDescent="0.35">
      <c r="A105" t="s">
        <v>724</v>
      </c>
      <c r="B105" t="s">
        <v>726</v>
      </c>
      <c r="C105">
        <v>5.73</v>
      </c>
    </row>
    <row r="106" spans="1:6" x14ac:dyDescent="0.35">
      <c r="A106" t="s">
        <v>724</v>
      </c>
      <c r="B106" t="s">
        <v>725</v>
      </c>
      <c r="C106">
        <v>19.72</v>
      </c>
    </row>
    <row r="107" spans="1:6" x14ac:dyDescent="0.35">
      <c r="A107" t="s">
        <v>710</v>
      </c>
      <c r="B107" t="s">
        <v>117</v>
      </c>
      <c r="C107">
        <v>2.85</v>
      </c>
    </row>
    <row r="108" spans="1:6" x14ac:dyDescent="0.35">
      <c r="A108" t="s">
        <v>727</v>
      </c>
      <c r="B108" t="s">
        <v>117</v>
      </c>
      <c r="C108">
        <v>5.05</v>
      </c>
    </row>
    <row r="109" spans="1:6" x14ac:dyDescent="0.35">
      <c r="A109" t="s">
        <v>728</v>
      </c>
      <c r="B109" t="s">
        <v>117</v>
      </c>
      <c r="C109">
        <v>2.85</v>
      </c>
    </row>
    <row r="110" spans="1:6" x14ac:dyDescent="0.35">
      <c r="A110" t="s">
        <v>729</v>
      </c>
      <c r="B110" t="s">
        <v>730</v>
      </c>
      <c r="C110">
        <v>10.98</v>
      </c>
    </row>
    <row r="111" spans="1:6" x14ac:dyDescent="0.35">
      <c r="A111" t="s">
        <v>713</v>
      </c>
      <c r="B111" t="s">
        <v>726</v>
      </c>
      <c r="C111">
        <v>2.21</v>
      </c>
    </row>
    <row r="112" spans="1:6" x14ac:dyDescent="0.35">
      <c r="A112" t="s">
        <v>714</v>
      </c>
      <c r="B112" t="s">
        <v>731</v>
      </c>
      <c r="C112">
        <v>1.76</v>
      </c>
    </row>
    <row r="113" spans="1:6" x14ac:dyDescent="0.35">
      <c r="A113" t="s">
        <v>732</v>
      </c>
      <c r="B113" t="s">
        <v>726</v>
      </c>
      <c r="C113">
        <v>6.51</v>
      </c>
    </row>
    <row r="114" spans="1:6" x14ac:dyDescent="0.35">
      <c r="A114" t="s">
        <v>716</v>
      </c>
      <c r="B114" t="s">
        <v>35</v>
      </c>
      <c r="C114">
        <v>0.56000000000000005</v>
      </c>
    </row>
    <row r="115" spans="1:6" x14ac:dyDescent="0.35">
      <c r="A115" t="s">
        <v>716</v>
      </c>
      <c r="B115" t="s">
        <v>36</v>
      </c>
      <c r="C115">
        <v>84.89</v>
      </c>
    </row>
    <row r="116" spans="1:6" x14ac:dyDescent="0.35">
      <c r="A116" t="s">
        <v>716</v>
      </c>
      <c r="B116" t="s">
        <v>733</v>
      </c>
      <c r="C116">
        <v>9.6999999999999993</v>
      </c>
    </row>
    <row r="117" spans="1:6" x14ac:dyDescent="0.35">
      <c r="C117">
        <v>0</v>
      </c>
      <c r="D117">
        <f>SUM(C101:C116)</f>
        <v>152.88999999999999</v>
      </c>
      <c r="E117">
        <f>SUM(C2:C116)</f>
        <v>2064.4399999999991</v>
      </c>
      <c r="F117" t="s">
        <v>699</v>
      </c>
    </row>
    <row r="118" spans="1:6" x14ac:dyDescent="0.35">
      <c r="A118" t="s">
        <v>734</v>
      </c>
      <c r="B118" t="s">
        <v>735</v>
      </c>
      <c r="C118">
        <v>5.91</v>
      </c>
    </row>
    <row r="119" spans="1:6" x14ac:dyDescent="0.35">
      <c r="A119" t="s">
        <v>734</v>
      </c>
      <c r="B119" t="s">
        <v>735</v>
      </c>
      <c r="C119">
        <v>10.75</v>
      </c>
    </row>
    <row r="120" spans="1:6" x14ac:dyDescent="0.35">
      <c r="A120" t="s">
        <v>734</v>
      </c>
      <c r="B120" t="s">
        <v>736</v>
      </c>
      <c r="C120">
        <v>12.8</v>
      </c>
    </row>
    <row r="121" spans="1:6" x14ac:dyDescent="0.35">
      <c r="A121" t="s">
        <v>700</v>
      </c>
      <c r="B121" t="s">
        <v>444</v>
      </c>
      <c r="C121">
        <v>15</v>
      </c>
    </row>
    <row r="122" spans="1:6" x14ac:dyDescent="0.35">
      <c r="A122" t="s">
        <v>700</v>
      </c>
      <c r="B122" t="s">
        <v>738</v>
      </c>
      <c r="C122">
        <v>6.5</v>
      </c>
    </row>
    <row r="123" spans="1:6" x14ac:dyDescent="0.35">
      <c r="A123" t="s">
        <v>700</v>
      </c>
      <c r="B123" t="s">
        <v>35</v>
      </c>
      <c r="C123">
        <v>1</v>
      </c>
    </row>
    <row r="124" spans="1:6" x14ac:dyDescent="0.35">
      <c r="A124" t="s">
        <v>717</v>
      </c>
      <c r="B124" t="s">
        <v>726</v>
      </c>
      <c r="C124">
        <v>2.21</v>
      </c>
    </row>
    <row r="125" spans="1:6" x14ac:dyDescent="0.35">
      <c r="A125" t="s">
        <v>826</v>
      </c>
      <c r="B125" t="s">
        <v>726</v>
      </c>
      <c r="C125">
        <v>5.73</v>
      </c>
    </row>
    <row r="126" spans="1:6" x14ac:dyDescent="0.35">
      <c r="A126" t="s">
        <v>785</v>
      </c>
      <c r="B126" t="s">
        <v>726</v>
      </c>
      <c r="C126">
        <v>2.21</v>
      </c>
    </row>
    <row r="127" spans="1:6" x14ac:dyDescent="0.35">
      <c r="A127" t="s">
        <v>811</v>
      </c>
      <c r="B127" t="s">
        <v>638</v>
      </c>
      <c r="C127">
        <v>6.62</v>
      </c>
    </row>
    <row r="128" spans="1:6" x14ac:dyDescent="0.35">
      <c r="A128" t="s">
        <v>812</v>
      </c>
      <c r="B128" t="s">
        <v>827</v>
      </c>
      <c r="C128">
        <v>17.489999999999998</v>
      </c>
    </row>
    <row r="129" spans="1:6" x14ac:dyDescent="0.35">
      <c r="A129" t="s">
        <v>813</v>
      </c>
      <c r="B129" t="s">
        <v>839</v>
      </c>
      <c r="C129">
        <v>1.6</v>
      </c>
    </row>
    <row r="130" spans="1:6" x14ac:dyDescent="0.35">
      <c r="A130" t="s">
        <v>828</v>
      </c>
      <c r="B130" t="s">
        <v>726</v>
      </c>
      <c r="C130">
        <v>8.81</v>
      </c>
    </row>
    <row r="131" spans="1:6" x14ac:dyDescent="0.35">
      <c r="A131" t="s">
        <v>814</v>
      </c>
      <c r="B131" t="s">
        <v>117</v>
      </c>
      <c r="C131">
        <v>2.85</v>
      </c>
    </row>
    <row r="132" spans="1:6" x14ac:dyDescent="0.35">
      <c r="A132" t="s">
        <v>814</v>
      </c>
      <c r="B132" t="s">
        <v>829</v>
      </c>
      <c r="C132">
        <v>3.29</v>
      </c>
    </row>
    <row r="133" spans="1:6" x14ac:dyDescent="0.35">
      <c r="A133" t="s">
        <v>814</v>
      </c>
      <c r="B133" t="s">
        <v>726</v>
      </c>
      <c r="C133">
        <v>4.42</v>
      </c>
    </row>
    <row r="134" spans="1:6" x14ac:dyDescent="0.35">
      <c r="A134" t="s">
        <v>802</v>
      </c>
      <c r="B134" t="s">
        <v>117</v>
      </c>
      <c r="C134">
        <v>18.850000000000001</v>
      </c>
    </row>
    <row r="135" spans="1:6" x14ac:dyDescent="0.35">
      <c r="A135" t="s">
        <v>830</v>
      </c>
      <c r="B135" t="s">
        <v>829</v>
      </c>
      <c r="C135">
        <v>7.59</v>
      </c>
    </row>
    <row r="136" spans="1:6" x14ac:dyDescent="0.35">
      <c r="A136" t="s">
        <v>831</v>
      </c>
      <c r="B136" t="s">
        <v>36</v>
      </c>
      <c r="C136">
        <v>149.44999999999999</v>
      </c>
    </row>
    <row r="137" spans="1:6" x14ac:dyDescent="0.35">
      <c r="A137" t="s">
        <v>815</v>
      </c>
      <c r="B137" t="s">
        <v>733</v>
      </c>
      <c r="C137">
        <v>11.9</v>
      </c>
    </row>
    <row r="138" spans="1:6" x14ac:dyDescent="0.35">
      <c r="A138" t="s">
        <v>794</v>
      </c>
      <c r="B138" t="s">
        <v>726</v>
      </c>
      <c r="C138">
        <v>5.4</v>
      </c>
    </row>
    <row r="139" spans="1:6" x14ac:dyDescent="0.35">
      <c r="A139" t="s">
        <v>832</v>
      </c>
      <c r="B139" t="s">
        <v>833</v>
      </c>
      <c r="C139">
        <v>9.66</v>
      </c>
    </row>
    <row r="140" spans="1:6" x14ac:dyDescent="0.35">
      <c r="A140" t="s">
        <v>834</v>
      </c>
      <c r="B140" t="s">
        <v>835</v>
      </c>
      <c r="C140">
        <v>5.67</v>
      </c>
    </row>
    <row r="141" spans="1:6" x14ac:dyDescent="0.35">
      <c r="A141" t="s">
        <v>817</v>
      </c>
      <c r="B141" t="s">
        <v>836</v>
      </c>
      <c r="C141">
        <v>7.89</v>
      </c>
    </row>
    <row r="142" spans="1:6" x14ac:dyDescent="0.35">
      <c r="A142" t="s">
        <v>817</v>
      </c>
      <c r="B142" t="s">
        <v>444</v>
      </c>
      <c r="C142">
        <v>12.5</v>
      </c>
    </row>
    <row r="143" spans="1:6" x14ac:dyDescent="0.35">
      <c r="C143">
        <v>0</v>
      </c>
      <c r="D143">
        <f>SUM(C118:C142)</f>
        <v>336.09999999999997</v>
      </c>
      <c r="E143">
        <f>SUM(C2:C142)</f>
        <v>2400.5399999999986</v>
      </c>
      <c r="F143" t="s">
        <v>796</v>
      </c>
    </row>
    <row r="144" spans="1:6" x14ac:dyDescent="0.35">
      <c r="A144" t="s">
        <v>837</v>
      </c>
      <c r="B144" t="s">
        <v>726</v>
      </c>
      <c r="C144">
        <v>6.72</v>
      </c>
    </row>
    <row r="145" spans="1:6" x14ac:dyDescent="0.35">
      <c r="A145" t="s">
        <v>842</v>
      </c>
      <c r="B145" t="s">
        <v>112</v>
      </c>
      <c r="C145">
        <v>36.880000000000003</v>
      </c>
    </row>
    <row r="146" spans="1:6" x14ac:dyDescent="0.35">
      <c r="A146" t="s">
        <v>888</v>
      </c>
      <c r="B146" t="s">
        <v>117</v>
      </c>
      <c r="C146">
        <v>2.85</v>
      </c>
    </row>
    <row r="147" spans="1:6" x14ac:dyDescent="0.35">
      <c r="A147" t="s">
        <v>888</v>
      </c>
      <c r="B147" t="s">
        <v>833</v>
      </c>
      <c r="C147">
        <v>6</v>
      </c>
    </row>
    <row r="148" spans="1:6" x14ac:dyDescent="0.35">
      <c r="A148" t="s">
        <v>899</v>
      </c>
      <c r="B148" t="s">
        <v>835</v>
      </c>
      <c r="C148">
        <v>9.42</v>
      </c>
    </row>
    <row r="149" spans="1:6" x14ac:dyDescent="0.35">
      <c r="A149" t="s">
        <v>899</v>
      </c>
      <c r="B149" t="s">
        <v>827</v>
      </c>
      <c r="C149">
        <v>7.7</v>
      </c>
    </row>
    <row r="150" spans="1:6" x14ac:dyDescent="0.35">
      <c r="A150" t="s">
        <v>873</v>
      </c>
      <c r="B150" t="s">
        <v>726</v>
      </c>
      <c r="C150">
        <v>10.24</v>
      </c>
    </row>
    <row r="151" spans="1:6" x14ac:dyDescent="0.35">
      <c r="A151" t="s">
        <v>890</v>
      </c>
      <c r="B151" t="s">
        <v>726</v>
      </c>
      <c r="C151">
        <v>7.93</v>
      </c>
    </row>
    <row r="152" spans="1:6" x14ac:dyDescent="0.35">
      <c r="A152" t="s">
        <v>904</v>
      </c>
      <c r="B152" t="s">
        <v>905</v>
      </c>
      <c r="C152">
        <v>18.010000000000002</v>
      </c>
    </row>
    <row r="153" spans="1:6" x14ac:dyDescent="0.35">
      <c r="A153" t="s">
        <v>805</v>
      </c>
      <c r="B153" t="s">
        <v>117</v>
      </c>
      <c r="C153">
        <v>2.85</v>
      </c>
    </row>
    <row r="154" spans="1:6" x14ac:dyDescent="0.35">
      <c r="A154" t="s">
        <v>908</v>
      </c>
      <c r="B154" t="s">
        <v>909</v>
      </c>
      <c r="C154">
        <v>13.89</v>
      </c>
    </row>
    <row r="155" spans="1:6" x14ac:dyDescent="0.35">
      <c r="A155" t="s">
        <v>893</v>
      </c>
      <c r="B155" t="s">
        <v>726</v>
      </c>
      <c r="C155">
        <v>4.42</v>
      </c>
    </row>
    <row r="156" spans="1:6" x14ac:dyDescent="0.35">
      <c r="A156" t="s">
        <v>910</v>
      </c>
      <c r="B156" t="s">
        <v>112</v>
      </c>
      <c r="C156">
        <v>33.54</v>
      </c>
    </row>
    <row r="157" spans="1:6" x14ac:dyDescent="0.35">
      <c r="A157" t="s">
        <v>910</v>
      </c>
      <c r="B157" t="s">
        <v>112</v>
      </c>
      <c r="C157">
        <v>4.12</v>
      </c>
    </row>
    <row r="158" spans="1:6" x14ac:dyDescent="0.35">
      <c r="A158" t="s">
        <v>894</v>
      </c>
      <c r="B158" t="s">
        <v>835</v>
      </c>
      <c r="C158">
        <v>5.67</v>
      </c>
    </row>
    <row r="159" spans="1:6" x14ac:dyDescent="0.35">
      <c r="C159">
        <v>0</v>
      </c>
      <c r="D159">
        <f>SUM(C144:C158)</f>
        <v>170.24</v>
      </c>
      <c r="E159">
        <f>SUM(C2:C158)</f>
        <v>2570.7799999999979</v>
      </c>
      <c r="F159" t="s">
        <v>885</v>
      </c>
    </row>
    <row r="160" spans="1:6" x14ac:dyDescent="0.35">
      <c r="A160" t="s">
        <v>902</v>
      </c>
      <c r="B160" t="s">
        <v>726</v>
      </c>
      <c r="C160">
        <v>3.97</v>
      </c>
    </row>
    <row r="161" spans="1:3" x14ac:dyDescent="0.35">
      <c r="A161" t="s">
        <v>977</v>
      </c>
      <c r="B161" t="s">
        <v>36</v>
      </c>
      <c r="C161">
        <v>55.24</v>
      </c>
    </row>
    <row r="162" spans="1:3" x14ac:dyDescent="0.35">
      <c r="A162" t="s">
        <v>990</v>
      </c>
      <c r="B162" t="s">
        <v>206</v>
      </c>
      <c r="C162">
        <v>4</v>
      </c>
    </row>
    <row r="163" spans="1:3" x14ac:dyDescent="0.35">
      <c r="A163" t="s">
        <v>990</v>
      </c>
      <c r="B163" t="s">
        <v>206</v>
      </c>
      <c r="C163">
        <v>2.66</v>
      </c>
    </row>
    <row r="164" spans="1:3" x14ac:dyDescent="0.35">
      <c r="A164" t="s">
        <v>990</v>
      </c>
      <c r="B164" t="s">
        <v>991</v>
      </c>
      <c r="C164">
        <v>38.47</v>
      </c>
    </row>
    <row r="165" spans="1:3" x14ac:dyDescent="0.35">
      <c r="A165" t="s">
        <v>1005</v>
      </c>
      <c r="B165" t="s">
        <v>1046</v>
      </c>
      <c r="C165">
        <v>8.6199999999999992</v>
      </c>
    </row>
    <row r="166" spans="1:3" x14ac:dyDescent="0.35">
      <c r="A166" t="s">
        <v>1005</v>
      </c>
      <c r="B166" t="s">
        <v>32</v>
      </c>
      <c r="C166">
        <v>4.88</v>
      </c>
    </row>
    <row r="167" spans="1:3" x14ac:dyDescent="0.35">
      <c r="A167" t="s">
        <v>979</v>
      </c>
      <c r="B167" t="s">
        <v>992</v>
      </c>
      <c r="C167">
        <v>28.6</v>
      </c>
    </row>
    <row r="168" spans="1:3" x14ac:dyDescent="0.35">
      <c r="A168" t="s">
        <v>979</v>
      </c>
      <c r="B168" t="s">
        <v>117</v>
      </c>
      <c r="C168">
        <v>6.9</v>
      </c>
    </row>
    <row r="169" spans="1:3" x14ac:dyDescent="0.35">
      <c r="A169" t="s">
        <v>970</v>
      </c>
      <c r="B169" t="s">
        <v>738</v>
      </c>
      <c r="C169">
        <v>6.5</v>
      </c>
    </row>
    <row r="170" spans="1:3" x14ac:dyDescent="0.35">
      <c r="A170" t="s">
        <v>970</v>
      </c>
      <c r="B170" t="s">
        <v>738</v>
      </c>
      <c r="C170">
        <v>2.81</v>
      </c>
    </row>
    <row r="171" spans="1:3" x14ac:dyDescent="0.35">
      <c r="A171" t="s">
        <v>993</v>
      </c>
      <c r="B171" t="s">
        <v>206</v>
      </c>
      <c r="C171">
        <v>2</v>
      </c>
    </row>
    <row r="172" spans="1:3" x14ac:dyDescent="0.35">
      <c r="A172" t="s">
        <v>993</v>
      </c>
      <c r="B172" t="s">
        <v>32</v>
      </c>
      <c r="C172">
        <v>17</v>
      </c>
    </row>
    <row r="173" spans="1:3" x14ac:dyDescent="0.35">
      <c r="A173" t="s">
        <v>994</v>
      </c>
      <c r="B173" t="s">
        <v>995</v>
      </c>
      <c r="C173">
        <v>18.2</v>
      </c>
    </row>
    <row r="174" spans="1:3" x14ac:dyDescent="0.35">
      <c r="A174" t="s">
        <v>996</v>
      </c>
      <c r="B174" t="s">
        <v>206</v>
      </c>
      <c r="C174">
        <v>8</v>
      </c>
    </row>
    <row r="175" spans="1:3" x14ac:dyDescent="0.35">
      <c r="A175" t="s">
        <v>981</v>
      </c>
      <c r="B175" t="s">
        <v>997</v>
      </c>
      <c r="C175">
        <v>30.76</v>
      </c>
    </row>
    <row r="176" spans="1:3" x14ac:dyDescent="0.35">
      <c r="A176" t="s">
        <v>982</v>
      </c>
      <c r="B176" t="s">
        <v>995</v>
      </c>
      <c r="C176">
        <v>15.43</v>
      </c>
    </row>
    <row r="177" spans="1:6" x14ac:dyDescent="0.35">
      <c r="C177">
        <v>0</v>
      </c>
      <c r="D177">
        <f>SUM(C160:C176)</f>
        <v>254.04</v>
      </c>
      <c r="E177">
        <f>SUM(C2:C176)</f>
        <v>2824.819999999997</v>
      </c>
      <c r="F177" t="s">
        <v>965</v>
      </c>
    </row>
    <row r="178" spans="1:6" x14ac:dyDescent="0.35">
      <c r="A178" t="s">
        <v>966</v>
      </c>
      <c r="B178" t="s">
        <v>998</v>
      </c>
      <c r="C178">
        <v>61</v>
      </c>
    </row>
    <row r="179" spans="1:6" x14ac:dyDescent="0.35">
      <c r="A179" t="s">
        <v>1000</v>
      </c>
      <c r="B179" t="s">
        <v>726</v>
      </c>
      <c r="C179">
        <v>9.27</v>
      </c>
    </row>
    <row r="180" spans="1:6" x14ac:dyDescent="0.35">
      <c r="A180" t="s">
        <v>1026</v>
      </c>
      <c r="B180" t="s">
        <v>1027</v>
      </c>
      <c r="C180">
        <v>2.85</v>
      </c>
    </row>
    <row r="181" spans="1:6" x14ac:dyDescent="0.35">
      <c r="A181" t="s">
        <v>1078</v>
      </c>
      <c r="B181" t="s">
        <v>1079</v>
      </c>
      <c r="C181">
        <v>50.91</v>
      </c>
    </row>
    <row r="182" spans="1:6" x14ac:dyDescent="0.35">
      <c r="A182" t="s">
        <v>1080</v>
      </c>
      <c r="B182" t="s">
        <v>1081</v>
      </c>
      <c r="C182">
        <v>30.03</v>
      </c>
    </row>
    <row r="183" spans="1:6" x14ac:dyDescent="0.35">
      <c r="A183" t="s">
        <v>968</v>
      </c>
      <c r="B183" t="s">
        <v>32</v>
      </c>
      <c r="C183">
        <v>13.66</v>
      </c>
    </row>
    <row r="184" spans="1:6" x14ac:dyDescent="0.35">
      <c r="A184" t="s">
        <v>1082</v>
      </c>
      <c r="B184" t="s">
        <v>827</v>
      </c>
      <c r="C184">
        <v>9.9</v>
      </c>
    </row>
    <row r="185" spans="1:6" x14ac:dyDescent="0.35">
      <c r="C185">
        <v>0</v>
      </c>
      <c r="E185">
        <f>SUM(C2:C184)</f>
        <v>3002.4399999999969</v>
      </c>
      <c r="F185" t="s">
        <v>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5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38</v>
      </c>
      <c r="B2" t="s">
        <v>39</v>
      </c>
      <c r="C2">
        <v>-63.73</v>
      </c>
    </row>
    <row r="3" spans="1:6" x14ac:dyDescent="0.35">
      <c r="A3" t="s">
        <v>101</v>
      </c>
      <c r="B3" t="s">
        <v>39</v>
      </c>
      <c r="C3">
        <v>51.71</v>
      </c>
    </row>
    <row r="4" spans="1:6" x14ac:dyDescent="0.35">
      <c r="A4" t="s">
        <v>85</v>
      </c>
      <c r="B4" t="s">
        <v>124</v>
      </c>
      <c r="C4">
        <v>180.08</v>
      </c>
    </row>
    <row r="5" spans="1:6" x14ac:dyDescent="0.35">
      <c r="C5">
        <v>0</v>
      </c>
      <c r="D5">
        <f>SUM(C2:C4)</f>
        <v>168.06</v>
      </c>
      <c r="E5">
        <f>SUM(C2:C4)</f>
        <v>168.06</v>
      </c>
      <c r="F5" t="s">
        <v>89</v>
      </c>
    </row>
    <row r="6" spans="1:6" x14ac:dyDescent="0.35">
      <c r="A6" t="s">
        <v>183</v>
      </c>
      <c r="B6" t="s">
        <v>124</v>
      </c>
      <c r="C6">
        <v>104.4</v>
      </c>
    </row>
    <row r="7" spans="1:6" x14ac:dyDescent="0.35">
      <c r="A7" t="s">
        <v>192</v>
      </c>
      <c r="B7" t="s">
        <v>124</v>
      </c>
      <c r="C7">
        <v>70.510000000000005</v>
      </c>
    </row>
    <row r="8" spans="1:6" x14ac:dyDescent="0.35">
      <c r="A8" t="s">
        <v>207</v>
      </c>
      <c r="B8" t="s">
        <v>124</v>
      </c>
      <c r="C8">
        <v>115.97</v>
      </c>
    </row>
    <row r="9" spans="1:6" x14ac:dyDescent="0.35">
      <c r="A9" t="s">
        <v>210</v>
      </c>
      <c r="B9" t="s">
        <v>124</v>
      </c>
      <c r="C9">
        <v>130.83000000000001</v>
      </c>
    </row>
    <row r="10" spans="1:6" x14ac:dyDescent="0.35">
      <c r="A10" t="s">
        <v>217</v>
      </c>
      <c r="B10" t="s">
        <v>124</v>
      </c>
      <c r="C10">
        <v>245.21</v>
      </c>
    </row>
    <row r="11" spans="1:6" x14ac:dyDescent="0.35">
      <c r="A11" t="s">
        <v>194</v>
      </c>
      <c r="B11" t="s">
        <v>218</v>
      </c>
      <c r="C11">
        <v>52.88</v>
      </c>
    </row>
    <row r="12" spans="1:6" x14ac:dyDescent="0.35">
      <c r="C12">
        <v>0</v>
      </c>
      <c r="D12">
        <f>SUM(C6:C11)</f>
        <v>719.80000000000007</v>
      </c>
      <c r="E12">
        <f>SUM(C2:C11)</f>
        <v>887.86000000000013</v>
      </c>
      <c r="F12" t="s">
        <v>200</v>
      </c>
    </row>
    <row r="13" spans="1:6" x14ac:dyDescent="0.35">
      <c r="A13" t="s">
        <v>293</v>
      </c>
      <c r="B13" t="s">
        <v>304</v>
      </c>
      <c r="C13">
        <v>57.8</v>
      </c>
    </row>
    <row r="14" spans="1:6" x14ac:dyDescent="0.35">
      <c r="A14" t="s">
        <v>374</v>
      </c>
      <c r="B14" t="s">
        <v>375</v>
      </c>
      <c r="C14">
        <v>99.99</v>
      </c>
    </row>
    <row r="15" spans="1:6" x14ac:dyDescent="0.35">
      <c r="A15" t="s">
        <v>345</v>
      </c>
      <c r="B15" t="s">
        <v>124</v>
      </c>
      <c r="C15">
        <v>30.7</v>
      </c>
    </row>
    <row r="16" spans="1:6" x14ac:dyDescent="0.35">
      <c r="A16" t="s">
        <v>448</v>
      </c>
      <c r="B16" t="s">
        <v>449</v>
      </c>
      <c r="C16">
        <v>76.69</v>
      </c>
    </row>
    <row r="17" spans="1:6" x14ac:dyDescent="0.35">
      <c r="C17">
        <v>0</v>
      </c>
      <c r="D17">
        <f>SUM(C13:C16)</f>
        <v>265.17999999999995</v>
      </c>
      <c r="E17">
        <f>SUM(C2:C16)</f>
        <v>1153.0400000000002</v>
      </c>
      <c r="F17" t="s">
        <v>420</v>
      </c>
    </row>
    <row r="18" spans="1:6" x14ac:dyDescent="0.35">
      <c r="A18" t="s">
        <v>548</v>
      </c>
      <c r="B18" t="s">
        <v>549</v>
      </c>
      <c r="C18">
        <v>50.03</v>
      </c>
    </row>
    <row r="19" spans="1:6" x14ac:dyDescent="0.35">
      <c r="C19">
        <v>0</v>
      </c>
      <c r="D19">
        <f>SUM(C18:C18)</f>
        <v>50.03</v>
      </c>
      <c r="E19">
        <f>SUM(C2:C18)</f>
        <v>1203.0700000000002</v>
      </c>
      <c r="F19" t="s">
        <v>503</v>
      </c>
    </row>
    <row r="20" spans="1:6" x14ac:dyDescent="0.35">
      <c r="A20" t="s">
        <v>547</v>
      </c>
      <c r="B20" t="s">
        <v>550</v>
      </c>
      <c r="C20">
        <v>4.99</v>
      </c>
    </row>
    <row r="21" spans="1:6" x14ac:dyDescent="0.35">
      <c r="A21" t="s">
        <v>627</v>
      </c>
      <c r="B21" t="s">
        <v>124</v>
      </c>
      <c r="C21">
        <v>35.03</v>
      </c>
    </row>
    <row r="22" spans="1:6" x14ac:dyDescent="0.35">
      <c r="C22">
        <v>0</v>
      </c>
      <c r="D22">
        <f>SUM(C20:C21)</f>
        <v>40.020000000000003</v>
      </c>
      <c r="E22">
        <f>SUM(C2:C21)</f>
        <v>1243.0900000000001</v>
      </c>
      <c r="F22" t="s">
        <v>614</v>
      </c>
    </row>
    <row r="23" spans="1:6" x14ac:dyDescent="0.35">
      <c r="A23" t="s">
        <v>684</v>
      </c>
      <c r="B23" t="s">
        <v>124</v>
      </c>
      <c r="C23">
        <v>128.26</v>
      </c>
    </row>
    <row r="24" spans="1:6" x14ac:dyDescent="0.35">
      <c r="A24" t="s">
        <v>727</v>
      </c>
      <c r="B24" t="s">
        <v>124</v>
      </c>
      <c r="C24">
        <v>84.66</v>
      </c>
    </row>
    <row r="25" spans="1:6" x14ac:dyDescent="0.35">
      <c r="A25" t="s">
        <v>727</v>
      </c>
      <c r="B25" t="s">
        <v>124</v>
      </c>
      <c r="C25">
        <v>111.3</v>
      </c>
    </row>
    <row r="26" spans="1:6" x14ac:dyDescent="0.35">
      <c r="A26" t="s">
        <v>741</v>
      </c>
      <c r="B26" t="s">
        <v>124</v>
      </c>
      <c r="C26">
        <v>126.34</v>
      </c>
    </row>
    <row r="27" spans="1:6" x14ac:dyDescent="0.35">
      <c r="A27" t="s">
        <v>741</v>
      </c>
      <c r="B27" t="s">
        <v>742</v>
      </c>
      <c r="C27">
        <v>62.77</v>
      </c>
    </row>
    <row r="28" spans="1:6" x14ac:dyDescent="0.35">
      <c r="C28">
        <v>0</v>
      </c>
      <c r="D28">
        <f>SUM(C23:C27)</f>
        <v>513.32999999999993</v>
      </c>
      <c r="E28">
        <f>SUM(C2:C27)</f>
        <v>1756.42</v>
      </c>
      <c r="F28" t="s">
        <v>699</v>
      </c>
    </row>
    <row r="29" spans="1:6" x14ac:dyDescent="0.35">
      <c r="A29" t="s">
        <v>700</v>
      </c>
      <c r="B29" t="s">
        <v>743</v>
      </c>
      <c r="C29">
        <v>-54.38</v>
      </c>
    </row>
    <row r="30" spans="1:6" x14ac:dyDescent="0.35">
      <c r="A30" t="s">
        <v>700</v>
      </c>
      <c r="B30" t="s">
        <v>743</v>
      </c>
      <c r="C30">
        <v>-77.959999999999994</v>
      </c>
    </row>
    <row r="31" spans="1:6" x14ac:dyDescent="0.35">
      <c r="A31" t="s">
        <v>700</v>
      </c>
      <c r="B31" t="s">
        <v>743</v>
      </c>
      <c r="C31">
        <v>-33.24</v>
      </c>
    </row>
    <row r="32" spans="1:6" x14ac:dyDescent="0.35">
      <c r="C32">
        <v>0</v>
      </c>
      <c r="D32">
        <f>SUM(C29:C31)</f>
        <v>-165.58</v>
      </c>
      <c r="E32">
        <f>SUM(C2:C31)</f>
        <v>1590.84</v>
      </c>
      <c r="F32" t="s">
        <v>796</v>
      </c>
    </row>
    <row r="33" spans="1:6" x14ac:dyDescent="0.35">
      <c r="A33" t="s">
        <v>842</v>
      </c>
      <c r="B33" t="s">
        <v>124</v>
      </c>
      <c r="C33">
        <v>10.6</v>
      </c>
    </row>
    <row r="34" spans="1:6" x14ac:dyDescent="0.35">
      <c r="A34" t="s">
        <v>908</v>
      </c>
      <c r="B34" t="s">
        <v>915</v>
      </c>
      <c r="C34">
        <v>94.83</v>
      </c>
    </row>
    <row r="35" spans="1:6" x14ac:dyDescent="0.35">
      <c r="A35" t="s">
        <v>910</v>
      </c>
      <c r="B35" t="s">
        <v>124</v>
      </c>
      <c r="C35">
        <v>83.88</v>
      </c>
    </row>
    <row r="36" spans="1:6" x14ac:dyDescent="0.35">
      <c r="C36">
        <v>0</v>
      </c>
      <c r="D36">
        <f>SUM(C33:C35)</f>
        <v>189.31</v>
      </c>
      <c r="E36">
        <f>SUM(C2:C35)</f>
        <v>1780.1499999999996</v>
      </c>
      <c r="F36" t="s">
        <v>885</v>
      </c>
    </row>
    <row r="37" spans="1:6" x14ac:dyDescent="0.35">
      <c r="A37" t="s">
        <v>990</v>
      </c>
      <c r="B37" t="s">
        <v>743</v>
      </c>
      <c r="C37">
        <v>-64.53</v>
      </c>
    </row>
    <row r="38" spans="1:6" x14ac:dyDescent="0.35">
      <c r="A38" t="s">
        <v>1004</v>
      </c>
      <c r="B38" t="s">
        <v>915</v>
      </c>
      <c r="C38">
        <v>38.67</v>
      </c>
    </row>
    <row r="39" spans="1:6" x14ac:dyDescent="0.35">
      <c r="A39" t="s">
        <v>1004</v>
      </c>
      <c r="B39" t="s">
        <v>915</v>
      </c>
      <c r="C39">
        <v>44.63</v>
      </c>
    </row>
    <row r="40" spans="1:6" x14ac:dyDescent="0.35">
      <c r="A40" t="s">
        <v>1005</v>
      </c>
      <c r="B40" t="s">
        <v>1006</v>
      </c>
      <c r="C40">
        <v>10.71</v>
      </c>
    </row>
    <row r="41" spans="1:6" x14ac:dyDescent="0.35">
      <c r="A41" t="s">
        <v>1005</v>
      </c>
      <c r="B41" t="s">
        <v>218</v>
      </c>
      <c r="C41">
        <v>30.86</v>
      </c>
    </row>
    <row r="42" spans="1:6" x14ac:dyDescent="0.35">
      <c r="A42" t="s">
        <v>980</v>
      </c>
      <c r="B42" t="s">
        <v>124</v>
      </c>
      <c r="C42">
        <v>98.7</v>
      </c>
    </row>
    <row r="43" spans="1:6" x14ac:dyDescent="0.35">
      <c r="C43">
        <v>0</v>
      </c>
      <c r="D43">
        <f>SUM(C37:C42)</f>
        <v>159.04000000000002</v>
      </c>
      <c r="E43">
        <f>SUM(C2:C42)</f>
        <v>1939.1899999999998</v>
      </c>
      <c r="F43" t="s">
        <v>965</v>
      </c>
    </row>
    <row r="44" spans="1:6" x14ac:dyDescent="0.35">
      <c r="A44" t="s">
        <v>1000</v>
      </c>
      <c r="B44" t="s">
        <v>124</v>
      </c>
      <c r="C44">
        <v>34.83</v>
      </c>
    </row>
    <row r="45" spans="1:6" x14ac:dyDescent="0.35">
      <c r="A45" t="s">
        <v>1000</v>
      </c>
      <c r="B45" t="s">
        <v>124</v>
      </c>
      <c r="C45">
        <v>22.09</v>
      </c>
    </row>
    <row r="46" spans="1:6" x14ac:dyDescent="0.35">
      <c r="A46" t="s">
        <v>1084</v>
      </c>
      <c r="B46" t="s">
        <v>915</v>
      </c>
      <c r="C46">
        <v>42.71</v>
      </c>
    </row>
    <row r="47" spans="1:6" x14ac:dyDescent="0.35">
      <c r="A47" t="s">
        <v>1085</v>
      </c>
      <c r="B47" t="s">
        <v>915</v>
      </c>
      <c r="C47">
        <v>14.45</v>
      </c>
    </row>
    <row r="48" spans="1:6" x14ac:dyDescent="0.35">
      <c r="A48" t="s">
        <v>1086</v>
      </c>
      <c r="B48" t="s">
        <v>1087</v>
      </c>
      <c r="C48">
        <v>68.88</v>
      </c>
    </row>
    <row r="49" spans="1:6" x14ac:dyDescent="0.35">
      <c r="A49" t="s">
        <v>973</v>
      </c>
      <c r="B49" t="s">
        <v>743</v>
      </c>
      <c r="C49">
        <v>-22.09</v>
      </c>
    </row>
    <row r="50" spans="1:6" x14ac:dyDescent="0.35">
      <c r="A50" t="s">
        <v>973</v>
      </c>
      <c r="B50" t="s">
        <v>743</v>
      </c>
      <c r="C50">
        <v>-42.82</v>
      </c>
    </row>
    <row r="51" spans="1:6" x14ac:dyDescent="0.35">
      <c r="C51">
        <v>0</v>
      </c>
      <c r="E51">
        <f>SUM(C2:C50)</f>
        <v>2057.2399999999993</v>
      </c>
      <c r="F51" t="s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10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19</v>
      </c>
      <c r="B2" t="s">
        <v>40</v>
      </c>
      <c r="C2">
        <v>156</v>
      </c>
    </row>
    <row r="3" spans="1:6" x14ac:dyDescent="0.35">
      <c r="C3">
        <v>0</v>
      </c>
      <c r="D3">
        <f>SUM(C2:C2)</f>
        <v>156</v>
      </c>
      <c r="E3">
        <f>SUM(C2:C2)</f>
        <v>156</v>
      </c>
      <c r="F3" t="s">
        <v>347</v>
      </c>
    </row>
    <row r="4" spans="1:6" x14ac:dyDescent="0.35">
      <c r="A4" t="s">
        <v>450</v>
      </c>
      <c r="B4" t="s">
        <v>451</v>
      </c>
      <c r="C4">
        <v>3388.11</v>
      </c>
    </row>
    <row r="5" spans="1:6" x14ac:dyDescent="0.35">
      <c r="A5" t="s">
        <v>450</v>
      </c>
      <c r="B5" t="s">
        <v>451</v>
      </c>
      <c r="C5">
        <v>27</v>
      </c>
    </row>
    <row r="6" spans="1:6" x14ac:dyDescent="0.35">
      <c r="A6" t="s">
        <v>439</v>
      </c>
      <c r="B6" t="s">
        <v>452</v>
      </c>
      <c r="C6">
        <v>334.52</v>
      </c>
    </row>
    <row r="7" spans="1:6" x14ac:dyDescent="0.35">
      <c r="C7">
        <v>0</v>
      </c>
      <c r="D7">
        <f>SUM(C4:C6)</f>
        <v>3749.63</v>
      </c>
      <c r="E7">
        <f>SUM(C2:C6)</f>
        <v>3905.63</v>
      </c>
      <c r="F7" t="s">
        <v>614</v>
      </c>
    </row>
    <row r="8" spans="1:6" x14ac:dyDescent="0.35">
      <c r="A8" t="s">
        <v>744</v>
      </c>
      <c r="B8" t="s">
        <v>451</v>
      </c>
      <c r="C8">
        <v>750.06</v>
      </c>
    </row>
    <row r="9" spans="1:6" x14ac:dyDescent="0.35">
      <c r="A9" t="s">
        <v>908</v>
      </c>
      <c r="B9" t="s">
        <v>40</v>
      </c>
      <c r="C9">
        <v>50</v>
      </c>
    </row>
    <row r="10" spans="1:6" x14ac:dyDescent="0.35">
      <c r="C10">
        <v>0</v>
      </c>
      <c r="E10">
        <f>SUM(C2:C9)</f>
        <v>4705.6900000000005</v>
      </c>
      <c r="F10" t="s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80"/>
  <sheetViews>
    <sheetView topLeftCell="A28" workbookViewId="0">
      <selection activeCell="O41" sqref="O41"/>
    </sheetView>
  </sheetViews>
  <sheetFormatPr defaultRowHeight="14.5" x14ac:dyDescent="0.35"/>
  <sheetData>
    <row r="1" spans="1:3" x14ac:dyDescent="0.35">
      <c r="A1" t="s">
        <v>1</v>
      </c>
      <c r="B1" t="s">
        <v>2</v>
      </c>
      <c r="C1" t="s">
        <v>3</v>
      </c>
    </row>
    <row r="2" spans="1:3" x14ac:dyDescent="0.35">
      <c r="A2" t="s">
        <v>29</v>
      </c>
      <c r="B2" t="s">
        <v>41</v>
      </c>
      <c r="C2">
        <v>91.46</v>
      </c>
    </row>
    <row r="3" spans="1:3" x14ac:dyDescent="0.35">
      <c r="A3" t="s">
        <v>38</v>
      </c>
      <c r="B3" t="s">
        <v>42</v>
      </c>
      <c r="C3">
        <v>21.99</v>
      </c>
    </row>
    <row r="4" spans="1:3" x14ac:dyDescent="0.35">
      <c r="A4" t="s">
        <v>62</v>
      </c>
      <c r="B4" t="s">
        <v>128</v>
      </c>
      <c r="C4">
        <v>0.12</v>
      </c>
    </row>
    <row r="5" spans="1:3" x14ac:dyDescent="0.35">
      <c r="A5" t="s">
        <v>10</v>
      </c>
      <c r="B5" t="s">
        <v>149</v>
      </c>
      <c r="C5">
        <v>155.68</v>
      </c>
    </row>
    <row r="6" spans="1:3" x14ac:dyDescent="0.35">
      <c r="A6" t="s">
        <v>127</v>
      </c>
      <c r="B6" t="s">
        <v>128</v>
      </c>
      <c r="C6">
        <v>0.28999999999999998</v>
      </c>
    </row>
    <row r="7" spans="1:3" x14ac:dyDescent="0.35">
      <c r="A7" t="s">
        <v>127</v>
      </c>
      <c r="B7" t="s">
        <v>128</v>
      </c>
      <c r="C7">
        <v>0.21</v>
      </c>
    </row>
    <row r="8" spans="1:3" x14ac:dyDescent="0.35">
      <c r="A8" t="s">
        <v>127</v>
      </c>
      <c r="B8" t="s">
        <v>151</v>
      </c>
      <c r="C8">
        <v>136.74</v>
      </c>
    </row>
    <row r="9" spans="1:3" x14ac:dyDescent="0.35">
      <c r="A9" t="s">
        <v>127</v>
      </c>
      <c r="B9" t="s">
        <v>150</v>
      </c>
      <c r="C9">
        <v>195.25</v>
      </c>
    </row>
    <row r="10" spans="1:3" x14ac:dyDescent="0.35">
      <c r="A10" t="s">
        <v>129</v>
      </c>
      <c r="B10" t="s">
        <v>130</v>
      </c>
      <c r="C10">
        <v>298</v>
      </c>
    </row>
    <row r="11" spans="1:3" x14ac:dyDescent="0.35">
      <c r="A11" t="s">
        <v>263</v>
      </c>
      <c r="B11" t="s">
        <v>128</v>
      </c>
      <c r="C11">
        <v>0.42</v>
      </c>
    </row>
    <row r="12" spans="1:3" x14ac:dyDescent="0.35">
      <c r="A12" t="s">
        <v>207</v>
      </c>
      <c r="B12" t="s">
        <v>248</v>
      </c>
      <c r="C12">
        <v>339.15</v>
      </c>
    </row>
    <row r="13" spans="1:3" x14ac:dyDescent="0.35">
      <c r="A13" t="s">
        <v>228</v>
      </c>
      <c r="B13" t="s">
        <v>128</v>
      </c>
      <c r="C13">
        <v>2.4</v>
      </c>
    </row>
    <row r="14" spans="1:3" x14ac:dyDescent="0.35">
      <c r="A14" t="s">
        <v>228</v>
      </c>
      <c r="B14" t="s">
        <v>128</v>
      </c>
      <c r="C14">
        <v>0.12</v>
      </c>
    </row>
    <row r="15" spans="1:3" x14ac:dyDescent="0.35">
      <c r="A15" t="s">
        <v>228</v>
      </c>
      <c r="B15" t="s">
        <v>128</v>
      </c>
      <c r="C15">
        <v>0.12</v>
      </c>
    </row>
    <row r="16" spans="1:3" x14ac:dyDescent="0.35">
      <c r="A16" t="s">
        <v>189</v>
      </c>
      <c r="B16" t="s">
        <v>249</v>
      </c>
      <c r="C16">
        <v>139.44</v>
      </c>
    </row>
    <row r="17" spans="1:6" x14ac:dyDescent="0.35">
      <c r="A17" t="s">
        <v>217</v>
      </c>
      <c r="B17" t="s">
        <v>219</v>
      </c>
      <c r="C17">
        <v>115.71</v>
      </c>
    </row>
    <row r="18" spans="1:6" x14ac:dyDescent="0.35">
      <c r="A18" t="s">
        <v>220</v>
      </c>
      <c r="B18" t="s">
        <v>130</v>
      </c>
      <c r="C18">
        <v>204</v>
      </c>
    </row>
    <row r="19" spans="1:6" x14ac:dyDescent="0.35">
      <c r="A19" t="s">
        <v>220</v>
      </c>
      <c r="B19" t="s">
        <v>250</v>
      </c>
      <c r="C19">
        <v>187.4</v>
      </c>
    </row>
    <row r="20" spans="1:6" x14ac:dyDescent="0.35">
      <c r="C20">
        <v>0</v>
      </c>
      <c r="D20">
        <f>SUM(C2:C19)</f>
        <v>1888.5</v>
      </c>
      <c r="E20">
        <f>SUM(C2:C19)</f>
        <v>1888.5</v>
      </c>
      <c r="F20" t="s">
        <v>200</v>
      </c>
    </row>
    <row r="21" spans="1:6" x14ac:dyDescent="0.35">
      <c r="A21" t="s">
        <v>295</v>
      </c>
      <c r="B21" t="s">
        <v>305</v>
      </c>
      <c r="C21">
        <v>112</v>
      </c>
    </row>
    <row r="22" spans="1:6" x14ac:dyDescent="0.35">
      <c r="A22" t="s">
        <v>306</v>
      </c>
      <c r="B22" t="s">
        <v>130</v>
      </c>
      <c r="C22">
        <v>520</v>
      </c>
    </row>
    <row r="23" spans="1:6" x14ac:dyDescent="0.35">
      <c r="A23" t="s">
        <v>306</v>
      </c>
      <c r="B23" t="s">
        <v>130</v>
      </c>
      <c r="C23">
        <v>104</v>
      </c>
    </row>
    <row r="24" spans="1:6" x14ac:dyDescent="0.35">
      <c r="A24" t="s">
        <v>289</v>
      </c>
      <c r="B24" t="s">
        <v>307</v>
      </c>
      <c r="C24">
        <v>10</v>
      </c>
    </row>
    <row r="25" spans="1:6" x14ac:dyDescent="0.35">
      <c r="A25" t="s">
        <v>289</v>
      </c>
      <c r="B25" t="s">
        <v>308</v>
      </c>
      <c r="C25">
        <v>226.5</v>
      </c>
    </row>
    <row r="26" spans="1:6" x14ac:dyDescent="0.35">
      <c r="A26" t="s">
        <v>371</v>
      </c>
      <c r="B26" t="s">
        <v>394</v>
      </c>
      <c r="C26">
        <v>294.51</v>
      </c>
    </row>
    <row r="27" spans="1:6" x14ac:dyDescent="0.35">
      <c r="A27" t="s">
        <v>374</v>
      </c>
      <c r="B27" t="s">
        <v>395</v>
      </c>
      <c r="C27">
        <v>86</v>
      </c>
    </row>
    <row r="28" spans="1:6" x14ac:dyDescent="0.35">
      <c r="A28" t="s">
        <v>355</v>
      </c>
      <c r="B28" t="s">
        <v>455</v>
      </c>
      <c r="C28">
        <v>68</v>
      </c>
    </row>
    <row r="29" spans="1:6" x14ac:dyDescent="0.35">
      <c r="C29">
        <v>0</v>
      </c>
      <c r="D29">
        <f>SUM(C21:C28)</f>
        <v>1421.01</v>
      </c>
      <c r="E29">
        <f>SUM(C2:C28)</f>
        <v>3309.51</v>
      </c>
      <c r="F29" t="s">
        <v>347</v>
      </c>
    </row>
    <row r="30" spans="1:6" x14ac:dyDescent="0.35">
      <c r="A30" t="s">
        <v>471</v>
      </c>
      <c r="B30" t="s">
        <v>472</v>
      </c>
      <c r="C30">
        <v>150.83000000000001</v>
      </c>
    </row>
    <row r="31" spans="1:6" x14ac:dyDescent="0.35">
      <c r="A31" t="s">
        <v>405</v>
      </c>
      <c r="B31" t="s">
        <v>456</v>
      </c>
      <c r="C31">
        <v>156.74</v>
      </c>
    </row>
    <row r="32" spans="1:6" x14ac:dyDescent="0.35">
      <c r="A32" t="s">
        <v>457</v>
      </c>
      <c r="B32" t="s">
        <v>456</v>
      </c>
      <c r="C32">
        <v>95.36</v>
      </c>
    </row>
    <row r="33" spans="1:6" x14ac:dyDescent="0.35">
      <c r="A33" t="s">
        <v>457</v>
      </c>
      <c r="B33" t="s">
        <v>456</v>
      </c>
      <c r="C33">
        <v>51.74</v>
      </c>
    </row>
    <row r="34" spans="1:6" x14ac:dyDescent="0.35">
      <c r="A34" t="s">
        <v>457</v>
      </c>
      <c r="B34" t="s">
        <v>128</v>
      </c>
      <c r="C34">
        <v>4.7</v>
      </c>
    </row>
    <row r="35" spans="1:6" x14ac:dyDescent="0.35">
      <c r="A35" t="s">
        <v>446</v>
      </c>
      <c r="B35" t="s">
        <v>128</v>
      </c>
      <c r="C35">
        <v>2.86</v>
      </c>
    </row>
    <row r="36" spans="1:6" x14ac:dyDescent="0.35">
      <c r="A36" t="s">
        <v>446</v>
      </c>
      <c r="B36" t="s">
        <v>128</v>
      </c>
      <c r="C36">
        <v>1.55</v>
      </c>
    </row>
    <row r="37" spans="1:6" x14ac:dyDescent="0.35">
      <c r="A37" t="s">
        <v>439</v>
      </c>
      <c r="B37" t="s">
        <v>308</v>
      </c>
      <c r="C37">
        <v>182.6</v>
      </c>
    </row>
    <row r="38" spans="1:6" x14ac:dyDescent="0.35">
      <c r="A38" t="s">
        <v>439</v>
      </c>
      <c r="B38" t="s">
        <v>307</v>
      </c>
      <c r="C38">
        <v>10</v>
      </c>
    </row>
    <row r="39" spans="1:6" x14ac:dyDescent="0.35">
      <c r="C39">
        <v>0</v>
      </c>
      <c r="D39">
        <f>SUM(C30:C38)</f>
        <v>656.38000000000011</v>
      </c>
      <c r="E39">
        <f>SUM(C2:C38)</f>
        <v>3965.89</v>
      </c>
      <c r="F39" t="s">
        <v>420</v>
      </c>
    </row>
    <row r="40" spans="1:6" x14ac:dyDescent="0.35">
      <c r="A40" t="s">
        <v>490</v>
      </c>
      <c r="B40" t="s">
        <v>578</v>
      </c>
      <c r="C40">
        <v>200</v>
      </c>
    </row>
    <row r="41" spans="1:6" x14ac:dyDescent="0.35">
      <c r="A41" t="s">
        <v>519</v>
      </c>
      <c r="B41" t="s">
        <v>579</v>
      </c>
      <c r="C41">
        <v>117.55</v>
      </c>
    </row>
    <row r="42" spans="1:6" x14ac:dyDescent="0.35">
      <c r="A42" t="s">
        <v>662</v>
      </c>
      <c r="B42" t="s">
        <v>663</v>
      </c>
      <c r="C42">
        <v>2389.54</v>
      </c>
    </row>
    <row r="43" spans="1:6" x14ac:dyDescent="0.35">
      <c r="A43" t="s">
        <v>508</v>
      </c>
      <c r="B43" t="s">
        <v>670</v>
      </c>
      <c r="C43">
        <v>319.41000000000003</v>
      </c>
    </row>
    <row r="44" spans="1:6" x14ac:dyDescent="0.35">
      <c r="A44" t="s">
        <v>619</v>
      </c>
      <c r="B44" t="s">
        <v>671</v>
      </c>
      <c r="C44">
        <v>191.81</v>
      </c>
    </row>
    <row r="45" spans="1:6" x14ac:dyDescent="0.35">
      <c r="A45" t="s">
        <v>612</v>
      </c>
      <c r="B45" t="s">
        <v>651</v>
      </c>
      <c r="C45">
        <v>110.46</v>
      </c>
    </row>
    <row r="46" spans="1:6" x14ac:dyDescent="0.35">
      <c r="C46">
        <v>0</v>
      </c>
      <c r="D46">
        <f>SUM(C40:C45)</f>
        <v>3328.77</v>
      </c>
      <c r="E46">
        <f>SUM(C2:C45)</f>
        <v>7294.66</v>
      </c>
      <c r="F46" t="s">
        <v>614</v>
      </c>
    </row>
    <row r="47" spans="1:6" x14ac:dyDescent="0.35">
      <c r="A47" t="s">
        <v>724</v>
      </c>
      <c r="B47" t="s">
        <v>760</v>
      </c>
      <c r="C47">
        <v>155.41</v>
      </c>
    </row>
    <row r="48" spans="1:6" x14ac:dyDescent="0.35">
      <c r="A48" t="s">
        <v>704</v>
      </c>
      <c r="B48" t="s">
        <v>761</v>
      </c>
      <c r="C48">
        <v>67.680000000000007</v>
      </c>
    </row>
    <row r="49" spans="1:6" x14ac:dyDescent="0.35">
      <c r="A49" t="s">
        <v>802</v>
      </c>
      <c r="B49" t="s">
        <v>859</v>
      </c>
      <c r="C49">
        <v>30.5</v>
      </c>
    </row>
    <row r="50" spans="1:6" x14ac:dyDescent="0.35">
      <c r="A50" t="s">
        <v>923</v>
      </c>
      <c r="B50" t="s">
        <v>940</v>
      </c>
      <c r="C50">
        <v>224.18</v>
      </c>
    </row>
    <row r="51" spans="1:6" x14ac:dyDescent="0.35">
      <c r="A51" t="s">
        <v>916</v>
      </c>
      <c r="B51" t="s">
        <v>308</v>
      </c>
      <c r="C51">
        <v>91.03</v>
      </c>
    </row>
    <row r="52" spans="1:6" x14ac:dyDescent="0.35">
      <c r="A52" t="s">
        <v>941</v>
      </c>
      <c r="B52" t="s">
        <v>942</v>
      </c>
      <c r="C52">
        <v>71.73</v>
      </c>
    </row>
    <row r="53" spans="1:6" x14ac:dyDescent="0.35">
      <c r="A53" t="s">
        <v>917</v>
      </c>
      <c r="B53" t="s">
        <v>918</v>
      </c>
      <c r="C53">
        <v>586.87</v>
      </c>
    </row>
    <row r="54" spans="1:6" x14ac:dyDescent="0.35">
      <c r="C54">
        <v>0</v>
      </c>
      <c r="D54">
        <f>SUM(C47:C53)</f>
        <v>1227.4000000000001</v>
      </c>
      <c r="E54">
        <f>SUM(C2:C53)</f>
        <v>8522.06</v>
      </c>
      <c r="F54" t="s">
        <v>885</v>
      </c>
    </row>
    <row r="55" spans="1:6" x14ac:dyDescent="0.35">
      <c r="A55" t="s">
        <v>919</v>
      </c>
      <c r="B55" t="s">
        <v>456</v>
      </c>
      <c r="C55">
        <v>84.56</v>
      </c>
    </row>
    <row r="56" spans="1:6" x14ac:dyDescent="0.35">
      <c r="A56" t="s">
        <v>920</v>
      </c>
      <c r="B56" t="s">
        <v>128</v>
      </c>
      <c r="C56">
        <v>2.5299999999999998</v>
      </c>
    </row>
    <row r="57" spans="1:6" x14ac:dyDescent="0.35">
      <c r="A57" t="s">
        <v>978</v>
      </c>
      <c r="B57" t="s">
        <v>918</v>
      </c>
      <c r="C57">
        <v>508.25</v>
      </c>
    </row>
    <row r="58" spans="1:6" x14ac:dyDescent="0.35">
      <c r="A58" t="s">
        <v>1008</v>
      </c>
      <c r="B58" t="s">
        <v>1009</v>
      </c>
      <c r="C58">
        <v>38</v>
      </c>
    </row>
    <row r="59" spans="1:6" x14ac:dyDescent="0.35">
      <c r="A59" t="s">
        <v>1005</v>
      </c>
      <c r="B59" t="s">
        <v>1010</v>
      </c>
      <c r="C59">
        <v>-27.56</v>
      </c>
    </row>
    <row r="60" spans="1:6" x14ac:dyDescent="0.35">
      <c r="A60" t="s">
        <v>1005</v>
      </c>
      <c r="B60" t="s">
        <v>1010</v>
      </c>
      <c r="C60">
        <v>275.58999999999997</v>
      </c>
    </row>
    <row r="61" spans="1:6" x14ac:dyDescent="0.35">
      <c r="A61" t="s">
        <v>1005</v>
      </c>
      <c r="B61" t="s">
        <v>1011</v>
      </c>
      <c r="C61">
        <v>152.80000000000001</v>
      </c>
    </row>
    <row r="62" spans="1:6" x14ac:dyDescent="0.35">
      <c r="A62" t="s">
        <v>1005</v>
      </c>
      <c r="B62" t="s">
        <v>1033</v>
      </c>
      <c r="C62">
        <v>155.30000000000001</v>
      </c>
    </row>
    <row r="63" spans="1:6" x14ac:dyDescent="0.35">
      <c r="A63" t="s">
        <v>1005</v>
      </c>
      <c r="B63" t="s">
        <v>1048</v>
      </c>
      <c r="C63">
        <v>166.42</v>
      </c>
    </row>
    <row r="64" spans="1:6" x14ac:dyDescent="0.35">
      <c r="A64" t="s">
        <v>979</v>
      </c>
      <c r="B64" t="s">
        <v>1012</v>
      </c>
      <c r="C64">
        <v>82.43</v>
      </c>
    </row>
    <row r="65" spans="1:6" x14ac:dyDescent="0.35">
      <c r="A65" t="s">
        <v>980</v>
      </c>
      <c r="B65" t="s">
        <v>918</v>
      </c>
      <c r="C65">
        <v>209.46</v>
      </c>
    </row>
    <row r="66" spans="1:6" x14ac:dyDescent="0.35">
      <c r="A66" t="s">
        <v>970</v>
      </c>
      <c r="B66" t="s">
        <v>1034</v>
      </c>
      <c r="C66">
        <v>219.3</v>
      </c>
    </row>
    <row r="67" spans="1:6" x14ac:dyDescent="0.35">
      <c r="A67" t="s">
        <v>1013</v>
      </c>
      <c r="B67" t="s">
        <v>918</v>
      </c>
      <c r="C67">
        <v>-404.44</v>
      </c>
    </row>
    <row r="68" spans="1:6" x14ac:dyDescent="0.35">
      <c r="A68" t="s">
        <v>1013</v>
      </c>
      <c r="B68" t="s">
        <v>918</v>
      </c>
      <c r="C68">
        <v>-193.69</v>
      </c>
    </row>
    <row r="69" spans="1:6" x14ac:dyDescent="0.35">
      <c r="A69" t="s">
        <v>994</v>
      </c>
      <c r="B69" t="s">
        <v>918</v>
      </c>
      <c r="C69">
        <v>-182.43</v>
      </c>
    </row>
    <row r="70" spans="1:6" x14ac:dyDescent="0.35">
      <c r="A70" t="s">
        <v>984</v>
      </c>
      <c r="B70" t="s">
        <v>1014</v>
      </c>
      <c r="C70">
        <v>0.72</v>
      </c>
    </row>
    <row r="71" spans="1:6" x14ac:dyDescent="0.35">
      <c r="A71" t="s">
        <v>1015</v>
      </c>
      <c r="B71" t="s">
        <v>918</v>
      </c>
      <c r="C71">
        <v>-209.46</v>
      </c>
    </row>
    <row r="72" spans="1:6" x14ac:dyDescent="0.35">
      <c r="C72">
        <v>0</v>
      </c>
      <c r="D72">
        <f>SUM(C55:C71)</f>
        <v>877.78</v>
      </c>
      <c r="E72">
        <f>SUM(C2:C71)</f>
        <v>9399.8399999999965</v>
      </c>
      <c r="F72" t="s">
        <v>965</v>
      </c>
    </row>
    <row r="73" spans="1:6" x14ac:dyDescent="0.35">
      <c r="A73" t="s">
        <v>966</v>
      </c>
      <c r="B73" t="s">
        <v>1035</v>
      </c>
      <c r="C73">
        <v>558.91</v>
      </c>
    </row>
    <row r="74" spans="1:6" x14ac:dyDescent="0.35">
      <c r="A74" t="s">
        <v>968</v>
      </c>
      <c r="B74" t="s">
        <v>41</v>
      </c>
      <c r="C74">
        <v>38.590000000000003</v>
      </c>
    </row>
    <row r="75" spans="1:6" x14ac:dyDescent="0.35">
      <c r="A75" t="s">
        <v>1082</v>
      </c>
      <c r="B75" t="s">
        <v>456</v>
      </c>
      <c r="C75">
        <v>104.25</v>
      </c>
    </row>
    <row r="76" spans="1:6" x14ac:dyDescent="0.35">
      <c r="A76" t="s">
        <v>1082</v>
      </c>
      <c r="B76" t="s">
        <v>41</v>
      </c>
      <c r="C76">
        <v>86.26</v>
      </c>
    </row>
    <row r="77" spans="1:6" x14ac:dyDescent="0.35">
      <c r="A77" t="s">
        <v>1084</v>
      </c>
      <c r="B77" t="s">
        <v>128</v>
      </c>
      <c r="C77">
        <v>3.12</v>
      </c>
    </row>
    <row r="78" spans="1:6" x14ac:dyDescent="0.35">
      <c r="A78" t="s">
        <v>1084</v>
      </c>
      <c r="B78" t="s">
        <v>1093</v>
      </c>
      <c r="C78">
        <v>440.97</v>
      </c>
    </row>
    <row r="79" spans="1:6" x14ac:dyDescent="0.35">
      <c r="A79" t="s">
        <v>973</v>
      </c>
      <c r="B79" t="s">
        <v>42</v>
      </c>
      <c r="C79">
        <v>123.22</v>
      </c>
    </row>
    <row r="80" spans="1:6" x14ac:dyDescent="0.35">
      <c r="C80">
        <v>0</v>
      </c>
      <c r="E80">
        <f>SUM(C2:C79)</f>
        <v>10755.159999999996</v>
      </c>
      <c r="F80" t="s">
        <v>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65"/>
  <sheetViews>
    <sheetView topLeftCell="A49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29</v>
      </c>
      <c r="B2" t="s">
        <v>43</v>
      </c>
      <c r="C2">
        <v>44.95</v>
      </c>
    </row>
    <row r="3" spans="1:6" x14ac:dyDescent="0.35">
      <c r="C3">
        <v>0</v>
      </c>
      <c r="D3">
        <f>SUM(C2:C2)</f>
        <v>44.95</v>
      </c>
      <c r="E3">
        <f>SUM(C2:C2)</f>
        <v>44.95</v>
      </c>
      <c r="F3" t="s">
        <v>6</v>
      </c>
    </row>
    <row r="4" spans="1:6" x14ac:dyDescent="0.35">
      <c r="A4" t="s">
        <v>19</v>
      </c>
      <c r="B4" t="s">
        <v>44</v>
      </c>
      <c r="C4">
        <v>5</v>
      </c>
    </row>
    <row r="5" spans="1:6" x14ac:dyDescent="0.35">
      <c r="A5" t="s">
        <v>125</v>
      </c>
      <c r="B5" t="s">
        <v>131</v>
      </c>
      <c r="C5">
        <v>92</v>
      </c>
    </row>
    <row r="6" spans="1:6" x14ac:dyDescent="0.35">
      <c r="A6" t="s">
        <v>125</v>
      </c>
      <c r="B6" t="s">
        <v>126</v>
      </c>
      <c r="C6">
        <v>7</v>
      </c>
    </row>
    <row r="7" spans="1:6" x14ac:dyDescent="0.35">
      <c r="A7" t="s">
        <v>90</v>
      </c>
      <c r="B7" t="s">
        <v>273</v>
      </c>
      <c r="C7">
        <v>133.25</v>
      </c>
    </row>
    <row r="8" spans="1:6" x14ac:dyDescent="0.35">
      <c r="A8" t="s">
        <v>251</v>
      </c>
      <c r="B8" t="s">
        <v>262</v>
      </c>
      <c r="C8">
        <v>2</v>
      </c>
    </row>
    <row r="9" spans="1:6" x14ac:dyDescent="0.35">
      <c r="A9" t="s">
        <v>251</v>
      </c>
      <c r="B9" t="s">
        <v>264</v>
      </c>
      <c r="C9">
        <v>80.27</v>
      </c>
    </row>
    <row r="10" spans="1:6" x14ac:dyDescent="0.35">
      <c r="A10" t="s">
        <v>221</v>
      </c>
      <c r="B10" t="s">
        <v>222</v>
      </c>
      <c r="C10">
        <v>24</v>
      </c>
    </row>
    <row r="11" spans="1:6" x14ac:dyDescent="0.35">
      <c r="A11" t="s">
        <v>221</v>
      </c>
      <c r="B11" t="s">
        <v>223</v>
      </c>
      <c r="C11">
        <v>103.27</v>
      </c>
    </row>
    <row r="12" spans="1:6" x14ac:dyDescent="0.35">
      <c r="A12" t="s">
        <v>180</v>
      </c>
      <c r="B12" t="s">
        <v>131</v>
      </c>
      <c r="C12">
        <v>72</v>
      </c>
    </row>
    <row r="13" spans="1:6" x14ac:dyDescent="0.35">
      <c r="A13" t="s">
        <v>180</v>
      </c>
      <c r="B13" t="s">
        <v>126</v>
      </c>
      <c r="C13">
        <v>7</v>
      </c>
    </row>
    <row r="14" spans="1:6" x14ac:dyDescent="0.35">
      <c r="A14" t="s">
        <v>220</v>
      </c>
      <c r="B14" t="s">
        <v>224</v>
      </c>
      <c r="C14">
        <v>4.05</v>
      </c>
    </row>
    <row r="15" spans="1:6" x14ac:dyDescent="0.35">
      <c r="C15">
        <v>0</v>
      </c>
      <c r="D15">
        <f>SUM(C4:C14)</f>
        <v>529.83999999999992</v>
      </c>
      <c r="E15">
        <f>SUM(C2:C14)</f>
        <v>574.79</v>
      </c>
      <c r="F15" t="s">
        <v>200</v>
      </c>
    </row>
    <row r="16" spans="1:6" x14ac:dyDescent="0.35">
      <c r="A16" t="s">
        <v>201</v>
      </c>
      <c r="B16" t="s">
        <v>225</v>
      </c>
      <c r="C16">
        <v>0.49</v>
      </c>
    </row>
    <row r="17" spans="1:6" x14ac:dyDescent="0.35">
      <c r="A17" t="s">
        <v>201</v>
      </c>
      <c r="B17" t="s">
        <v>225</v>
      </c>
      <c r="C17">
        <v>0.36</v>
      </c>
    </row>
    <row r="18" spans="1:6" x14ac:dyDescent="0.35">
      <c r="A18" t="s">
        <v>214</v>
      </c>
      <c r="B18" t="s">
        <v>226</v>
      </c>
      <c r="C18">
        <v>6</v>
      </c>
    </row>
    <row r="19" spans="1:6" x14ac:dyDescent="0.35">
      <c r="A19" t="s">
        <v>309</v>
      </c>
      <c r="B19" t="s">
        <v>131</v>
      </c>
      <c r="C19">
        <v>60</v>
      </c>
    </row>
    <row r="20" spans="1:6" x14ac:dyDescent="0.35">
      <c r="A20" t="s">
        <v>288</v>
      </c>
      <c r="B20" t="s">
        <v>224</v>
      </c>
      <c r="C20">
        <v>4.05</v>
      </c>
    </row>
    <row r="21" spans="1:6" x14ac:dyDescent="0.35">
      <c r="A21" t="s">
        <v>310</v>
      </c>
      <c r="B21" t="s">
        <v>226</v>
      </c>
      <c r="C21">
        <v>6</v>
      </c>
    </row>
    <row r="22" spans="1:6" x14ac:dyDescent="0.35">
      <c r="A22" t="s">
        <v>310</v>
      </c>
      <c r="B22" t="s">
        <v>226</v>
      </c>
      <c r="C22">
        <v>6</v>
      </c>
    </row>
    <row r="23" spans="1:6" x14ac:dyDescent="0.35">
      <c r="C23">
        <v>0</v>
      </c>
      <c r="D23">
        <f>SUM(C16:C22)</f>
        <v>82.899999999999991</v>
      </c>
      <c r="E23">
        <f>SUM(C2:C22)</f>
        <v>657.68999999999994</v>
      </c>
      <c r="F23" t="s">
        <v>282</v>
      </c>
    </row>
    <row r="24" spans="1:6" x14ac:dyDescent="0.35">
      <c r="A24" t="s">
        <v>369</v>
      </c>
      <c r="B24" t="s">
        <v>224</v>
      </c>
      <c r="C24">
        <v>7.35</v>
      </c>
    </row>
    <row r="25" spans="1:6" x14ac:dyDescent="0.35">
      <c r="A25" t="s">
        <v>351</v>
      </c>
      <c r="B25" t="s">
        <v>376</v>
      </c>
      <c r="C25">
        <v>9</v>
      </c>
    </row>
    <row r="26" spans="1:6" x14ac:dyDescent="0.35">
      <c r="A26" t="s">
        <v>352</v>
      </c>
      <c r="B26" t="s">
        <v>377</v>
      </c>
      <c r="C26">
        <v>79.52</v>
      </c>
    </row>
    <row r="27" spans="1:6" x14ac:dyDescent="0.35">
      <c r="A27" t="s">
        <v>448</v>
      </c>
      <c r="B27" t="s">
        <v>126</v>
      </c>
      <c r="C27">
        <v>7</v>
      </c>
    </row>
    <row r="28" spans="1:6" x14ac:dyDescent="0.35">
      <c r="A28" t="s">
        <v>448</v>
      </c>
      <c r="B28" t="s">
        <v>131</v>
      </c>
      <c r="C28">
        <v>92</v>
      </c>
    </row>
    <row r="29" spans="1:6" x14ac:dyDescent="0.35">
      <c r="A29" t="s">
        <v>525</v>
      </c>
      <c r="B29" t="s">
        <v>570</v>
      </c>
      <c r="C29">
        <v>102.25</v>
      </c>
    </row>
    <row r="30" spans="1:6" x14ac:dyDescent="0.35">
      <c r="A30" t="s">
        <v>520</v>
      </c>
      <c r="B30" t="s">
        <v>224</v>
      </c>
      <c r="C30">
        <v>7.35</v>
      </c>
    </row>
    <row r="31" spans="1:6" x14ac:dyDescent="0.35">
      <c r="C31">
        <v>0</v>
      </c>
      <c r="D31">
        <f>SUM(C24:C30)</f>
        <v>304.47000000000003</v>
      </c>
      <c r="E31">
        <f>SUM(C2:C30)</f>
        <v>962.16</v>
      </c>
      <c r="F31" t="s">
        <v>503</v>
      </c>
    </row>
    <row r="32" spans="1:6" x14ac:dyDescent="0.35">
      <c r="A32" t="s">
        <v>506</v>
      </c>
      <c r="B32" t="s">
        <v>652</v>
      </c>
      <c r="C32">
        <v>383.41</v>
      </c>
    </row>
    <row r="33" spans="1:6" x14ac:dyDescent="0.35">
      <c r="A33" t="s">
        <v>623</v>
      </c>
      <c r="B33" t="s">
        <v>44</v>
      </c>
      <c r="C33">
        <v>2</v>
      </c>
    </row>
    <row r="34" spans="1:6" x14ac:dyDescent="0.35">
      <c r="A34" t="s">
        <v>653</v>
      </c>
      <c r="B34" t="s">
        <v>224</v>
      </c>
      <c r="C34">
        <v>7.35</v>
      </c>
    </row>
    <row r="35" spans="1:6" x14ac:dyDescent="0.35">
      <c r="A35" t="s">
        <v>624</v>
      </c>
      <c r="B35" t="s">
        <v>654</v>
      </c>
      <c r="C35">
        <v>23</v>
      </c>
    </row>
    <row r="36" spans="1:6" x14ac:dyDescent="0.35">
      <c r="A36" t="s">
        <v>625</v>
      </c>
      <c r="B36" t="s">
        <v>655</v>
      </c>
      <c r="C36">
        <v>15.31</v>
      </c>
    </row>
    <row r="37" spans="1:6" x14ac:dyDescent="0.35">
      <c r="A37" t="s">
        <v>646</v>
      </c>
      <c r="B37" t="s">
        <v>224</v>
      </c>
      <c r="C37">
        <v>105.55</v>
      </c>
    </row>
    <row r="38" spans="1:6" x14ac:dyDescent="0.35">
      <c r="A38" t="s">
        <v>650</v>
      </c>
      <c r="B38" t="s">
        <v>126</v>
      </c>
      <c r="C38">
        <v>7</v>
      </c>
    </row>
    <row r="39" spans="1:6" x14ac:dyDescent="0.35">
      <c r="A39" t="s">
        <v>650</v>
      </c>
      <c r="B39" t="s">
        <v>131</v>
      </c>
      <c r="C39">
        <v>160</v>
      </c>
    </row>
    <row r="40" spans="1:6" x14ac:dyDescent="0.35">
      <c r="A40" t="s">
        <v>713</v>
      </c>
      <c r="B40" t="s">
        <v>745</v>
      </c>
      <c r="C40">
        <v>18</v>
      </c>
    </row>
    <row r="41" spans="1:6" x14ac:dyDescent="0.35">
      <c r="A41" t="s">
        <v>732</v>
      </c>
      <c r="B41" t="s">
        <v>225</v>
      </c>
      <c r="C41">
        <v>0.14000000000000001</v>
      </c>
    </row>
    <row r="42" spans="1:6" x14ac:dyDescent="0.35">
      <c r="A42" t="s">
        <v>732</v>
      </c>
      <c r="B42" t="s">
        <v>225</v>
      </c>
      <c r="C42">
        <v>0.14000000000000001</v>
      </c>
    </row>
    <row r="43" spans="1:6" x14ac:dyDescent="0.35">
      <c r="A43" t="s">
        <v>732</v>
      </c>
      <c r="B43" t="s">
        <v>225</v>
      </c>
      <c r="C43">
        <v>4.0999999999999996</v>
      </c>
    </row>
    <row r="44" spans="1:6" x14ac:dyDescent="0.35">
      <c r="C44">
        <v>0</v>
      </c>
      <c r="D44">
        <f>SUM(C32:C43)</f>
        <v>726</v>
      </c>
      <c r="E44">
        <f>SUM(C2:C43)</f>
        <v>1688.1599999999999</v>
      </c>
      <c r="F44" t="s">
        <v>699</v>
      </c>
    </row>
    <row r="45" spans="1:6" x14ac:dyDescent="0.35">
      <c r="A45" t="s">
        <v>734</v>
      </c>
      <c r="B45" t="s">
        <v>225</v>
      </c>
      <c r="C45">
        <v>4.5599999999999996</v>
      </c>
    </row>
    <row r="46" spans="1:6" x14ac:dyDescent="0.35">
      <c r="A46" t="s">
        <v>785</v>
      </c>
      <c r="B46" t="s">
        <v>222</v>
      </c>
      <c r="C46">
        <v>136.82</v>
      </c>
    </row>
    <row r="47" spans="1:6" x14ac:dyDescent="0.35">
      <c r="A47" t="s">
        <v>828</v>
      </c>
      <c r="B47" t="s">
        <v>224</v>
      </c>
      <c r="C47">
        <v>7.35</v>
      </c>
    </row>
    <row r="48" spans="1:6" x14ac:dyDescent="0.35">
      <c r="A48" t="s">
        <v>830</v>
      </c>
      <c r="B48" t="s">
        <v>224</v>
      </c>
      <c r="C48">
        <v>7.35</v>
      </c>
    </row>
    <row r="49" spans="1:6" x14ac:dyDescent="0.35">
      <c r="C49">
        <v>0</v>
      </c>
      <c r="D49">
        <f>SUM(C45:C48)</f>
        <v>156.07999999999998</v>
      </c>
      <c r="E49">
        <f>SUM(C2:C48)</f>
        <v>1844.2399999999996</v>
      </c>
      <c r="F49" t="s">
        <v>796</v>
      </c>
    </row>
    <row r="50" spans="1:6" x14ac:dyDescent="0.35">
      <c r="A50" t="s">
        <v>843</v>
      </c>
      <c r="B50" t="s">
        <v>131</v>
      </c>
      <c r="C50">
        <v>63.25</v>
      </c>
    </row>
    <row r="51" spans="1:6" x14ac:dyDescent="0.35">
      <c r="A51" t="s">
        <v>843</v>
      </c>
      <c r="B51" t="s">
        <v>126</v>
      </c>
      <c r="C51">
        <v>10</v>
      </c>
    </row>
    <row r="52" spans="1:6" x14ac:dyDescent="0.35">
      <c r="A52" t="s">
        <v>873</v>
      </c>
      <c r="B52" t="s">
        <v>745</v>
      </c>
      <c r="C52">
        <v>14</v>
      </c>
    </row>
    <row r="53" spans="1:6" x14ac:dyDescent="0.35">
      <c r="A53" t="s">
        <v>921</v>
      </c>
      <c r="B53" t="s">
        <v>131</v>
      </c>
      <c r="C53">
        <v>5</v>
      </c>
    </row>
    <row r="54" spans="1:6" x14ac:dyDescent="0.35">
      <c r="C54">
        <v>0</v>
      </c>
      <c r="D54">
        <f>SUM(C50:C53)</f>
        <v>92.25</v>
      </c>
      <c r="E54">
        <f>SUM(C2:C53)</f>
        <v>1936.4899999999996</v>
      </c>
      <c r="F54" t="s">
        <v>885</v>
      </c>
    </row>
    <row r="55" spans="1:6" x14ac:dyDescent="0.35">
      <c r="A55" t="s">
        <v>919</v>
      </c>
      <c r="B55" t="s">
        <v>225</v>
      </c>
      <c r="C55">
        <v>2.84</v>
      </c>
    </row>
    <row r="56" spans="1:6" x14ac:dyDescent="0.35">
      <c r="A56" t="s">
        <v>919</v>
      </c>
      <c r="B56" t="s">
        <v>225</v>
      </c>
      <c r="C56">
        <v>5.91</v>
      </c>
    </row>
    <row r="57" spans="1:6" x14ac:dyDescent="0.35">
      <c r="A57" t="s">
        <v>1007</v>
      </c>
      <c r="B57" t="s">
        <v>131</v>
      </c>
      <c r="C57">
        <v>53.64</v>
      </c>
    </row>
    <row r="58" spans="1:6" x14ac:dyDescent="0.35">
      <c r="A58" t="s">
        <v>1007</v>
      </c>
      <c r="B58" t="s">
        <v>126</v>
      </c>
      <c r="C58">
        <v>7</v>
      </c>
    </row>
    <row r="59" spans="1:6" x14ac:dyDescent="0.35">
      <c r="A59" t="s">
        <v>977</v>
      </c>
      <c r="B59" t="s">
        <v>225</v>
      </c>
      <c r="C59">
        <v>1.1499999999999999</v>
      </c>
    </row>
    <row r="60" spans="1:6" x14ac:dyDescent="0.35">
      <c r="A60" t="s">
        <v>990</v>
      </c>
      <c r="B60" t="s">
        <v>225</v>
      </c>
      <c r="C60">
        <v>0.36</v>
      </c>
    </row>
    <row r="61" spans="1:6" x14ac:dyDescent="0.35">
      <c r="A61" t="s">
        <v>984</v>
      </c>
      <c r="B61" t="s">
        <v>1016</v>
      </c>
      <c r="C61">
        <v>0.85</v>
      </c>
    </row>
    <row r="62" spans="1:6" x14ac:dyDescent="0.35">
      <c r="C62">
        <v>0</v>
      </c>
      <c r="D62">
        <f>SUM(C55:C61)</f>
        <v>71.75</v>
      </c>
      <c r="E62">
        <f>SUM(C2:C61)</f>
        <v>2008.2399999999996</v>
      </c>
      <c r="F62" t="s">
        <v>965</v>
      </c>
    </row>
    <row r="63" spans="1:6" x14ac:dyDescent="0.35">
      <c r="A63" t="s">
        <v>1060</v>
      </c>
      <c r="B63" t="s">
        <v>225</v>
      </c>
      <c r="C63">
        <v>2.99</v>
      </c>
    </row>
    <row r="64" spans="1:6" x14ac:dyDescent="0.35">
      <c r="A64" t="s">
        <v>968</v>
      </c>
      <c r="B64" t="s">
        <v>745</v>
      </c>
      <c r="C64">
        <v>14</v>
      </c>
    </row>
    <row r="65" spans="3:6" x14ac:dyDescent="0.35">
      <c r="C65">
        <v>0</v>
      </c>
      <c r="E65">
        <f>SUM(C2:C64)</f>
        <v>2025.2299999999996</v>
      </c>
      <c r="F65" t="s">
        <v>9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F178"/>
  <sheetViews>
    <sheetView topLeftCell="A166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76</v>
      </c>
      <c r="B2" t="s">
        <v>77</v>
      </c>
      <c r="C2">
        <v>80.11</v>
      </c>
    </row>
    <row r="3" spans="1:6" x14ac:dyDescent="0.35">
      <c r="A3" t="s">
        <v>15</v>
      </c>
      <c r="B3" t="s">
        <v>78</v>
      </c>
      <c r="C3">
        <v>168.62</v>
      </c>
    </row>
    <row r="4" spans="1:6" x14ac:dyDescent="0.35">
      <c r="A4" t="s">
        <v>15</v>
      </c>
      <c r="B4" t="s">
        <v>45</v>
      </c>
      <c r="C4">
        <v>13.5</v>
      </c>
    </row>
    <row r="5" spans="1:6" x14ac:dyDescent="0.35">
      <c r="A5" t="s">
        <v>58</v>
      </c>
      <c r="B5" t="s">
        <v>68</v>
      </c>
      <c r="C5">
        <v>38.14</v>
      </c>
    </row>
    <row r="6" spans="1:6" x14ac:dyDescent="0.35">
      <c r="A6" t="s">
        <v>58</v>
      </c>
      <c r="B6" t="s">
        <v>67</v>
      </c>
      <c r="C6">
        <v>338.63</v>
      </c>
    </row>
    <row r="7" spans="1:6" x14ac:dyDescent="0.35">
      <c r="A7" t="s">
        <v>24</v>
      </c>
      <c r="B7" t="s">
        <v>69</v>
      </c>
      <c r="C7">
        <v>262.95</v>
      </c>
    </row>
    <row r="8" spans="1:6" x14ac:dyDescent="0.35">
      <c r="A8" t="s">
        <v>26</v>
      </c>
      <c r="B8" t="s">
        <v>67</v>
      </c>
      <c r="C8">
        <v>175.99</v>
      </c>
    </row>
    <row r="9" spans="1:6" x14ac:dyDescent="0.35">
      <c r="A9" t="s">
        <v>4</v>
      </c>
      <c r="B9" t="s">
        <v>56</v>
      </c>
      <c r="C9">
        <v>8.99</v>
      </c>
    </row>
    <row r="10" spans="1:6" x14ac:dyDescent="0.35">
      <c r="C10">
        <v>0</v>
      </c>
      <c r="D10">
        <f>SUM(C2:C9)</f>
        <v>1086.93</v>
      </c>
      <c r="E10">
        <f>SUM(C2:C9)</f>
        <v>1086.93</v>
      </c>
      <c r="F10" t="s">
        <v>6</v>
      </c>
    </row>
    <row r="11" spans="1:6" x14ac:dyDescent="0.35">
      <c r="A11" t="s">
        <v>46</v>
      </c>
      <c r="B11" t="s">
        <v>45</v>
      </c>
      <c r="C11">
        <v>5</v>
      </c>
    </row>
    <row r="12" spans="1:6" x14ac:dyDescent="0.35">
      <c r="A12" t="s">
        <v>62</v>
      </c>
      <c r="B12" t="s">
        <v>70</v>
      </c>
      <c r="C12">
        <v>28.18</v>
      </c>
    </row>
    <row r="13" spans="1:6" x14ac:dyDescent="0.35">
      <c r="A13" t="s">
        <v>47</v>
      </c>
      <c r="B13" t="s">
        <v>169</v>
      </c>
      <c r="C13">
        <v>55.99</v>
      </c>
    </row>
    <row r="14" spans="1:6" x14ac:dyDescent="0.35">
      <c r="A14" t="s">
        <v>99</v>
      </c>
      <c r="B14" t="s">
        <v>170</v>
      </c>
      <c r="C14">
        <v>55</v>
      </c>
    </row>
    <row r="15" spans="1:6" x14ac:dyDescent="0.35">
      <c r="A15" t="s">
        <v>10</v>
      </c>
      <c r="B15" t="s">
        <v>156</v>
      </c>
      <c r="C15">
        <v>156.46</v>
      </c>
    </row>
    <row r="16" spans="1:6" x14ac:dyDescent="0.35">
      <c r="A16" t="s">
        <v>157</v>
      </c>
      <c r="B16" t="s">
        <v>68</v>
      </c>
      <c r="C16">
        <v>92.25</v>
      </c>
    </row>
    <row r="17" spans="1:3" x14ac:dyDescent="0.35">
      <c r="A17" t="s">
        <v>87</v>
      </c>
      <c r="B17" t="s">
        <v>77</v>
      </c>
      <c r="C17">
        <v>80.19</v>
      </c>
    </row>
    <row r="18" spans="1:3" x14ac:dyDescent="0.35">
      <c r="A18" t="s">
        <v>96</v>
      </c>
      <c r="B18" t="s">
        <v>78</v>
      </c>
      <c r="C18">
        <v>118.49</v>
      </c>
    </row>
    <row r="19" spans="1:3" x14ac:dyDescent="0.35">
      <c r="A19" t="s">
        <v>127</v>
      </c>
      <c r="B19" t="s">
        <v>67</v>
      </c>
      <c r="C19">
        <v>322.27999999999997</v>
      </c>
    </row>
    <row r="20" spans="1:3" x14ac:dyDescent="0.35">
      <c r="A20" t="s">
        <v>158</v>
      </c>
      <c r="B20" t="s">
        <v>69</v>
      </c>
      <c r="C20">
        <v>262.95</v>
      </c>
    </row>
    <row r="21" spans="1:3" x14ac:dyDescent="0.35">
      <c r="A21" t="s">
        <v>159</v>
      </c>
      <c r="B21" t="s">
        <v>68</v>
      </c>
      <c r="C21">
        <v>49.81</v>
      </c>
    </row>
    <row r="22" spans="1:3" x14ac:dyDescent="0.35">
      <c r="A22" t="s">
        <v>159</v>
      </c>
      <c r="B22" t="s">
        <v>67</v>
      </c>
      <c r="C22">
        <v>164.23</v>
      </c>
    </row>
    <row r="23" spans="1:3" x14ac:dyDescent="0.35">
      <c r="A23" t="s">
        <v>129</v>
      </c>
      <c r="B23" t="s">
        <v>171</v>
      </c>
      <c r="C23">
        <v>5</v>
      </c>
    </row>
    <row r="24" spans="1:3" x14ac:dyDescent="0.35">
      <c r="A24" t="s">
        <v>85</v>
      </c>
      <c r="B24" t="s">
        <v>145</v>
      </c>
      <c r="C24">
        <v>8.99</v>
      </c>
    </row>
    <row r="25" spans="1:3" x14ac:dyDescent="0.35">
      <c r="A25" t="s">
        <v>90</v>
      </c>
      <c r="B25" t="s">
        <v>169</v>
      </c>
      <c r="C25">
        <v>55.99</v>
      </c>
    </row>
    <row r="26" spans="1:3" x14ac:dyDescent="0.35">
      <c r="A26" t="s">
        <v>263</v>
      </c>
      <c r="B26" t="s">
        <v>170</v>
      </c>
      <c r="C26">
        <v>55</v>
      </c>
    </row>
    <row r="27" spans="1:3" x14ac:dyDescent="0.35">
      <c r="A27" t="s">
        <v>251</v>
      </c>
      <c r="B27" t="s">
        <v>68</v>
      </c>
      <c r="C27">
        <v>95.15</v>
      </c>
    </row>
    <row r="28" spans="1:3" x14ac:dyDescent="0.35">
      <c r="A28" t="s">
        <v>187</v>
      </c>
      <c r="B28" t="s">
        <v>78</v>
      </c>
      <c r="C28">
        <v>200.67</v>
      </c>
    </row>
    <row r="29" spans="1:3" x14ac:dyDescent="0.35">
      <c r="A29" t="s">
        <v>189</v>
      </c>
      <c r="B29" t="s">
        <v>77</v>
      </c>
      <c r="C29">
        <v>80.19</v>
      </c>
    </row>
    <row r="30" spans="1:3" x14ac:dyDescent="0.35">
      <c r="A30" t="s">
        <v>221</v>
      </c>
      <c r="B30" t="s">
        <v>222</v>
      </c>
      <c r="C30">
        <v>24</v>
      </c>
    </row>
    <row r="31" spans="1:3" x14ac:dyDescent="0.35">
      <c r="A31" t="s">
        <v>221</v>
      </c>
      <c r="B31" t="s">
        <v>223</v>
      </c>
      <c r="C31">
        <v>103.27</v>
      </c>
    </row>
    <row r="32" spans="1:3" x14ac:dyDescent="0.35">
      <c r="A32" t="s">
        <v>196</v>
      </c>
      <c r="B32" t="s">
        <v>69</v>
      </c>
      <c r="C32">
        <v>262.95</v>
      </c>
    </row>
    <row r="33" spans="1:3" x14ac:dyDescent="0.35">
      <c r="A33" t="s">
        <v>194</v>
      </c>
      <c r="B33" t="s">
        <v>67</v>
      </c>
      <c r="C33">
        <v>224.57</v>
      </c>
    </row>
    <row r="34" spans="1:3" x14ac:dyDescent="0.35">
      <c r="A34" t="s">
        <v>213</v>
      </c>
      <c r="B34" t="s">
        <v>68</v>
      </c>
      <c r="C34">
        <v>132.47999999999999</v>
      </c>
    </row>
    <row r="35" spans="1:3" x14ac:dyDescent="0.35">
      <c r="A35" t="s">
        <v>213</v>
      </c>
      <c r="B35" t="s">
        <v>67</v>
      </c>
      <c r="C35">
        <v>252.77</v>
      </c>
    </row>
    <row r="36" spans="1:3" x14ac:dyDescent="0.35">
      <c r="A36" t="s">
        <v>180</v>
      </c>
      <c r="B36" t="s">
        <v>45</v>
      </c>
      <c r="C36">
        <v>38.5</v>
      </c>
    </row>
    <row r="37" spans="1:3" x14ac:dyDescent="0.35">
      <c r="A37" t="s">
        <v>220</v>
      </c>
      <c r="B37" t="s">
        <v>237</v>
      </c>
      <c r="C37">
        <v>8.99</v>
      </c>
    </row>
    <row r="38" spans="1:3" x14ac:dyDescent="0.35">
      <c r="A38" t="s">
        <v>246</v>
      </c>
      <c r="B38" t="s">
        <v>169</v>
      </c>
      <c r="C38">
        <v>55.99</v>
      </c>
    </row>
    <row r="39" spans="1:3" x14ac:dyDescent="0.35">
      <c r="A39" t="s">
        <v>312</v>
      </c>
      <c r="B39" t="s">
        <v>170</v>
      </c>
      <c r="C39">
        <v>55</v>
      </c>
    </row>
    <row r="40" spans="1:3" x14ac:dyDescent="0.35">
      <c r="A40" t="s">
        <v>312</v>
      </c>
      <c r="B40" t="s">
        <v>70</v>
      </c>
      <c r="C40">
        <v>77.599999999999994</v>
      </c>
    </row>
    <row r="41" spans="1:3" x14ac:dyDescent="0.35">
      <c r="A41" t="s">
        <v>295</v>
      </c>
      <c r="B41" t="s">
        <v>156</v>
      </c>
      <c r="C41">
        <v>166.54</v>
      </c>
    </row>
    <row r="42" spans="1:3" x14ac:dyDescent="0.35">
      <c r="A42" t="s">
        <v>306</v>
      </c>
      <c r="B42" t="s">
        <v>68</v>
      </c>
      <c r="C42">
        <v>67.81</v>
      </c>
    </row>
    <row r="43" spans="1:3" x14ac:dyDescent="0.35">
      <c r="A43" t="s">
        <v>303</v>
      </c>
      <c r="B43" t="s">
        <v>77</v>
      </c>
      <c r="C43">
        <v>80.19</v>
      </c>
    </row>
    <row r="44" spans="1:3" x14ac:dyDescent="0.35">
      <c r="A44" t="s">
        <v>309</v>
      </c>
      <c r="B44" t="s">
        <v>78</v>
      </c>
      <c r="C44">
        <v>249.51</v>
      </c>
    </row>
    <row r="45" spans="1:3" x14ac:dyDescent="0.35">
      <c r="A45" t="s">
        <v>309</v>
      </c>
      <c r="B45" t="s">
        <v>334</v>
      </c>
      <c r="C45">
        <v>5.3</v>
      </c>
    </row>
    <row r="46" spans="1:3" x14ac:dyDescent="0.35">
      <c r="A46" t="s">
        <v>311</v>
      </c>
      <c r="B46" t="s">
        <v>45</v>
      </c>
      <c r="C46">
        <v>23.5</v>
      </c>
    </row>
    <row r="47" spans="1:3" x14ac:dyDescent="0.35">
      <c r="A47" t="s">
        <v>280</v>
      </c>
      <c r="B47" t="s">
        <v>67</v>
      </c>
      <c r="C47">
        <v>46.79</v>
      </c>
    </row>
    <row r="48" spans="1:3" x14ac:dyDescent="0.35">
      <c r="A48" t="s">
        <v>280</v>
      </c>
      <c r="B48" t="s">
        <v>332</v>
      </c>
      <c r="C48">
        <v>262.95</v>
      </c>
    </row>
    <row r="49" spans="1:6" x14ac:dyDescent="0.35">
      <c r="A49" t="s">
        <v>333</v>
      </c>
      <c r="B49" t="s">
        <v>68</v>
      </c>
      <c r="C49">
        <v>19.79</v>
      </c>
    </row>
    <row r="50" spans="1:6" x14ac:dyDescent="0.35">
      <c r="A50" t="s">
        <v>333</v>
      </c>
      <c r="B50" t="s">
        <v>67</v>
      </c>
      <c r="C50">
        <v>167.2</v>
      </c>
    </row>
    <row r="51" spans="1:6" x14ac:dyDescent="0.35">
      <c r="A51" t="s">
        <v>292</v>
      </c>
      <c r="B51" t="s">
        <v>334</v>
      </c>
      <c r="C51">
        <v>5.3</v>
      </c>
    </row>
    <row r="52" spans="1:6" x14ac:dyDescent="0.35">
      <c r="A52" t="s">
        <v>321</v>
      </c>
      <c r="B52" t="s">
        <v>322</v>
      </c>
      <c r="C52">
        <v>8.99</v>
      </c>
    </row>
    <row r="53" spans="1:6" x14ac:dyDescent="0.35">
      <c r="A53" t="s">
        <v>403</v>
      </c>
      <c r="B53" t="s">
        <v>169</v>
      </c>
      <c r="C53">
        <v>55.99</v>
      </c>
    </row>
    <row r="54" spans="1:6" x14ac:dyDescent="0.35">
      <c r="A54" t="s">
        <v>387</v>
      </c>
      <c r="B54" t="s">
        <v>170</v>
      </c>
      <c r="C54">
        <v>55</v>
      </c>
    </row>
    <row r="55" spans="1:6" x14ac:dyDescent="0.35">
      <c r="A55" t="s">
        <v>369</v>
      </c>
      <c r="B55" t="s">
        <v>68</v>
      </c>
      <c r="C55">
        <v>65.319999999999993</v>
      </c>
    </row>
    <row r="56" spans="1:6" x14ac:dyDescent="0.35">
      <c r="A56" t="s">
        <v>371</v>
      </c>
      <c r="B56" t="s">
        <v>77</v>
      </c>
      <c r="C56">
        <v>80.17</v>
      </c>
    </row>
    <row r="57" spans="1:6" x14ac:dyDescent="0.35">
      <c r="A57" t="s">
        <v>352</v>
      </c>
      <c r="B57" t="s">
        <v>78</v>
      </c>
      <c r="C57">
        <v>179.51</v>
      </c>
    </row>
    <row r="58" spans="1:6" x14ac:dyDescent="0.35">
      <c r="A58" t="s">
        <v>374</v>
      </c>
      <c r="B58" t="s">
        <v>400</v>
      </c>
      <c r="C58">
        <v>262.95</v>
      </c>
    </row>
    <row r="59" spans="1:6" x14ac:dyDescent="0.35">
      <c r="A59" t="s">
        <v>354</v>
      </c>
      <c r="B59" t="s">
        <v>67</v>
      </c>
      <c r="C59">
        <v>99.64</v>
      </c>
    </row>
    <row r="60" spans="1:6" x14ac:dyDescent="0.35">
      <c r="A60" t="s">
        <v>354</v>
      </c>
      <c r="B60" t="s">
        <v>67</v>
      </c>
      <c r="C60">
        <v>153.97</v>
      </c>
    </row>
    <row r="61" spans="1:6" x14ac:dyDescent="0.35">
      <c r="A61" t="s">
        <v>364</v>
      </c>
      <c r="B61" t="s">
        <v>68</v>
      </c>
      <c r="C61">
        <v>21.2</v>
      </c>
    </row>
    <row r="62" spans="1:6" x14ac:dyDescent="0.35">
      <c r="A62" t="s">
        <v>345</v>
      </c>
      <c r="B62" t="s">
        <v>386</v>
      </c>
      <c r="C62">
        <v>8.99</v>
      </c>
    </row>
    <row r="63" spans="1:6" x14ac:dyDescent="0.35">
      <c r="A63" t="s">
        <v>345</v>
      </c>
      <c r="B63" t="s">
        <v>45</v>
      </c>
      <c r="C63">
        <v>71</v>
      </c>
    </row>
    <row r="64" spans="1:6" x14ac:dyDescent="0.35">
      <c r="C64">
        <v>0</v>
      </c>
      <c r="D64">
        <f>SUM(C11:C63)</f>
        <v>5285.5499999999993</v>
      </c>
      <c r="E64">
        <f>SUM(C2:C63)</f>
        <v>6372.48</v>
      </c>
      <c r="F64" t="s">
        <v>347</v>
      </c>
    </row>
    <row r="65" spans="1:3" x14ac:dyDescent="0.35">
      <c r="A65" t="s">
        <v>401</v>
      </c>
      <c r="B65" t="s">
        <v>70</v>
      </c>
      <c r="C65">
        <v>19</v>
      </c>
    </row>
    <row r="66" spans="1:3" x14ac:dyDescent="0.35">
      <c r="A66" t="s">
        <v>483</v>
      </c>
      <c r="B66" t="s">
        <v>169</v>
      </c>
      <c r="C66">
        <v>55.99</v>
      </c>
    </row>
    <row r="67" spans="1:3" x14ac:dyDescent="0.35">
      <c r="A67" t="s">
        <v>471</v>
      </c>
      <c r="B67" t="s">
        <v>170</v>
      </c>
      <c r="C67">
        <v>55</v>
      </c>
    </row>
    <row r="68" spans="1:3" x14ac:dyDescent="0.35">
      <c r="A68" t="s">
        <v>446</v>
      </c>
      <c r="B68" t="s">
        <v>156</v>
      </c>
      <c r="C68">
        <v>78.36</v>
      </c>
    </row>
    <row r="69" spans="1:3" x14ac:dyDescent="0.35">
      <c r="A69" t="s">
        <v>447</v>
      </c>
      <c r="B69" t="s">
        <v>68</v>
      </c>
      <c r="C69">
        <v>39.33</v>
      </c>
    </row>
    <row r="70" spans="1:3" x14ac:dyDescent="0.35">
      <c r="A70" t="s">
        <v>435</v>
      </c>
      <c r="B70" t="s">
        <v>77</v>
      </c>
      <c r="C70">
        <v>80.17</v>
      </c>
    </row>
    <row r="71" spans="1:3" x14ac:dyDescent="0.35">
      <c r="A71" t="s">
        <v>416</v>
      </c>
      <c r="B71" t="s">
        <v>78</v>
      </c>
      <c r="C71">
        <v>179.52</v>
      </c>
    </row>
    <row r="72" spans="1:3" x14ac:dyDescent="0.35">
      <c r="A72" t="s">
        <v>439</v>
      </c>
      <c r="B72" t="s">
        <v>484</v>
      </c>
      <c r="C72">
        <v>5.3</v>
      </c>
    </row>
    <row r="73" spans="1:3" x14ac:dyDescent="0.35">
      <c r="A73" t="s">
        <v>462</v>
      </c>
      <c r="B73" t="s">
        <v>479</v>
      </c>
      <c r="C73">
        <v>262.95</v>
      </c>
    </row>
    <row r="74" spans="1:3" x14ac:dyDescent="0.35">
      <c r="A74" t="s">
        <v>448</v>
      </c>
      <c r="B74" t="s">
        <v>68</v>
      </c>
      <c r="C74">
        <v>22.35</v>
      </c>
    </row>
    <row r="75" spans="1:3" x14ac:dyDescent="0.35">
      <c r="A75" t="s">
        <v>448</v>
      </c>
      <c r="B75" t="s">
        <v>67</v>
      </c>
      <c r="C75">
        <v>68.430000000000007</v>
      </c>
    </row>
    <row r="76" spans="1:3" x14ac:dyDescent="0.35">
      <c r="A76" t="s">
        <v>459</v>
      </c>
      <c r="B76" t="s">
        <v>67</v>
      </c>
      <c r="C76">
        <v>75.45</v>
      </c>
    </row>
    <row r="77" spans="1:3" x14ac:dyDescent="0.35">
      <c r="A77" t="s">
        <v>426</v>
      </c>
      <c r="B77" t="s">
        <v>45</v>
      </c>
      <c r="C77">
        <v>18.95</v>
      </c>
    </row>
    <row r="78" spans="1:3" x14ac:dyDescent="0.35">
      <c r="A78" t="s">
        <v>418</v>
      </c>
      <c r="B78" t="s">
        <v>467</v>
      </c>
      <c r="C78">
        <v>8.99</v>
      </c>
    </row>
    <row r="79" spans="1:3" x14ac:dyDescent="0.35">
      <c r="A79" t="s">
        <v>429</v>
      </c>
      <c r="B79" t="s">
        <v>598</v>
      </c>
      <c r="C79">
        <v>32.700000000000003</v>
      </c>
    </row>
    <row r="80" spans="1:3" x14ac:dyDescent="0.35">
      <c r="A80" t="s">
        <v>429</v>
      </c>
      <c r="B80" t="s">
        <v>169</v>
      </c>
      <c r="C80">
        <v>55.99</v>
      </c>
    </row>
    <row r="81" spans="1:6" x14ac:dyDescent="0.35">
      <c r="A81" t="s">
        <v>488</v>
      </c>
      <c r="B81" t="s">
        <v>170</v>
      </c>
      <c r="C81">
        <v>55</v>
      </c>
    </row>
    <row r="82" spans="1:6" x14ac:dyDescent="0.35">
      <c r="A82" t="s">
        <v>585</v>
      </c>
      <c r="B82" t="s">
        <v>68</v>
      </c>
      <c r="C82">
        <v>75.819999999999993</v>
      </c>
    </row>
    <row r="83" spans="1:6" x14ac:dyDescent="0.35">
      <c r="A83" t="s">
        <v>510</v>
      </c>
      <c r="B83" t="s">
        <v>45</v>
      </c>
      <c r="C83">
        <v>18.5</v>
      </c>
    </row>
    <row r="84" spans="1:6" x14ac:dyDescent="0.35">
      <c r="A84" t="s">
        <v>519</v>
      </c>
      <c r="B84" t="s">
        <v>77</v>
      </c>
      <c r="C84">
        <v>80.17</v>
      </c>
    </row>
    <row r="85" spans="1:6" x14ac:dyDescent="0.35">
      <c r="A85" t="s">
        <v>571</v>
      </c>
      <c r="B85" t="s">
        <v>78</v>
      </c>
      <c r="C85">
        <v>179.52</v>
      </c>
    </row>
    <row r="86" spans="1:6" x14ac:dyDescent="0.35">
      <c r="A86" t="s">
        <v>525</v>
      </c>
      <c r="B86" t="s">
        <v>570</v>
      </c>
      <c r="C86">
        <v>102.25</v>
      </c>
    </row>
    <row r="87" spans="1:6" x14ac:dyDescent="0.35">
      <c r="A87" t="s">
        <v>535</v>
      </c>
      <c r="B87" t="s">
        <v>586</v>
      </c>
      <c r="C87">
        <v>262.95</v>
      </c>
    </row>
    <row r="88" spans="1:6" x14ac:dyDescent="0.35">
      <c r="A88" t="s">
        <v>538</v>
      </c>
      <c r="B88" t="s">
        <v>68</v>
      </c>
      <c r="C88">
        <v>26.02</v>
      </c>
    </row>
    <row r="89" spans="1:6" x14ac:dyDescent="0.35">
      <c r="A89" t="s">
        <v>538</v>
      </c>
      <c r="B89" t="s">
        <v>67</v>
      </c>
      <c r="C89">
        <v>66.56</v>
      </c>
    </row>
    <row r="90" spans="1:6" x14ac:dyDescent="0.35">
      <c r="A90" t="s">
        <v>542</v>
      </c>
      <c r="B90" t="s">
        <v>587</v>
      </c>
      <c r="C90">
        <v>100</v>
      </c>
    </row>
    <row r="91" spans="1:6" x14ac:dyDescent="0.35">
      <c r="A91" t="s">
        <v>518</v>
      </c>
      <c r="B91" t="s">
        <v>574</v>
      </c>
      <c r="C91">
        <v>8.99</v>
      </c>
    </row>
    <row r="92" spans="1:6" x14ac:dyDescent="0.35">
      <c r="C92">
        <v>0</v>
      </c>
      <c r="D92">
        <f>SUM(C65:C91)</f>
        <v>2034.26</v>
      </c>
      <c r="E92">
        <f>SUM(C2:C91)</f>
        <v>8406.74</v>
      </c>
      <c r="F92" t="s">
        <v>503</v>
      </c>
    </row>
    <row r="93" spans="1:6" x14ac:dyDescent="0.35">
      <c r="A93" t="s">
        <v>504</v>
      </c>
      <c r="B93" t="s">
        <v>588</v>
      </c>
      <c r="C93">
        <v>135</v>
      </c>
    </row>
    <row r="94" spans="1:6" x14ac:dyDescent="0.35">
      <c r="A94" t="s">
        <v>546</v>
      </c>
      <c r="B94" t="s">
        <v>70</v>
      </c>
      <c r="C94">
        <v>19</v>
      </c>
    </row>
    <row r="95" spans="1:6" x14ac:dyDescent="0.35">
      <c r="A95" t="s">
        <v>622</v>
      </c>
      <c r="B95" t="s">
        <v>598</v>
      </c>
      <c r="C95">
        <v>32.700000000000003</v>
      </c>
    </row>
    <row r="96" spans="1:6" x14ac:dyDescent="0.35">
      <c r="A96" t="s">
        <v>622</v>
      </c>
      <c r="B96" t="s">
        <v>169</v>
      </c>
      <c r="C96">
        <v>55.99</v>
      </c>
    </row>
    <row r="97" spans="1:6" x14ac:dyDescent="0.35">
      <c r="A97" t="s">
        <v>639</v>
      </c>
      <c r="B97" t="s">
        <v>170</v>
      </c>
      <c r="C97">
        <v>55</v>
      </c>
    </row>
    <row r="98" spans="1:6" x14ac:dyDescent="0.35">
      <c r="A98" t="s">
        <v>506</v>
      </c>
      <c r="B98" t="s">
        <v>652</v>
      </c>
      <c r="C98">
        <v>383.41</v>
      </c>
    </row>
    <row r="99" spans="1:6" x14ac:dyDescent="0.35">
      <c r="A99" t="s">
        <v>623</v>
      </c>
      <c r="B99" t="s">
        <v>156</v>
      </c>
      <c r="C99">
        <v>157.91999999999999</v>
      </c>
    </row>
    <row r="100" spans="1:6" x14ac:dyDescent="0.35">
      <c r="A100" t="s">
        <v>673</v>
      </c>
      <c r="B100" t="s">
        <v>68</v>
      </c>
      <c r="C100">
        <v>99.95</v>
      </c>
    </row>
    <row r="101" spans="1:6" x14ac:dyDescent="0.35">
      <c r="A101" t="s">
        <v>625</v>
      </c>
      <c r="B101" t="s">
        <v>656</v>
      </c>
      <c r="C101">
        <v>226.75</v>
      </c>
    </row>
    <row r="102" spans="1:6" x14ac:dyDescent="0.35">
      <c r="A102" t="s">
        <v>645</v>
      </c>
      <c r="B102" t="s">
        <v>484</v>
      </c>
      <c r="C102">
        <v>5.3</v>
      </c>
    </row>
    <row r="103" spans="1:6" x14ac:dyDescent="0.35">
      <c r="A103" t="s">
        <v>617</v>
      </c>
      <c r="B103" t="s">
        <v>77</v>
      </c>
      <c r="C103">
        <v>80.28</v>
      </c>
    </row>
    <row r="104" spans="1:6" x14ac:dyDescent="0.35">
      <c r="A104" t="s">
        <v>640</v>
      </c>
      <c r="B104" t="s">
        <v>78</v>
      </c>
      <c r="C104">
        <v>179.52</v>
      </c>
    </row>
    <row r="105" spans="1:6" x14ac:dyDescent="0.35">
      <c r="A105" t="s">
        <v>657</v>
      </c>
      <c r="B105" t="s">
        <v>674</v>
      </c>
      <c r="C105">
        <v>262.95</v>
      </c>
    </row>
    <row r="106" spans="1:6" x14ac:dyDescent="0.35">
      <c r="A106" t="s">
        <v>646</v>
      </c>
      <c r="B106" t="s">
        <v>67</v>
      </c>
      <c r="C106">
        <v>66.849999999999994</v>
      </c>
    </row>
    <row r="107" spans="1:6" x14ac:dyDescent="0.35">
      <c r="A107" t="s">
        <v>647</v>
      </c>
      <c r="B107" t="s">
        <v>68</v>
      </c>
      <c r="C107">
        <v>28.65</v>
      </c>
    </row>
    <row r="108" spans="1:6" x14ac:dyDescent="0.35">
      <c r="A108" t="s">
        <v>612</v>
      </c>
      <c r="B108" t="s">
        <v>665</v>
      </c>
      <c r="C108">
        <v>8.99</v>
      </c>
    </row>
    <row r="109" spans="1:6" x14ac:dyDescent="0.35">
      <c r="C109">
        <v>0</v>
      </c>
      <c r="D109">
        <f>SUM(C93:C108)</f>
        <v>1798.26</v>
      </c>
      <c r="E109">
        <f>SUM(C2:C108)</f>
        <v>10205.000000000002</v>
      </c>
      <c r="F109" t="s">
        <v>614</v>
      </c>
    </row>
    <row r="110" spans="1:6" x14ac:dyDescent="0.35">
      <c r="A110" t="s">
        <v>643</v>
      </c>
      <c r="B110" t="s">
        <v>588</v>
      </c>
      <c r="C110">
        <v>135</v>
      </c>
    </row>
    <row r="111" spans="1:6" x14ac:dyDescent="0.35">
      <c r="A111" t="s">
        <v>632</v>
      </c>
      <c r="B111" t="s">
        <v>588</v>
      </c>
      <c r="C111">
        <v>100</v>
      </c>
    </row>
    <row r="112" spans="1:6" x14ac:dyDescent="0.35">
      <c r="A112" t="s">
        <v>632</v>
      </c>
      <c r="B112" t="s">
        <v>598</v>
      </c>
      <c r="C112">
        <v>32.700000000000003</v>
      </c>
    </row>
    <row r="113" spans="1:6" x14ac:dyDescent="0.35">
      <c r="A113" t="s">
        <v>632</v>
      </c>
      <c r="B113" t="s">
        <v>169</v>
      </c>
      <c r="C113">
        <v>55.99</v>
      </c>
    </row>
    <row r="114" spans="1:6" x14ac:dyDescent="0.35">
      <c r="A114" t="s">
        <v>708</v>
      </c>
      <c r="B114" t="s">
        <v>170</v>
      </c>
      <c r="C114">
        <v>55</v>
      </c>
    </row>
    <row r="115" spans="1:6" x14ac:dyDescent="0.35">
      <c r="A115" t="s">
        <v>744</v>
      </c>
      <c r="B115" t="s">
        <v>68</v>
      </c>
      <c r="C115">
        <v>178.41</v>
      </c>
    </row>
    <row r="116" spans="1:6" x14ac:dyDescent="0.35">
      <c r="A116" t="s">
        <v>729</v>
      </c>
      <c r="B116" t="s">
        <v>77</v>
      </c>
      <c r="C116">
        <v>80.28</v>
      </c>
    </row>
    <row r="117" spans="1:6" x14ac:dyDescent="0.35">
      <c r="A117" t="s">
        <v>704</v>
      </c>
      <c r="B117" t="s">
        <v>78</v>
      </c>
      <c r="C117">
        <v>179.52</v>
      </c>
    </row>
    <row r="118" spans="1:6" x14ac:dyDescent="0.35">
      <c r="A118" t="s">
        <v>740</v>
      </c>
      <c r="B118" t="s">
        <v>68</v>
      </c>
      <c r="C118">
        <v>28.64</v>
      </c>
    </row>
    <row r="119" spans="1:6" x14ac:dyDescent="0.35">
      <c r="A119" t="s">
        <v>740</v>
      </c>
      <c r="B119" t="s">
        <v>768</v>
      </c>
      <c r="C119">
        <v>262.95</v>
      </c>
    </row>
    <row r="120" spans="1:6" x14ac:dyDescent="0.35">
      <c r="A120" t="s">
        <v>732</v>
      </c>
      <c r="B120" t="s">
        <v>769</v>
      </c>
      <c r="C120">
        <v>25.74</v>
      </c>
    </row>
    <row r="121" spans="1:6" x14ac:dyDescent="0.35">
      <c r="A121" t="s">
        <v>716</v>
      </c>
      <c r="B121" t="s">
        <v>756</v>
      </c>
      <c r="C121">
        <v>8.99</v>
      </c>
    </row>
    <row r="122" spans="1:6" x14ac:dyDescent="0.35">
      <c r="C122">
        <v>0</v>
      </c>
      <c r="D122">
        <f>SUM(C110:C121)</f>
        <v>1143.22</v>
      </c>
      <c r="E122">
        <f>SUM(C2:C121)</f>
        <v>11348.220000000003</v>
      </c>
      <c r="F122" t="s">
        <v>699</v>
      </c>
    </row>
    <row r="123" spans="1:6" x14ac:dyDescent="0.35">
      <c r="A123" t="s">
        <v>700</v>
      </c>
      <c r="B123" t="s">
        <v>588</v>
      </c>
      <c r="C123">
        <v>135</v>
      </c>
    </row>
    <row r="124" spans="1:6" x14ac:dyDescent="0.35">
      <c r="A124" t="s">
        <v>717</v>
      </c>
      <c r="B124" t="s">
        <v>70</v>
      </c>
      <c r="C124">
        <v>19</v>
      </c>
    </row>
    <row r="125" spans="1:6" x14ac:dyDescent="0.35">
      <c r="A125" t="s">
        <v>717</v>
      </c>
      <c r="B125" t="s">
        <v>769</v>
      </c>
      <c r="C125">
        <v>61.12</v>
      </c>
    </row>
    <row r="126" spans="1:6" x14ac:dyDescent="0.35">
      <c r="A126" t="s">
        <v>765</v>
      </c>
      <c r="B126" t="s">
        <v>588</v>
      </c>
      <c r="C126">
        <v>100</v>
      </c>
    </row>
    <row r="127" spans="1:6" x14ac:dyDescent="0.35">
      <c r="A127" t="s">
        <v>781</v>
      </c>
      <c r="B127" t="s">
        <v>598</v>
      </c>
      <c r="C127">
        <v>32.700000000000003</v>
      </c>
    </row>
    <row r="128" spans="1:6" x14ac:dyDescent="0.35">
      <c r="A128" t="s">
        <v>781</v>
      </c>
      <c r="B128" t="s">
        <v>169</v>
      </c>
      <c r="C128">
        <v>55.99</v>
      </c>
    </row>
    <row r="129" spans="1:6" x14ac:dyDescent="0.35">
      <c r="A129" t="s">
        <v>809</v>
      </c>
      <c r="B129" t="s">
        <v>170</v>
      </c>
      <c r="C129">
        <v>55</v>
      </c>
    </row>
    <row r="130" spans="1:6" x14ac:dyDescent="0.35">
      <c r="A130" t="s">
        <v>785</v>
      </c>
      <c r="B130" t="s">
        <v>222</v>
      </c>
      <c r="C130">
        <v>136.82</v>
      </c>
    </row>
    <row r="131" spans="1:6" x14ac:dyDescent="0.35">
      <c r="A131" t="s">
        <v>702</v>
      </c>
      <c r="B131" t="s">
        <v>68</v>
      </c>
      <c r="C131">
        <v>189.53</v>
      </c>
    </row>
    <row r="132" spans="1:6" x14ac:dyDescent="0.35">
      <c r="A132" t="s">
        <v>811</v>
      </c>
      <c r="B132" t="s">
        <v>156</v>
      </c>
      <c r="C132">
        <v>188.34</v>
      </c>
    </row>
    <row r="133" spans="1:6" x14ac:dyDescent="0.35">
      <c r="A133" t="s">
        <v>802</v>
      </c>
      <c r="B133" t="s">
        <v>77</v>
      </c>
      <c r="C133">
        <v>80.28</v>
      </c>
    </row>
    <row r="134" spans="1:6" x14ac:dyDescent="0.35">
      <c r="A134" t="s">
        <v>830</v>
      </c>
      <c r="B134" t="s">
        <v>78</v>
      </c>
      <c r="C134">
        <v>179.52</v>
      </c>
    </row>
    <row r="135" spans="1:6" x14ac:dyDescent="0.35">
      <c r="A135" t="s">
        <v>864</v>
      </c>
      <c r="B135" t="s">
        <v>769</v>
      </c>
      <c r="C135">
        <v>48.94</v>
      </c>
    </row>
    <row r="136" spans="1:6" x14ac:dyDescent="0.35">
      <c r="A136" t="s">
        <v>864</v>
      </c>
      <c r="B136" t="s">
        <v>769</v>
      </c>
      <c r="C136">
        <v>89.8</v>
      </c>
    </row>
    <row r="137" spans="1:6" x14ac:dyDescent="0.35">
      <c r="A137" t="s">
        <v>794</v>
      </c>
      <c r="B137" t="s">
        <v>865</v>
      </c>
      <c r="C137">
        <v>262.95</v>
      </c>
    </row>
    <row r="138" spans="1:6" x14ac:dyDescent="0.35">
      <c r="A138" t="s">
        <v>832</v>
      </c>
      <c r="B138" t="s">
        <v>656</v>
      </c>
      <c r="C138">
        <v>283.5</v>
      </c>
    </row>
    <row r="139" spans="1:6" x14ac:dyDescent="0.35">
      <c r="A139" t="s">
        <v>832</v>
      </c>
      <c r="B139" t="s">
        <v>68</v>
      </c>
      <c r="C139">
        <v>41.57</v>
      </c>
    </row>
    <row r="140" spans="1:6" x14ac:dyDescent="0.35">
      <c r="A140" t="s">
        <v>818</v>
      </c>
      <c r="B140" t="s">
        <v>853</v>
      </c>
      <c r="C140">
        <v>8.99</v>
      </c>
    </row>
    <row r="141" spans="1:6" x14ac:dyDescent="0.35">
      <c r="C141">
        <v>0</v>
      </c>
      <c r="D141">
        <f>SUM(C123:C140)</f>
        <v>1969.05</v>
      </c>
      <c r="E141">
        <f>SUM(C2:C140)</f>
        <v>13317.270000000006</v>
      </c>
      <c r="F141" t="s">
        <v>796</v>
      </c>
    </row>
    <row r="142" spans="1:6" x14ac:dyDescent="0.35">
      <c r="A142" t="s">
        <v>797</v>
      </c>
      <c r="B142" t="s">
        <v>588</v>
      </c>
      <c r="C142">
        <v>135</v>
      </c>
    </row>
    <row r="143" spans="1:6" x14ac:dyDescent="0.35">
      <c r="A143" t="s">
        <v>838</v>
      </c>
      <c r="B143" t="s">
        <v>588</v>
      </c>
      <c r="C143">
        <v>100</v>
      </c>
    </row>
    <row r="144" spans="1:6" x14ac:dyDescent="0.35">
      <c r="A144" t="s">
        <v>842</v>
      </c>
      <c r="B144" t="s">
        <v>598</v>
      </c>
      <c r="C144">
        <v>38.15</v>
      </c>
    </row>
    <row r="145" spans="1:6" x14ac:dyDescent="0.35">
      <c r="A145" t="s">
        <v>842</v>
      </c>
      <c r="B145" t="s">
        <v>169</v>
      </c>
      <c r="C145">
        <v>55.99</v>
      </c>
    </row>
    <row r="146" spans="1:6" x14ac:dyDescent="0.35">
      <c r="A146" t="s">
        <v>888</v>
      </c>
      <c r="B146" t="s">
        <v>170</v>
      </c>
      <c r="C146">
        <v>55</v>
      </c>
    </row>
    <row r="147" spans="1:6" x14ac:dyDescent="0.35">
      <c r="A147" t="s">
        <v>800</v>
      </c>
      <c r="B147" t="s">
        <v>68</v>
      </c>
      <c r="C147">
        <v>157.66</v>
      </c>
    </row>
    <row r="148" spans="1:6" x14ac:dyDescent="0.35">
      <c r="A148" t="s">
        <v>916</v>
      </c>
      <c r="B148" t="s">
        <v>77</v>
      </c>
      <c r="C148">
        <v>80.31</v>
      </c>
    </row>
    <row r="149" spans="1:6" x14ac:dyDescent="0.35">
      <c r="A149" t="s">
        <v>892</v>
      </c>
      <c r="B149" t="s">
        <v>78</v>
      </c>
      <c r="C149">
        <v>179.52</v>
      </c>
    </row>
    <row r="150" spans="1:6" x14ac:dyDescent="0.35">
      <c r="A150" t="s">
        <v>908</v>
      </c>
      <c r="B150" t="s">
        <v>68</v>
      </c>
      <c r="C150">
        <v>33.07</v>
      </c>
    </row>
    <row r="151" spans="1:6" x14ac:dyDescent="0.35">
      <c r="A151" t="s">
        <v>939</v>
      </c>
      <c r="B151" t="s">
        <v>948</v>
      </c>
      <c r="C151">
        <v>262.95</v>
      </c>
    </row>
    <row r="152" spans="1:6" x14ac:dyDescent="0.35">
      <c r="A152" t="s">
        <v>893</v>
      </c>
      <c r="B152" t="s">
        <v>769</v>
      </c>
      <c r="C152">
        <v>52.9</v>
      </c>
    </row>
    <row r="153" spans="1:6" x14ac:dyDescent="0.35">
      <c r="A153" t="s">
        <v>893</v>
      </c>
      <c r="B153" t="s">
        <v>769</v>
      </c>
      <c r="C153">
        <v>88.38</v>
      </c>
    </row>
    <row r="154" spans="1:6" x14ac:dyDescent="0.35">
      <c r="A154" t="s">
        <v>883</v>
      </c>
      <c r="B154" t="s">
        <v>934</v>
      </c>
      <c r="C154">
        <v>8.99</v>
      </c>
    </row>
    <row r="155" spans="1:6" x14ac:dyDescent="0.35">
      <c r="C155">
        <v>0</v>
      </c>
      <c r="D155">
        <f>SUM(C142:C154)</f>
        <v>1247.9199999999998</v>
      </c>
      <c r="E155">
        <f>SUM(C2:C154)</f>
        <v>14565.190000000004</v>
      </c>
      <c r="F155" t="s">
        <v>885</v>
      </c>
    </row>
    <row r="156" spans="1:6" x14ac:dyDescent="0.35">
      <c r="A156" t="s">
        <v>902</v>
      </c>
      <c r="B156" t="s">
        <v>588</v>
      </c>
      <c r="C156">
        <v>135</v>
      </c>
    </row>
    <row r="157" spans="1:6" x14ac:dyDescent="0.35">
      <c r="A157" t="s">
        <v>945</v>
      </c>
      <c r="B157" t="s">
        <v>588</v>
      </c>
      <c r="C157">
        <v>100</v>
      </c>
    </row>
    <row r="158" spans="1:6" x14ac:dyDescent="0.35">
      <c r="A158" t="s">
        <v>895</v>
      </c>
      <c r="B158" t="s">
        <v>70</v>
      </c>
      <c r="C158">
        <v>19</v>
      </c>
    </row>
    <row r="159" spans="1:6" x14ac:dyDescent="0.35">
      <c r="A159" t="s">
        <v>895</v>
      </c>
      <c r="B159" t="s">
        <v>598</v>
      </c>
      <c r="C159">
        <v>38.15</v>
      </c>
    </row>
    <row r="160" spans="1:6" x14ac:dyDescent="0.35">
      <c r="A160" t="s">
        <v>895</v>
      </c>
      <c r="B160" t="s">
        <v>169</v>
      </c>
      <c r="C160">
        <v>55.99</v>
      </c>
    </row>
    <row r="161" spans="1:6" x14ac:dyDescent="0.35">
      <c r="A161" t="s">
        <v>976</v>
      </c>
      <c r="B161" t="s">
        <v>170</v>
      </c>
      <c r="C161">
        <v>55</v>
      </c>
    </row>
    <row r="162" spans="1:6" x14ac:dyDescent="0.35">
      <c r="A162" t="s">
        <v>977</v>
      </c>
      <c r="B162" t="s">
        <v>68</v>
      </c>
      <c r="C162">
        <v>82.52</v>
      </c>
    </row>
    <row r="163" spans="1:6" x14ac:dyDescent="0.35">
      <c r="A163" t="s">
        <v>1004</v>
      </c>
      <c r="B163" t="s">
        <v>156</v>
      </c>
      <c r="C163">
        <v>188.34</v>
      </c>
    </row>
    <row r="164" spans="1:6" x14ac:dyDescent="0.35">
      <c r="A164" t="s">
        <v>980</v>
      </c>
      <c r="B164" t="s">
        <v>1049</v>
      </c>
      <c r="C164">
        <v>317.16000000000003</v>
      </c>
    </row>
    <row r="165" spans="1:6" x14ac:dyDescent="0.35">
      <c r="A165" t="s">
        <v>970</v>
      </c>
      <c r="B165" t="s">
        <v>77</v>
      </c>
      <c r="C165">
        <v>80.98</v>
      </c>
    </row>
    <row r="166" spans="1:6" x14ac:dyDescent="0.35">
      <c r="A166" t="s">
        <v>993</v>
      </c>
      <c r="B166" t="s">
        <v>78</v>
      </c>
      <c r="C166">
        <v>179.52</v>
      </c>
    </row>
    <row r="167" spans="1:6" x14ac:dyDescent="0.35">
      <c r="A167" t="s">
        <v>1039</v>
      </c>
      <c r="B167" t="s">
        <v>769</v>
      </c>
      <c r="C167">
        <v>53.26</v>
      </c>
    </row>
    <row r="168" spans="1:6" x14ac:dyDescent="0.35">
      <c r="A168" t="s">
        <v>1013</v>
      </c>
      <c r="B168" t="s">
        <v>68</v>
      </c>
      <c r="C168">
        <v>27.02</v>
      </c>
    </row>
    <row r="169" spans="1:6" x14ac:dyDescent="0.35">
      <c r="A169" t="s">
        <v>994</v>
      </c>
      <c r="B169" t="s">
        <v>1040</v>
      </c>
      <c r="C169">
        <v>262.95</v>
      </c>
    </row>
    <row r="170" spans="1:6" x14ac:dyDescent="0.35">
      <c r="A170" t="s">
        <v>981</v>
      </c>
      <c r="B170" t="s">
        <v>769</v>
      </c>
      <c r="C170">
        <v>167.52</v>
      </c>
    </row>
    <row r="171" spans="1:6" x14ac:dyDescent="0.35">
      <c r="A171" t="s">
        <v>983</v>
      </c>
      <c r="B171" t="s">
        <v>1028</v>
      </c>
      <c r="C171">
        <v>8.99</v>
      </c>
    </row>
    <row r="172" spans="1:6" x14ac:dyDescent="0.35">
      <c r="C172">
        <v>0</v>
      </c>
      <c r="D172">
        <f>SUM(C156:C171)</f>
        <v>1771.4</v>
      </c>
      <c r="E172">
        <f>SUM(C2:C171)</f>
        <v>16336.590000000006</v>
      </c>
      <c r="F172" t="s">
        <v>965</v>
      </c>
    </row>
    <row r="173" spans="1:6" x14ac:dyDescent="0.35">
      <c r="A173" t="s">
        <v>966</v>
      </c>
      <c r="B173" t="s">
        <v>588</v>
      </c>
      <c r="C173">
        <v>135</v>
      </c>
    </row>
    <row r="174" spans="1:6" x14ac:dyDescent="0.35">
      <c r="A174" t="s">
        <v>1000</v>
      </c>
      <c r="B174" t="s">
        <v>588</v>
      </c>
      <c r="C174">
        <v>100</v>
      </c>
    </row>
    <row r="175" spans="1:6" x14ac:dyDescent="0.35">
      <c r="A175" t="s">
        <v>1026</v>
      </c>
      <c r="B175" t="s">
        <v>598</v>
      </c>
      <c r="C175">
        <v>38.15</v>
      </c>
    </row>
    <row r="176" spans="1:6" x14ac:dyDescent="0.35">
      <c r="A176" t="s">
        <v>1060</v>
      </c>
      <c r="B176" t="s">
        <v>169</v>
      </c>
      <c r="C176">
        <v>55.99</v>
      </c>
    </row>
    <row r="177" spans="1:6" x14ac:dyDescent="0.35">
      <c r="A177" t="s">
        <v>1082</v>
      </c>
      <c r="B177" t="s">
        <v>68</v>
      </c>
      <c r="C177">
        <v>85.12</v>
      </c>
    </row>
    <row r="178" spans="1:6" x14ac:dyDescent="0.35">
      <c r="C178">
        <v>0</v>
      </c>
      <c r="E178">
        <f>SUM(C2:C177)</f>
        <v>16750.850000000006</v>
      </c>
      <c r="F178" t="s">
        <v>9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F2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C3">
        <v>0</v>
      </c>
      <c r="D3">
        <f>SUM(C2:C2)</f>
        <v>3</v>
      </c>
      <c r="E3">
        <f>SUM(C2:C2)</f>
        <v>3</v>
      </c>
      <c r="F3" t="s">
        <v>6</v>
      </c>
    </row>
    <row r="4" spans="1:6" x14ac:dyDescent="0.35">
      <c r="A4" t="s">
        <v>47</v>
      </c>
      <c r="B4" t="s">
        <v>92</v>
      </c>
      <c r="C4">
        <v>6</v>
      </c>
    </row>
    <row r="5" spans="1:6" x14ac:dyDescent="0.35">
      <c r="A5" t="s">
        <v>47</v>
      </c>
      <c r="B5" t="s">
        <v>48</v>
      </c>
      <c r="C5">
        <v>49</v>
      </c>
    </row>
    <row r="6" spans="1:6" x14ac:dyDescent="0.35">
      <c r="A6" t="s">
        <v>93</v>
      </c>
      <c r="B6" t="s">
        <v>16</v>
      </c>
      <c r="C6">
        <v>3</v>
      </c>
    </row>
    <row r="7" spans="1:6" x14ac:dyDescent="0.35">
      <c r="C7">
        <v>0</v>
      </c>
      <c r="D7">
        <f>SUM(C4:C6)</f>
        <v>58</v>
      </c>
      <c r="E7">
        <f>SUM(C2:C6)</f>
        <v>61</v>
      </c>
      <c r="F7" t="s">
        <v>89</v>
      </c>
    </row>
    <row r="8" spans="1:6" x14ac:dyDescent="0.35">
      <c r="A8" t="s">
        <v>118</v>
      </c>
      <c r="B8" t="s">
        <v>136</v>
      </c>
      <c r="C8">
        <v>8.75</v>
      </c>
    </row>
    <row r="9" spans="1:6" x14ac:dyDescent="0.35">
      <c r="A9" t="s">
        <v>118</v>
      </c>
      <c r="B9" t="s">
        <v>136</v>
      </c>
      <c r="C9">
        <v>16.53</v>
      </c>
    </row>
    <row r="10" spans="1:6" x14ac:dyDescent="0.35">
      <c r="A10" t="s">
        <v>192</v>
      </c>
      <c r="B10" t="s">
        <v>193</v>
      </c>
      <c r="C10">
        <v>11</v>
      </c>
    </row>
    <row r="11" spans="1:6" x14ac:dyDescent="0.35">
      <c r="A11" t="s">
        <v>251</v>
      </c>
      <c r="B11" t="s">
        <v>261</v>
      </c>
      <c r="C11">
        <v>12</v>
      </c>
    </row>
    <row r="12" spans="1:6" x14ac:dyDescent="0.35">
      <c r="A12" t="s">
        <v>189</v>
      </c>
      <c r="B12" t="s">
        <v>16</v>
      </c>
      <c r="C12">
        <v>3</v>
      </c>
    </row>
    <row r="13" spans="1:6" x14ac:dyDescent="0.35">
      <c r="A13" t="s">
        <v>194</v>
      </c>
      <c r="B13" t="s">
        <v>16</v>
      </c>
      <c r="C13">
        <v>3</v>
      </c>
    </row>
    <row r="14" spans="1:6" x14ac:dyDescent="0.35">
      <c r="A14" t="s">
        <v>351</v>
      </c>
      <c r="B14" t="s">
        <v>380</v>
      </c>
      <c r="C14">
        <v>16.53</v>
      </c>
    </row>
    <row r="15" spans="1:6" x14ac:dyDescent="0.35">
      <c r="A15" t="s">
        <v>354</v>
      </c>
      <c r="B15" t="s">
        <v>16</v>
      </c>
      <c r="C15">
        <v>3</v>
      </c>
    </row>
    <row r="16" spans="1:6" x14ac:dyDescent="0.35">
      <c r="A16" t="s">
        <v>519</v>
      </c>
      <c r="B16" t="s">
        <v>16</v>
      </c>
      <c r="C16">
        <v>3</v>
      </c>
    </row>
    <row r="17" spans="1:6" x14ac:dyDescent="0.35">
      <c r="A17" t="s">
        <v>612</v>
      </c>
      <c r="B17" t="s">
        <v>658</v>
      </c>
      <c r="C17">
        <v>56.16</v>
      </c>
    </row>
    <row r="18" spans="1:6" x14ac:dyDescent="0.35">
      <c r="C18">
        <v>0</v>
      </c>
      <c r="D18">
        <f>SUM(C8:C17)</f>
        <v>132.97</v>
      </c>
      <c r="E18">
        <f>SUM(C2:C17)</f>
        <v>193.97</v>
      </c>
      <c r="F18" t="s">
        <v>614</v>
      </c>
    </row>
    <row r="19" spans="1:6" x14ac:dyDescent="0.35">
      <c r="A19" t="s">
        <v>744</v>
      </c>
      <c r="B19" t="s">
        <v>747</v>
      </c>
      <c r="C19">
        <v>160.44999999999999</v>
      </c>
    </row>
    <row r="20" spans="1:6" x14ac:dyDescent="0.35">
      <c r="C20">
        <v>0</v>
      </c>
      <c r="D20">
        <f>SUM(C19:C19)</f>
        <v>160.44999999999999</v>
      </c>
      <c r="E20">
        <f>SUM(C2:C19)</f>
        <v>354.41999999999996</v>
      </c>
      <c r="F20" t="s">
        <v>699</v>
      </c>
    </row>
    <row r="21" spans="1:6" x14ac:dyDescent="0.35">
      <c r="A21" t="s">
        <v>785</v>
      </c>
      <c r="B21" t="s">
        <v>16</v>
      </c>
      <c r="C21">
        <v>3</v>
      </c>
    </row>
    <row r="22" spans="1:6" x14ac:dyDescent="0.35">
      <c r="C22">
        <v>0</v>
      </c>
      <c r="D22">
        <f>SUM(C21:C21)</f>
        <v>3</v>
      </c>
      <c r="E22">
        <f>SUM(C2:C21)</f>
        <v>357.41999999999996</v>
      </c>
      <c r="F22" t="s">
        <v>796</v>
      </c>
    </row>
    <row r="23" spans="1:6" x14ac:dyDescent="0.35">
      <c r="A23" t="s">
        <v>797</v>
      </c>
      <c r="B23" t="s">
        <v>16</v>
      </c>
      <c r="C23">
        <v>3</v>
      </c>
    </row>
    <row r="24" spans="1:6" x14ac:dyDescent="0.35">
      <c r="C24">
        <v>0</v>
      </c>
      <c r="D24">
        <f>SUM(C23:C23)</f>
        <v>3</v>
      </c>
      <c r="E24">
        <f>SUM(C2:C23)</f>
        <v>360.41999999999996</v>
      </c>
      <c r="F24" t="s">
        <v>965</v>
      </c>
    </row>
    <row r="25" spans="1:6" x14ac:dyDescent="0.35">
      <c r="A25" t="s">
        <v>973</v>
      </c>
      <c r="B25" t="s">
        <v>16</v>
      </c>
      <c r="C25">
        <v>3</v>
      </c>
    </row>
    <row r="26" spans="1:6" x14ac:dyDescent="0.35">
      <c r="C26">
        <v>0</v>
      </c>
      <c r="E26">
        <f>SUM(C2:C25)</f>
        <v>363.41999999999996</v>
      </c>
      <c r="F26" t="s">
        <v>9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F328"/>
  <sheetViews>
    <sheetView topLeftCell="C320" workbookViewId="0">
      <selection activeCell="E328" sqref="E328"/>
    </sheetView>
  </sheetViews>
  <sheetFormatPr defaultRowHeight="14.5" x14ac:dyDescent="0.35"/>
  <cols>
    <col min="2" max="2" width="160.816406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16</v>
      </c>
      <c r="C2">
        <v>3</v>
      </c>
    </row>
    <row r="3" spans="1:6" x14ac:dyDescent="0.35">
      <c r="A3" t="s">
        <v>58</v>
      </c>
      <c r="B3" t="s">
        <v>79</v>
      </c>
      <c r="C3">
        <v>6.84</v>
      </c>
    </row>
    <row r="4" spans="1:6" x14ac:dyDescent="0.35">
      <c r="A4" t="s">
        <v>58</v>
      </c>
      <c r="B4" t="s">
        <v>79</v>
      </c>
      <c r="C4">
        <v>8.1199999999999992</v>
      </c>
    </row>
    <row r="5" spans="1:6" x14ac:dyDescent="0.35">
      <c r="A5" t="s">
        <v>24</v>
      </c>
      <c r="B5" t="s">
        <v>25</v>
      </c>
      <c r="C5">
        <v>136.68</v>
      </c>
    </row>
    <row r="6" spans="1:6" x14ac:dyDescent="0.35">
      <c r="A6" t="s">
        <v>26</v>
      </c>
      <c r="B6" t="s">
        <v>79</v>
      </c>
      <c r="C6">
        <v>16.989999999999998</v>
      </c>
    </row>
    <row r="7" spans="1:6" x14ac:dyDescent="0.35">
      <c r="A7" t="s">
        <v>26</v>
      </c>
      <c r="B7" t="s">
        <v>28</v>
      </c>
      <c r="C7">
        <v>1.97</v>
      </c>
    </row>
    <row r="8" spans="1:6" x14ac:dyDescent="0.35">
      <c r="A8" t="s">
        <v>26</v>
      </c>
      <c r="B8" t="s">
        <v>54</v>
      </c>
      <c r="C8">
        <v>24.97</v>
      </c>
    </row>
    <row r="9" spans="1:6" x14ac:dyDescent="0.35">
      <c r="A9" t="s">
        <v>38</v>
      </c>
      <c r="B9" t="s">
        <v>57</v>
      </c>
      <c r="C9">
        <v>21.33</v>
      </c>
    </row>
    <row r="10" spans="1:6" x14ac:dyDescent="0.35">
      <c r="A10" t="s">
        <v>38</v>
      </c>
      <c r="B10" t="s">
        <v>55</v>
      </c>
      <c r="C10">
        <v>8.6999999999999993</v>
      </c>
    </row>
    <row r="11" spans="1:6" x14ac:dyDescent="0.35">
      <c r="C11">
        <v>0</v>
      </c>
      <c r="D11">
        <f>SUM(C2:C10)</f>
        <v>228.60000000000002</v>
      </c>
      <c r="E11">
        <f>SUM(C2:C10)</f>
        <v>228.60000000000002</v>
      </c>
      <c r="F11" t="s">
        <v>6</v>
      </c>
    </row>
    <row r="12" spans="1:6" x14ac:dyDescent="0.35">
      <c r="A12" t="s">
        <v>21</v>
      </c>
      <c r="B12" t="s">
        <v>80</v>
      </c>
      <c r="C12">
        <v>20</v>
      </c>
    </row>
    <row r="13" spans="1:6" x14ac:dyDescent="0.35">
      <c r="A13" t="s">
        <v>62</v>
      </c>
      <c r="B13" t="s">
        <v>79</v>
      </c>
      <c r="C13">
        <v>9.99</v>
      </c>
    </row>
    <row r="14" spans="1:6" x14ac:dyDescent="0.35">
      <c r="A14" t="s">
        <v>47</v>
      </c>
      <c r="B14" t="s">
        <v>92</v>
      </c>
      <c r="C14">
        <v>6</v>
      </c>
    </row>
    <row r="15" spans="1:6" x14ac:dyDescent="0.35">
      <c r="A15" t="s">
        <v>99</v>
      </c>
      <c r="B15" t="s">
        <v>100</v>
      </c>
      <c r="C15">
        <v>27.75</v>
      </c>
    </row>
    <row r="16" spans="1:6" x14ac:dyDescent="0.35">
      <c r="A16" t="s">
        <v>93</v>
      </c>
      <c r="B16" t="s">
        <v>16</v>
      </c>
      <c r="C16">
        <v>3</v>
      </c>
    </row>
    <row r="17" spans="1:6" x14ac:dyDescent="0.35">
      <c r="A17" t="s">
        <v>10</v>
      </c>
      <c r="B17" t="s">
        <v>146</v>
      </c>
      <c r="C17">
        <v>29.53</v>
      </c>
    </row>
    <row r="18" spans="1:6" x14ac:dyDescent="0.35">
      <c r="A18" t="s">
        <v>125</v>
      </c>
      <c r="B18" t="s">
        <v>126</v>
      </c>
      <c r="C18">
        <v>7</v>
      </c>
    </row>
    <row r="19" spans="1:6" x14ac:dyDescent="0.35">
      <c r="A19" t="s">
        <v>157</v>
      </c>
      <c r="B19" t="s">
        <v>168</v>
      </c>
      <c r="C19">
        <v>20.2</v>
      </c>
    </row>
    <row r="20" spans="1:6" x14ac:dyDescent="0.35">
      <c r="A20" t="s">
        <v>87</v>
      </c>
      <c r="B20" t="s">
        <v>80</v>
      </c>
      <c r="C20">
        <v>20</v>
      </c>
    </row>
    <row r="21" spans="1:6" x14ac:dyDescent="0.35">
      <c r="A21" t="s">
        <v>121</v>
      </c>
      <c r="B21" t="s">
        <v>79</v>
      </c>
      <c r="C21">
        <v>4.6399999999999997</v>
      </c>
    </row>
    <row r="22" spans="1:6" x14ac:dyDescent="0.35">
      <c r="A22" t="s">
        <v>121</v>
      </c>
      <c r="B22" t="s">
        <v>140</v>
      </c>
      <c r="C22">
        <v>42.13</v>
      </c>
    </row>
    <row r="23" spans="1:6" x14ac:dyDescent="0.35">
      <c r="A23" t="s">
        <v>115</v>
      </c>
      <c r="B23" t="s">
        <v>134</v>
      </c>
      <c r="C23">
        <v>6.05</v>
      </c>
    </row>
    <row r="24" spans="1:6" x14ac:dyDescent="0.35">
      <c r="A24" t="s">
        <v>129</v>
      </c>
      <c r="B24" t="s">
        <v>134</v>
      </c>
      <c r="C24">
        <v>6.16</v>
      </c>
    </row>
    <row r="25" spans="1:6" x14ac:dyDescent="0.35">
      <c r="A25" t="s">
        <v>135</v>
      </c>
      <c r="B25" t="s">
        <v>134</v>
      </c>
      <c r="C25">
        <v>6.23</v>
      </c>
    </row>
    <row r="26" spans="1:6" x14ac:dyDescent="0.35">
      <c r="A26" t="s">
        <v>135</v>
      </c>
      <c r="B26" t="s">
        <v>148</v>
      </c>
      <c r="C26">
        <v>31.74</v>
      </c>
    </row>
    <row r="27" spans="1:6" x14ac:dyDescent="0.35">
      <c r="A27" t="s">
        <v>101</v>
      </c>
      <c r="B27" t="s">
        <v>172</v>
      </c>
      <c r="C27">
        <v>54.83</v>
      </c>
    </row>
    <row r="28" spans="1:6" x14ac:dyDescent="0.35">
      <c r="C28">
        <v>0</v>
      </c>
      <c r="D28">
        <f>SUM(C12:C27)</f>
        <v>295.25</v>
      </c>
      <c r="E28">
        <f>SUM(C2:C27)</f>
        <v>523.85</v>
      </c>
      <c r="F28" t="s">
        <v>89</v>
      </c>
    </row>
    <row r="29" spans="1:6" x14ac:dyDescent="0.35">
      <c r="A29" t="s">
        <v>118</v>
      </c>
      <c r="B29" t="s">
        <v>79</v>
      </c>
      <c r="C29">
        <v>18.97</v>
      </c>
    </row>
    <row r="30" spans="1:6" x14ac:dyDescent="0.35">
      <c r="A30" t="s">
        <v>192</v>
      </c>
      <c r="B30" t="s">
        <v>134</v>
      </c>
      <c r="C30">
        <v>4.24</v>
      </c>
    </row>
    <row r="31" spans="1:6" x14ac:dyDescent="0.35">
      <c r="A31" t="s">
        <v>192</v>
      </c>
      <c r="B31" t="s">
        <v>134</v>
      </c>
      <c r="C31">
        <v>9.74</v>
      </c>
    </row>
    <row r="32" spans="1:6" x14ac:dyDescent="0.35">
      <c r="A32" t="s">
        <v>192</v>
      </c>
      <c r="B32" t="s">
        <v>193</v>
      </c>
      <c r="C32">
        <v>11</v>
      </c>
    </row>
    <row r="33" spans="1:3" x14ac:dyDescent="0.35">
      <c r="A33" t="s">
        <v>204</v>
      </c>
      <c r="B33" t="s">
        <v>238</v>
      </c>
      <c r="C33">
        <v>34.479999999999997</v>
      </c>
    </row>
    <row r="34" spans="1:3" x14ac:dyDescent="0.35">
      <c r="A34" t="s">
        <v>184</v>
      </c>
      <c r="B34" t="s">
        <v>195</v>
      </c>
      <c r="C34">
        <v>5.55</v>
      </c>
    </row>
    <row r="35" spans="1:3" x14ac:dyDescent="0.35">
      <c r="A35" t="s">
        <v>173</v>
      </c>
      <c r="B35" t="s">
        <v>80</v>
      </c>
      <c r="C35">
        <v>20</v>
      </c>
    </row>
    <row r="36" spans="1:3" x14ac:dyDescent="0.35">
      <c r="A36" t="s">
        <v>207</v>
      </c>
      <c r="B36" t="s">
        <v>265</v>
      </c>
      <c r="C36">
        <v>3.65</v>
      </c>
    </row>
    <row r="37" spans="1:3" x14ac:dyDescent="0.35">
      <c r="A37" t="s">
        <v>207</v>
      </c>
      <c r="B37" t="s">
        <v>266</v>
      </c>
      <c r="C37">
        <v>3.27</v>
      </c>
    </row>
    <row r="38" spans="1:3" x14ac:dyDescent="0.35">
      <c r="A38" t="s">
        <v>251</v>
      </c>
      <c r="B38" t="s">
        <v>261</v>
      </c>
      <c r="C38">
        <v>12</v>
      </c>
    </row>
    <row r="39" spans="1:3" x14ac:dyDescent="0.35">
      <c r="A39" t="s">
        <v>228</v>
      </c>
      <c r="B39" t="s">
        <v>134</v>
      </c>
      <c r="C39">
        <v>6.43</v>
      </c>
    </row>
    <row r="40" spans="1:3" x14ac:dyDescent="0.35">
      <c r="A40" t="s">
        <v>208</v>
      </c>
      <c r="B40" t="s">
        <v>134</v>
      </c>
      <c r="C40">
        <v>6.49</v>
      </c>
    </row>
    <row r="41" spans="1:3" x14ac:dyDescent="0.35">
      <c r="A41" t="s">
        <v>208</v>
      </c>
      <c r="B41" t="s">
        <v>239</v>
      </c>
      <c r="C41">
        <v>895</v>
      </c>
    </row>
    <row r="42" spans="1:3" x14ac:dyDescent="0.35">
      <c r="A42" t="s">
        <v>189</v>
      </c>
      <c r="B42" t="s">
        <v>16</v>
      </c>
      <c r="C42">
        <v>3</v>
      </c>
    </row>
    <row r="43" spans="1:3" x14ac:dyDescent="0.35">
      <c r="A43" t="s">
        <v>221</v>
      </c>
      <c r="B43" t="s">
        <v>240</v>
      </c>
      <c r="C43">
        <v>36.659999999999997</v>
      </c>
    </row>
    <row r="44" spans="1:3" x14ac:dyDescent="0.35">
      <c r="A44" t="s">
        <v>196</v>
      </c>
      <c r="B44" t="s">
        <v>134</v>
      </c>
      <c r="C44">
        <v>6.38</v>
      </c>
    </row>
    <row r="45" spans="1:3" x14ac:dyDescent="0.35">
      <c r="A45" t="s">
        <v>210</v>
      </c>
      <c r="B45" t="s">
        <v>80</v>
      </c>
      <c r="C45">
        <v>20</v>
      </c>
    </row>
    <row r="46" spans="1:3" x14ac:dyDescent="0.35">
      <c r="A46" t="s">
        <v>210</v>
      </c>
      <c r="B46" t="s">
        <v>134</v>
      </c>
      <c r="C46">
        <v>6.27</v>
      </c>
    </row>
    <row r="47" spans="1:3" x14ac:dyDescent="0.35">
      <c r="A47" t="s">
        <v>194</v>
      </c>
      <c r="B47" t="s">
        <v>134</v>
      </c>
      <c r="C47">
        <v>6.46</v>
      </c>
    </row>
    <row r="48" spans="1:3" x14ac:dyDescent="0.35">
      <c r="A48" t="s">
        <v>194</v>
      </c>
      <c r="B48" t="s">
        <v>16</v>
      </c>
      <c r="C48">
        <v>3</v>
      </c>
    </row>
    <row r="49" spans="1:6" x14ac:dyDescent="0.35">
      <c r="A49" t="s">
        <v>194</v>
      </c>
      <c r="B49" t="s">
        <v>244</v>
      </c>
      <c r="C49">
        <v>895</v>
      </c>
    </row>
    <row r="50" spans="1:6" x14ac:dyDescent="0.35">
      <c r="A50" t="s">
        <v>194</v>
      </c>
      <c r="B50" t="s">
        <v>243</v>
      </c>
      <c r="C50">
        <v>849</v>
      </c>
    </row>
    <row r="51" spans="1:6" x14ac:dyDescent="0.35">
      <c r="A51" t="s">
        <v>194</v>
      </c>
      <c r="B51" t="s">
        <v>242</v>
      </c>
      <c r="C51">
        <v>849</v>
      </c>
    </row>
    <row r="52" spans="1:6" x14ac:dyDescent="0.35">
      <c r="A52" t="s">
        <v>194</v>
      </c>
      <c r="B52" t="s">
        <v>241</v>
      </c>
      <c r="C52">
        <v>285</v>
      </c>
    </row>
    <row r="53" spans="1:6" x14ac:dyDescent="0.35">
      <c r="A53" t="s">
        <v>213</v>
      </c>
      <c r="B53" t="s">
        <v>134</v>
      </c>
      <c r="C53">
        <v>5.9</v>
      </c>
    </row>
    <row r="54" spans="1:6" x14ac:dyDescent="0.35">
      <c r="A54" t="s">
        <v>213</v>
      </c>
      <c r="B54" t="s">
        <v>134</v>
      </c>
      <c r="C54">
        <v>6.49</v>
      </c>
    </row>
    <row r="55" spans="1:6" x14ac:dyDescent="0.35">
      <c r="A55" t="s">
        <v>180</v>
      </c>
      <c r="B55" t="s">
        <v>134</v>
      </c>
      <c r="C55">
        <v>6.41</v>
      </c>
    </row>
    <row r="56" spans="1:6" x14ac:dyDescent="0.35">
      <c r="A56" t="s">
        <v>180</v>
      </c>
      <c r="B56" t="s">
        <v>126</v>
      </c>
      <c r="C56">
        <v>7</v>
      </c>
    </row>
    <row r="57" spans="1:6" x14ac:dyDescent="0.35">
      <c r="A57" t="s">
        <v>220</v>
      </c>
      <c r="B57" t="s">
        <v>268</v>
      </c>
      <c r="C57">
        <v>7.96</v>
      </c>
    </row>
    <row r="58" spans="1:6" x14ac:dyDescent="0.35">
      <c r="A58" t="s">
        <v>220</v>
      </c>
      <c r="B58" t="s">
        <v>134</v>
      </c>
      <c r="C58">
        <v>6.53</v>
      </c>
    </row>
    <row r="59" spans="1:6" x14ac:dyDescent="0.35">
      <c r="C59">
        <v>0</v>
      </c>
      <c r="D59">
        <f>SUM(C29:C58)</f>
        <v>4030.88</v>
      </c>
      <c r="E59">
        <f>SUM(C2:C58)</f>
        <v>4554.7299999999996</v>
      </c>
      <c r="F59" t="s">
        <v>200</v>
      </c>
    </row>
    <row r="60" spans="1:6" x14ac:dyDescent="0.35">
      <c r="A60" t="s">
        <v>201</v>
      </c>
      <c r="B60" t="s">
        <v>134</v>
      </c>
      <c r="C60">
        <v>5.88</v>
      </c>
    </row>
    <row r="61" spans="1:6" x14ac:dyDescent="0.35">
      <c r="A61" t="s">
        <v>214</v>
      </c>
      <c r="B61" t="s">
        <v>269</v>
      </c>
      <c r="C61">
        <v>35.94</v>
      </c>
    </row>
    <row r="62" spans="1:6" x14ac:dyDescent="0.35">
      <c r="A62" t="s">
        <v>214</v>
      </c>
      <c r="B62" t="s">
        <v>134</v>
      </c>
      <c r="C62">
        <v>25.5</v>
      </c>
    </row>
    <row r="63" spans="1:6" x14ac:dyDescent="0.35">
      <c r="A63" t="s">
        <v>214</v>
      </c>
      <c r="B63" t="s">
        <v>230</v>
      </c>
      <c r="C63">
        <v>17.25</v>
      </c>
    </row>
    <row r="64" spans="1:6" x14ac:dyDescent="0.35">
      <c r="A64" t="s">
        <v>214</v>
      </c>
      <c r="B64" t="s">
        <v>245</v>
      </c>
      <c r="C64">
        <v>36.200000000000003</v>
      </c>
    </row>
    <row r="65" spans="1:6" x14ac:dyDescent="0.35">
      <c r="A65" t="s">
        <v>246</v>
      </c>
      <c r="B65" t="s">
        <v>247</v>
      </c>
      <c r="C65">
        <v>359.02</v>
      </c>
    </row>
    <row r="66" spans="1:6" x14ac:dyDescent="0.35">
      <c r="A66" t="s">
        <v>289</v>
      </c>
      <c r="B66" t="s">
        <v>307</v>
      </c>
      <c r="C66">
        <v>10</v>
      </c>
    </row>
    <row r="67" spans="1:6" x14ac:dyDescent="0.35">
      <c r="A67" t="s">
        <v>309</v>
      </c>
      <c r="B67" t="s">
        <v>315</v>
      </c>
      <c r="C67">
        <v>19.100000000000001</v>
      </c>
    </row>
    <row r="68" spans="1:6" x14ac:dyDescent="0.35">
      <c r="A68" t="s">
        <v>311</v>
      </c>
      <c r="B68" t="s">
        <v>316</v>
      </c>
      <c r="C68">
        <v>20.29</v>
      </c>
    </row>
    <row r="69" spans="1:6" x14ac:dyDescent="0.35">
      <c r="A69" t="s">
        <v>299</v>
      </c>
      <c r="B69" t="s">
        <v>316</v>
      </c>
      <c r="C69">
        <v>78.239999999999995</v>
      </c>
    </row>
    <row r="70" spans="1:6" x14ac:dyDescent="0.35">
      <c r="A70" t="s">
        <v>291</v>
      </c>
      <c r="B70" t="s">
        <v>323</v>
      </c>
      <c r="C70">
        <v>216.82</v>
      </c>
    </row>
    <row r="71" spans="1:6" x14ac:dyDescent="0.35">
      <c r="A71" t="s">
        <v>321</v>
      </c>
      <c r="B71" t="s">
        <v>324</v>
      </c>
      <c r="C71">
        <v>145.77000000000001</v>
      </c>
    </row>
    <row r="72" spans="1:6" x14ac:dyDescent="0.35">
      <c r="C72">
        <v>0</v>
      </c>
      <c r="D72">
        <f>SUM(C60:C71)</f>
        <v>970.01</v>
      </c>
      <c r="E72">
        <f>SUM(C2:C71)</f>
        <v>5524.7399999999989</v>
      </c>
      <c r="F72" t="s">
        <v>282</v>
      </c>
    </row>
    <row r="73" spans="1:6" x14ac:dyDescent="0.35">
      <c r="A73" t="s">
        <v>325</v>
      </c>
      <c r="B73" t="s">
        <v>326</v>
      </c>
      <c r="C73">
        <v>40.770000000000003</v>
      </c>
    </row>
    <row r="74" spans="1:6" x14ac:dyDescent="0.35">
      <c r="A74" t="s">
        <v>387</v>
      </c>
      <c r="B74" t="s">
        <v>388</v>
      </c>
      <c r="C74">
        <v>231.11</v>
      </c>
    </row>
    <row r="75" spans="1:6" x14ac:dyDescent="0.35">
      <c r="A75" t="s">
        <v>335</v>
      </c>
      <c r="B75" t="s">
        <v>378</v>
      </c>
      <c r="C75">
        <v>75</v>
      </c>
    </row>
    <row r="76" spans="1:6" x14ac:dyDescent="0.35">
      <c r="A76" t="s">
        <v>389</v>
      </c>
      <c r="B76" t="s">
        <v>390</v>
      </c>
      <c r="C76">
        <v>43.49</v>
      </c>
    </row>
    <row r="77" spans="1:6" x14ac:dyDescent="0.35">
      <c r="A77" t="s">
        <v>396</v>
      </c>
      <c r="B77" t="s">
        <v>79</v>
      </c>
      <c r="C77">
        <v>25.37</v>
      </c>
    </row>
    <row r="78" spans="1:6" x14ac:dyDescent="0.35">
      <c r="A78" t="s">
        <v>352</v>
      </c>
      <c r="B78" t="s">
        <v>80</v>
      </c>
      <c r="C78">
        <v>20</v>
      </c>
    </row>
    <row r="79" spans="1:6" x14ac:dyDescent="0.35">
      <c r="A79" t="s">
        <v>352</v>
      </c>
      <c r="B79" t="s">
        <v>79</v>
      </c>
      <c r="C79">
        <v>5.47</v>
      </c>
    </row>
    <row r="80" spans="1:6" x14ac:dyDescent="0.35">
      <c r="A80" t="s">
        <v>352</v>
      </c>
      <c r="B80" t="s">
        <v>404</v>
      </c>
      <c r="C80">
        <v>12.14</v>
      </c>
    </row>
    <row r="81" spans="1:6" x14ac:dyDescent="0.35">
      <c r="A81" t="s">
        <v>352</v>
      </c>
      <c r="B81" t="s">
        <v>134</v>
      </c>
      <c r="C81">
        <v>5.78</v>
      </c>
    </row>
    <row r="82" spans="1:6" x14ac:dyDescent="0.35">
      <c r="A82" t="s">
        <v>353</v>
      </c>
      <c r="B82" t="s">
        <v>134</v>
      </c>
      <c r="C82">
        <v>6.1</v>
      </c>
    </row>
    <row r="83" spans="1:6" x14ac:dyDescent="0.35">
      <c r="A83" t="s">
        <v>353</v>
      </c>
      <c r="B83" t="s">
        <v>134</v>
      </c>
      <c r="C83">
        <v>7</v>
      </c>
    </row>
    <row r="84" spans="1:6" x14ac:dyDescent="0.35">
      <c r="A84" t="s">
        <v>354</v>
      </c>
      <c r="B84" t="s">
        <v>16</v>
      </c>
      <c r="C84">
        <v>3</v>
      </c>
    </row>
    <row r="85" spans="1:6" x14ac:dyDescent="0.35">
      <c r="A85" t="s">
        <v>372</v>
      </c>
      <c r="B85" t="s">
        <v>391</v>
      </c>
      <c r="C85">
        <v>43.04</v>
      </c>
    </row>
    <row r="86" spans="1:6" x14ac:dyDescent="0.35">
      <c r="A86" t="s">
        <v>373</v>
      </c>
      <c r="B86" t="s">
        <v>79</v>
      </c>
      <c r="C86">
        <v>8.6</v>
      </c>
    </row>
    <row r="87" spans="1:6" x14ac:dyDescent="0.35">
      <c r="A87" t="s">
        <v>355</v>
      </c>
      <c r="B87" t="s">
        <v>134</v>
      </c>
      <c r="C87">
        <v>6.48</v>
      </c>
    </row>
    <row r="88" spans="1:6" x14ac:dyDescent="0.35">
      <c r="A88" t="s">
        <v>355</v>
      </c>
      <c r="B88" t="s">
        <v>134</v>
      </c>
      <c r="C88">
        <v>6.77</v>
      </c>
    </row>
    <row r="89" spans="1:6" x14ac:dyDescent="0.35">
      <c r="A89" t="s">
        <v>381</v>
      </c>
      <c r="B89" t="s">
        <v>134</v>
      </c>
      <c r="C89">
        <v>6.21</v>
      </c>
    </row>
    <row r="90" spans="1:6" x14ac:dyDescent="0.35">
      <c r="A90" t="s">
        <v>381</v>
      </c>
      <c r="B90" t="s">
        <v>134</v>
      </c>
      <c r="C90">
        <v>8.5299999999999994</v>
      </c>
    </row>
    <row r="91" spans="1:6" x14ac:dyDescent="0.35">
      <c r="A91" t="s">
        <v>345</v>
      </c>
      <c r="B91" t="s">
        <v>80</v>
      </c>
      <c r="C91">
        <v>20</v>
      </c>
    </row>
    <row r="92" spans="1:6" x14ac:dyDescent="0.35">
      <c r="C92">
        <v>0</v>
      </c>
      <c r="D92">
        <f>SUM(C73:C91)</f>
        <v>574.86</v>
      </c>
      <c r="E92">
        <f>SUM(C2:C91)</f>
        <v>6099.5999999999995</v>
      </c>
      <c r="F92" t="s">
        <v>347</v>
      </c>
    </row>
    <row r="93" spans="1:6" x14ac:dyDescent="0.35">
      <c r="A93" t="s">
        <v>358</v>
      </c>
      <c r="B93" t="s">
        <v>100</v>
      </c>
      <c r="C93">
        <v>27.75</v>
      </c>
    </row>
    <row r="94" spans="1:6" x14ac:dyDescent="0.35">
      <c r="A94" t="s">
        <v>392</v>
      </c>
      <c r="B94" t="s">
        <v>393</v>
      </c>
      <c r="C94">
        <v>0</v>
      </c>
    </row>
    <row r="95" spans="1:6" x14ac:dyDescent="0.35">
      <c r="A95" t="s">
        <v>471</v>
      </c>
      <c r="B95" t="s">
        <v>80</v>
      </c>
      <c r="C95">
        <v>20</v>
      </c>
    </row>
    <row r="96" spans="1:6" x14ac:dyDescent="0.35">
      <c r="A96" t="s">
        <v>446</v>
      </c>
      <c r="B96" t="s">
        <v>134</v>
      </c>
      <c r="C96">
        <v>6.68</v>
      </c>
    </row>
    <row r="97" spans="1:3" x14ac:dyDescent="0.35">
      <c r="A97" t="s">
        <v>446</v>
      </c>
      <c r="B97" t="s">
        <v>134</v>
      </c>
      <c r="C97">
        <v>6.7</v>
      </c>
    </row>
    <row r="98" spans="1:3" x14ac:dyDescent="0.35">
      <c r="A98" t="s">
        <v>423</v>
      </c>
      <c r="B98" t="s">
        <v>100</v>
      </c>
      <c r="C98">
        <v>27.75</v>
      </c>
    </row>
    <row r="99" spans="1:3" x14ac:dyDescent="0.35">
      <c r="A99" t="s">
        <v>423</v>
      </c>
      <c r="B99" t="s">
        <v>134</v>
      </c>
      <c r="C99">
        <v>6.12</v>
      </c>
    </row>
    <row r="100" spans="1:3" x14ac:dyDescent="0.35">
      <c r="A100" t="s">
        <v>423</v>
      </c>
      <c r="B100" t="s">
        <v>134</v>
      </c>
      <c r="C100">
        <v>6.79</v>
      </c>
    </row>
    <row r="101" spans="1:3" x14ac:dyDescent="0.35">
      <c r="A101" t="s">
        <v>485</v>
      </c>
      <c r="B101" t="s">
        <v>80</v>
      </c>
      <c r="C101">
        <v>20</v>
      </c>
    </row>
    <row r="102" spans="1:3" x14ac:dyDescent="0.35">
      <c r="A102" t="s">
        <v>450</v>
      </c>
      <c r="B102" t="s">
        <v>134</v>
      </c>
      <c r="C102">
        <v>6.17</v>
      </c>
    </row>
    <row r="103" spans="1:3" x14ac:dyDescent="0.35">
      <c r="A103" t="s">
        <v>450</v>
      </c>
      <c r="B103" t="s">
        <v>134</v>
      </c>
      <c r="C103">
        <v>6.63</v>
      </c>
    </row>
    <row r="104" spans="1:3" x14ac:dyDescent="0.35">
      <c r="A104" t="s">
        <v>348</v>
      </c>
      <c r="B104" t="s">
        <v>79</v>
      </c>
      <c r="C104">
        <v>4.22</v>
      </c>
    </row>
    <row r="105" spans="1:3" x14ac:dyDescent="0.35">
      <c r="A105" t="s">
        <v>348</v>
      </c>
      <c r="B105" t="s">
        <v>468</v>
      </c>
      <c r="C105">
        <v>42.27</v>
      </c>
    </row>
    <row r="106" spans="1:3" x14ac:dyDescent="0.35">
      <c r="A106" t="s">
        <v>348</v>
      </c>
      <c r="B106" t="s">
        <v>134</v>
      </c>
      <c r="C106">
        <v>6.17</v>
      </c>
    </row>
    <row r="107" spans="1:3" x14ac:dyDescent="0.35">
      <c r="A107" t="s">
        <v>348</v>
      </c>
      <c r="B107" t="s">
        <v>134</v>
      </c>
      <c r="C107">
        <v>6.83</v>
      </c>
    </row>
    <row r="108" spans="1:3" x14ac:dyDescent="0.35">
      <c r="A108" t="s">
        <v>439</v>
      </c>
      <c r="B108" t="s">
        <v>134</v>
      </c>
      <c r="C108">
        <v>6.77</v>
      </c>
    </row>
    <row r="109" spans="1:3" x14ac:dyDescent="0.35">
      <c r="A109" t="s">
        <v>439</v>
      </c>
      <c r="B109" t="s">
        <v>307</v>
      </c>
      <c r="C109">
        <v>10</v>
      </c>
    </row>
    <row r="110" spans="1:3" x14ac:dyDescent="0.35">
      <c r="A110" t="s">
        <v>448</v>
      </c>
      <c r="B110" t="s">
        <v>80</v>
      </c>
      <c r="C110">
        <v>20</v>
      </c>
    </row>
    <row r="111" spans="1:3" x14ac:dyDescent="0.35">
      <c r="A111" t="s">
        <v>448</v>
      </c>
      <c r="B111" t="s">
        <v>126</v>
      </c>
      <c r="C111">
        <v>7</v>
      </c>
    </row>
    <row r="112" spans="1:3" x14ac:dyDescent="0.35">
      <c r="A112" t="s">
        <v>458</v>
      </c>
      <c r="B112" t="s">
        <v>134</v>
      </c>
      <c r="C112">
        <v>6.09</v>
      </c>
    </row>
    <row r="113" spans="1:6" x14ac:dyDescent="0.35">
      <c r="A113" t="s">
        <v>458</v>
      </c>
      <c r="B113" t="s">
        <v>134</v>
      </c>
      <c r="C113">
        <v>6.84</v>
      </c>
    </row>
    <row r="114" spans="1:6" x14ac:dyDescent="0.35">
      <c r="A114" t="s">
        <v>459</v>
      </c>
      <c r="B114" t="s">
        <v>469</v>
      </c>
      <c r="C114">
        <v>42.5</v>
      </c>
    </row>
    <row r="115" spans="1:6" x14ac:dyDescent="0.35">
      <c r="A115" t="s">
        <v>431</v>
      </c>
      <c r="B115" t="s">
        <v>168</v>
      </c>
      <c r="C115">
        <v>17</v>
      </c>
    </row>
    <row r="116" spans="1:6" x14ac:dyDescent="0.35">
      <c r="A116" t="s">
        <v>426</v>
      </c>
      <c r="B116" t="s">
        <v>486</v>
      </c>
      <c r="C116">
        <v>8.7100000000000009</v>
      </c>
    </row>
    <row r="117" spans="1:6" x14ac:dyDescent="0.35">
      <c r="A117" t="s">
        <v>426</v>
      </c>
      <c r="B117" t="s">
        <v>230</v>
      </c>
      <c r="C117">
        <v>10.25</v>
      </c>
    </row>
    <row r="118" spans="1:6" x14ac:dyDescent="0.35">
      <c r="A118" t="s">
        <v>418</v>
      </c>
      <c r="B118" t="s">
        <v>80</v>
      </c>
      <c r="C118">
        <v>20</v>
      </c>
    </row>
    <row r="119" spans="1:6" x14ac:dyDescent="0.35">
      <c r="C119">
        <v>0</v>
      </c>
      <c r="D119">
        <f>SUM(C93:C118)</f>
        <v>349.24</v>
      </c>
      <c r="E119">
        <f>SUM(C2:C118)</f>
        <v>6448.8400000000011</v>
      </c>
      <c r="F119" t="s">
        <v>420</v>
      </c>
    </row>
    <row r="120" spans="1:6" x14ac:dyDescent="0.35">
      <c r="A120" t="s">
        <v>427</v>
      </c>
      <c r="B120" t="s">
        <v>487</v>
      </c>
      <c r="C120">
        <v>50.64</v>
      </c>
    </row>
    <row r="121" spans="1:6" x14ac:dyDescent="0.35">
      <c r="A121" t="s">
        <v>429</v>
      </c>
      <c r="B121" t="s">
        <v>134</v>
      </c>
      <c r="C121">
        <v>5</v>
      </c>
    </row>
    <row r="122" spans="1:6" x14ac:dyDescent="0.35">
      <c r="A122" t="s">
        <v>429</v>
      </c>
      <c r="B122" t="s">
        <v>430</v>
      </c>
      <c r="C122">
        <v>222.18</v>
      </c>
    </row>
    <row r="123" spans="1:6" x14ac:dyDescent="0.35">
      <c r="A123" t="s">
        <v>429</v>
      </c>
      <c r="B123" t="s">
        <v>453</v>
      </c>
      <c r="C123">
        <v>594.32000000000005</v>
      </c>
    </row>
    <row r="124" spans="1:6" x14ac:dyDescent="0.35">
      <c r="A124" t="s">
        <v>429</v>
      </c>
      <c r="B124" t="s">
        <v>454</v>
      </c>
      <c r="C124">
        <v>84</v>
      </c>
    </row>
    <row r="125" spans="1:6" x14ac:dyDescent="0.35">
      <c r="A125" t="s">
        <v>513</v>
      </c>
      <c r="B125" t="s">
        <v>599</v>
      </c>
      <c r="C125">
        <v>6.66</v>
      </c>
    </row>
    <row r="126" spans="1:6" x14ac:dyDescent="0.35">
      <c r="A126" t="s">
        <v>488</v>
      </c>
      <c r="B126" t="s">
        <v>80</v>
      </c>
      <c r="C126">
        <v>20</v>
      </c>
    </row>
    <row r="127" spans="1:6" x14ac:dyDescent="0.35">
      <c r="A127" t="s">
        <v>488</v>
      </c>
      <c r="B127" t="s">
        <v>575</v>
      </c>
      <c r="C127">
        <v>42.88</v>
      </c>
    </row>
    <row r="128" spans="1:6" x14ac:dyDescent="0.35">
      <c r="A128" t="s">
        <v>514</v>
      </c>
      <c r="B128" t="s">
        <v>600</v>
      </c>
      <c r="C128">
        <v>8.23</v>
      </c>
    </row>
    <row r="129" spans="1:6" x14ac:dyDescent="0.35">
      <c r="A129" t="s">
        <v>523</v>
      </c>
      <c r="B129" t="s">
        <v>134</v>
      </c>
      <c r="C129">
        <v>6.14</v>
      </c>
    </row>
    <row r="130" spans="1:6" x14ac:dyDescent="0.35">
      <c r="A130" t="s">
        <v>510</v>
      </c>
      <c r="B130" t="s">
        <v>80</v>
      </c>
      <c r="C130">
        <v>20</v>
      </c>
    </row>
    <row r="131" spans="1:6" x14ac:dyDescent="0.35">
      <c r="A131" t="s">
        <v>510</v>
      </c>
      <c r="B131" t="s">
        <v>576</v>
      </c>
      <c r="C131">
        <v>45.86</v>
      </c>
    </row>
    <row r="132" spans="1:6" x14ac:dyDescent="0.35">
      <c r="A132" t="s">
        <v>519</v>
      </c>
      <c r="B132" t="s">
        <v>16</v>
      </c>
      <c r="C132">
        <v>3</v>
      </c>
    </row>
    <row r="133" spans="1:6" x14ac:dyDescent="0.35">
      <c r="A133" t="s">
        <v>571</v>
      </c>
      <c r="B133" t="s">
        <v>134</v>
      </c>
      <c r="C133">
        <v>11.61</v>
      </c>
    </row>
    <row r="134" spans="1:6" x14ac:dyDescent="0.35">
      <c r="A134" t="s">
        <v>571</v>
      </c>
      <c r="B134" t="s">
        <v>134</v>
      </c>
      <c r="C134">
        <v>9.68</v>
      </c>
    </row>
    <row r="135" spans="1:6" x14ac:dyDescent="0.35">
      <c r="A135" t="s">
        <v>525</v>
      </c>
      <c r="B135" t="s">
        <v>551</v>
      </c>
      <c r="C135">
        <v>193.87</v>
      </c>
    </row>
    <row r="136" spans="1:6" x14ac:dyDescent="0.35">
      <c r="A136" t="s">
        <v>530</v>
      </c>
      <c r="B136" t="s">
        <v>134</v>
      </c>
      <c r="C136">
        <v>30.99</v>
      </c>
    </row>
    <row r="137" spans="1:6" x14ac:dyDescent="0.35">
      <c r="A137" t="s">
        <v>530</v>
      </c>
      <c r="B137" t="s">
        <v>552</v>
      </c>
      <c r="C137">
        <v>25</v>
      </c>
    </row>
    <row r="138" spans="1:6" x14ac:dyDescent="0.35">
      <c r="A138" t="s">
        <v>515</v>
      </c>
      <c r="B138" t="s">
        <v>553</v>
      </c>
      <c r="C138">
        <v>25</v>
      </c>
    </row>
    <row r="139" spans="1:6" x14ac:dyDescent="0.35">
      <c r="A139" t="s">
        <v>535</v>
      </c>
      <c r="B139" t="s">
        <v>554</v>
      </c>
      <c r="C139">
        <v>25</v>
      </c>
    </row>
    <row r="140" spans="1:6" x14ac:dyDescent="0.35">
      <c r="A140" t="s">
        <v>538</v>
      </c>
      <c r="B140" t="s">
        <v>551</v>
      </c>
      <c r="C140">
        <v>-126.58</v>
      </c>
    </row>
    <row r="141" spans="1:6" x14ac:dyDescent="0.35">
      <c r="A141" t="s">
        <v>540</v>
      </c>
      <c r="B141" t="s">
        <v>602</v>
      </c>
      <c r="C141">
        <v>26.61</v>
      </c>
    </row>
    <row r="142" spans="1:6" x14ac:dyDescent="0.35">
      <c r="A142" t="s">
        <v>520</v>
      </c>
      <c r="B142" t="s">
        <v>603</v>
      </c>
      <c r="C142">
        <v>7.56</v>
      </c>
    </row>
    <row r="143" spans="1:6" x14ac:dyDescent="0.35">
      <c r="A143" t="s">
        <v>520</v>
      </c>
      <c r="B143" t="s">
        <v>599</v>
      </c>
      <c r="C143">
        <v>6.93</v>
      </c>
    </row>
    <row r="144" spans="1:6" x14ac:dyDescent="0.35">
      <c r="C144">
        <v>0</v>
      </c>
      <c r="D144">
        <f>SUM(C120:C143)</f>
        <v>1344.5800000000002</v>
      </c>
      <c r="E144">
        <f>SUM(C2:C143)</f>
        <v>7793.420000000001</v>
      </c>
      <c r="F144" t="s">
        <v>503</v>
      </c>
    </row>
    <row r="145" spans="1:3" x14ac:dyDescent="0.35">
      <c r="A145" t="s">
        <v>504</v>
      </c>
      <c r="B145" t="s">
        <v>80</v>
      </c>
      <c r="C145">
        <v>20</v>
      </c>
    </row>
    <row r="146" spans="1:3" x14ac:dyDescent="0.35">
      <c r="A146" t="s">
        <v>547</v>
      </c>
      <c r="B146" t="s">
        <v>577</v>
      </c>
      <c r="C146">
        <v>42.84</v>
      </c>
    </row>
    <row r="147" spans="1:3" x14ac:dyDescent="0.35">
      <c r="A147" t="s">
        <v>622</v>
      </c>
      <c r="B147" t="s">
        <v>80</v>
      </c>
      <c r="C147">
        <v>20</v>
      </c>
    </row>
    <row r="148" spans="1:3" x14ac:dyDescent="0.35">
      <c r="A148" t="s">
        <v>662</v>
      </c>
      <c r="B148" t="s">
        <v>663</v>
      </c>
      <c r="C148">
        <v>2389.54</v>
      </c>
    </row>
    <row r="149" spans="1:3" x14ac:dyDescent="0.35">
      <c r="A149" t="s">
        <v>606</v>
      </c>
      <c r="B149" t="s">
        <v>134</v>
      </c>
      <c r="C149">
        <v>12.22</v>
      </c>
    </row>
    <row r="150" spans="1:3" x14ac:dyDescent="0.35">
      <c r="A150" t="s">
        <v>606</v>
      </c>
      <c r="B150" t="s">
        <v>134</v>
      </c>
      <c r="C150">
        <v>9.75</v>
      </c>
    </row>
    <row r="151" spans="1:3" x14ac:dyDescent="0.35">
      <c r="A151" t="s">
        <v>673</v>
      </c>
      <c r="B151" t="s">
        <v>79</v>
      </c>
      <c r="C151">
        <v>6.08</v>
      </c>
    </row>
    <row r="152" spans="1:3" x14ac:dyDescent="0.35">
      <c r="A152" t="s">
        <v>624</v>
      </c>
      <c r="B152" t="s">
        <v>134</v>
      </c>
      <c r="C152">
        <v>10.01</v>
      </c>
    </row>
    <row r="153" spans="1:3" x14ac:dyDescent="0.35">
      <c r="A153" t="s">
        <v>624</v>
      </c>
      <c r="B153" t="s">
        <v>134</v>
      </c>
      <c r="C153">
        <v>11.18</v>
      </c>
    </row>
    <row r="154" spans="1:3" x14ac:dyDescent="0.35">
      <c r="A154" t="s">
        <v>508</v>
      </c>
      <c r="B154" t="s">
        <v>80</v>
      </c>
      <c r="C154">
        <v>20</v>
      </c>
    </row>
    <row r="155" spans="1:3" x14ac:dyDescent="0.35">
      <c r="A155" t="s">
        <v>508</v>
      </c>
      <c r="B155" t="s">
        <v>666</v>
      </c>
      <c r="C155">
        <v>49.42</v>
      </c>
    </row>
    <row r="156" spans="1:3" x14ac:dyDescent="0.35">
      <c r="A156" t="s">
        <v>617</v>
      </c>
      <c r="B156" t="s">
        <v>134</v>
      </c>
      <c r="C156">
        <v>10.97</v>
      </c>
    </row>
    <row r="157" spans="1:3" x14ac:dyDescent="0.35">
      <c r="A157" t="s">
        <v>617</v>
      </c>
      <c r="B157" t="s">
        <v>134</v>
      </c>
      <c r="C157">
        <v>10.68</v>
      </c>
    </row>
    <row r="158" spans="1:3" x14ac:dyDescent="0.35">
      <c r="A158" t="s">
        <v>619</v>
      </c>
      <c r="B158" t="s">
        <v>134</v>
      </c>
      <c r="C158">
        <v>11.19</v>
      </c>
    </row>
    <row r="159" spans="1:3" x14ac:dyDescent="0.35">
      <c r="A159" t="s">
        <v>640</v>
      </c>
      <c r="B159" t="s">
        <v>134</v>
      </c>
      <c r="C159">
        <v>9.59</v>
      </c>
    </row>
    <row r="160" spans="1:3" x14ac:dyDescent="0.35">
      <c r="A160" t="s">
        <v>640</v>
      </c>
      <c r="B160" t="s">
        <v>134</v>
      </c>
      <c r="C160">
        <v>11.06</v>
      </c>
    </row>
    <row r="161" spans="1:6" x14ac:dyDescent="0.35">
      <c r="A161" t="s">
        <v>657</v>
      </c>
      <c r="B161" t="s">
        <v>80</v>
      </c>
      <c r="C161">
        <v>20</v>
      </c>
    </row>
    <row r="162" spans="1:6" x14ac:dyDescent="0.35">
      <c r="A162" t="s">
        <v>650</v>
      </c>
      <c r="B162" t="s">
        <v>134</v>
      </c>
      <c r="C162">
        <v>11.06</v>
      </c>
    </row>
    <row r="163" spans="1:6" x14ac:dyDescent="0.35">
      <c r="A163" t="s">
        <v>650</v>
      </c>
      <c r="B163" t="s">
        <v>134</v>
      </c>
      <c r="C163">
        <v>10.32</v>
      </c>
    </row>
    <row r="164" spans="1:6" x14ac:dyDescent="0.35">
      <c r="A164" t="s">
        <v>650</v>
      </c>
      <c r="B164" t="s">
        <v>126</v>
      </c>
      <c r="C164">
        <v>7</v>
      </c>
    </row>
    <row r="165" spans="1:6" x14ac:dyDescent="0.35">
      <c r="A165" t="s">
        <v>627</v>
      </c>
      <c r="B165" t="s">
        <v>134</v>
      </c>
      <c r="C165">
        <v>10.98</v>
      </c>
    </row>
    <row r="166" spans="1:6" x14ac:dyDescent="0.35">
      <c r="A166" t="s">
        <v>627</v>
      </c>
      <c r="B166" t="s">
        <v>134</v>
      </c>
      <c r="C166">
        <v>9.7799999999999994</v>
      </c>
    </row>
    <row r="167" spans="1:6" x14ac:dyDescent="0.35">
      <c r="A167" t="s">
        <v>627</v>
      </c>
      <c r="B167" t="s">
        <v>667</v>
      </c>
      <c r="C167">
        <v>47.27</v>
      </c>
    </row>
    <row r="168" spans="1:6" x14ac:dyDescent="0.35">
      <c r="A168" t="s">
        <v>631</v>
      </c>
      <c r="B168" t="s">
        <v>79</v>
      </c>
      <c r="C168">
        <v>13.06</v>
      </c>
    </row>
    <row r="169" spans="1:6" x14ac:dyDescent="0.35">
      <c r="A169" t="s">
        <v>631</v>
      </c>
      <c r="B169" t="s">
        <v>134</v>
      </c>
      <c r="C169">
        <v>10.92</v>
      </c>
    </row>
    <row r="170" spans="1:6" x14ac:dyDescent="0.35">
      <c r="C170">
        <v>0</v>
      </c>
      <c r="D170">
        <f>SUM(C145:C169)</f>
        <v>2784.92</v>
      </c>
      <c r="E170">
        <f>SUM(C2:C169)</f>
        <v>10578.34</v>
      </c>
      <c r="F170" t="s">
        <v>614</v>
      </c>
    </row>
    <row r="171" spans="1:6" x14ac:dyDescent="0.35">
      <c r="A171" t="s">
        <v>643</v>
      </c>
      <c r="B171" t="s">
        <v>80</v>
      </c>
      <c r="C171">
        <v>20</v>
      </c>
    </row>
    <row r="172" spans="1:6" x14ac:dyDescent="0.35">
      <c r="A172" t="s">
        <v>630</v>
      </c>
      <c r="B172" t="s">
        <v>134</v>
      </c>
      <c r="C172">
        <v>10.1</v>
      </c>
    </row>
    <row r="173" spans="1:6" x14ac:dyDescent="0.35">
      <c r="A173" t="s">
        <v>630</v>
      </c>
      <c r="B173" t="s">
        <v>134</v>
      </c>
      <c r="C173">
        <v>10.050000000000001</v>
      </c>
    </row>
    <row r="174" spans="1:6" x14ac:dyDescent="0.35">
      <c r="A174" t="s">
        <v>630</v>
      </c>
      <c r="B174" t="s">
        <v>783</v>
      </c>
      <c r="C174">
        <v>19.079999999999998</v>
      </c>
    </row>
    <row r="175" spans="1:6" x14ac:dyDescent="0.35">
      <c r="A175" t="s">
        <v>632</v>
      </c>
      <c r="B175" t="s">
        <v>784</v>
      </c>
      <c r="C175">
        <v>19.77</v>
      </c>
    </row>
    <row r="176" spans="1:6" x14ac:dyDescent="0.35">
      <c r="A176" t="s">
        <v>632</v>
      </c>
      <c r="B176" t="s">
        <v>635</v>
      </c>
      <c r="C176">
        <v>124.94</v>
      </c>
    </row>
    <row r="177" spans="1:3" x14ac:dyDescent="0.35">
      <c r="A177" t="s">
        <v>632</v>
      </c>
      <c r="B177" t="s">
        <v>634</v>
      </c>
      <c r="C177">
        <v>13</v>
      </c>
    </row>
    <row r="178" spans="1:3" x14ac:dyDescent="0.35">
      <c r="A178" t="s">
        <v>668</v>
      </c>
      <c r="B178" t="s">
        <v>669</v>
      </c>
      <c r="C178">
        <v>38.18</v>
      </c>
    </row>
    <row r="179" spans="1:3" x14ac:dyDescent="0.35">
      <c r="A179" t="s">
        <v>668</v>
      </c>
      <c r="B179" t="s">
        <v>634</v>
      </c>
      <c r="C179">
        <v>13</v>
      </c>
    </row>
    <row r="180" spans="1:3" x14ac:dyDescent="0.35">
      <c r="A180" t="s">
        <v>708</v>
      </c>
      <c r="B180" t="s">
        <v>634</v>
      </c>
      <c r="C180">
        <v>13</v>
      </c>
    </row>
    <row r="181" spans="1:3" x14ac:dyDescent="0.35">
      <c r="A181" t="s">
        <v>684</v>
      </c>
      <c r="B181" t="s">
        <v>757</v>
      </c>
      <c r="C181">
        <v>347.25</v>
      </c>
    </row>
    <row r="182" spans="1:3" x14ac:dyDescent="0.35">
      <c r="A182" t="s">
        <v>723</v>
      </c>
      <c r="B182" t="s">
        <v>168</v>
      </c>
      <c r="C182">
        <v>16.55</v>
      </c>
    </row>
    <row r="183" spans="1:3" x14ac:dyDescent="0.35">
      <c r="A183" t="s">
        <v>744</v>
      </c>
      <c r="B183" t="s">
        <v>79</v>
      </c>
      <c r="C183">
        <v>9.09</v>
      </c>
    </row>
    <row r="184" spans="1:3" x14ac:dyDescent="0.35">
      <c r="A184" t="s">
        <v>724</v>
      </c>
      <c r="B184" t="s">
        <v>80</v>
      </c>
      <c r="C184">
        <v>20</v>
      </c>
    </row>
    <row r="185" spans="1:3" x14ac:dyDescent="0.35">
      <c r="A185" t="s">
        <v>728</v>
      </c>
      <c r="B185" t="s">
        <v>79</v>
      </c>
      <c r="C185">
        <v>10.16</v>
      </c>
    </row>
    <row r="186" spans="1:3" x14ac:dyDescent="0.35">
      <c r="A186" t="s">
        <v>729</v>
      </c>
      <c r="B186" t="s">
        <v>749</v>
      </c>
      <c r="C186">
        <v>10.4</v>
      </c>
    </row>
    <row r="187" spans="1:3" x14ac:dyDescent="0.35">
      <c r="A187" t="s">
        <v>704</v>
      </c>
      <c r="B187" t="s">
        <v>750</v>
      </c>
      <c r="C187">
        <v>38.71</v>
      </c>
    </row>
    <row r="188" spans="1:3" x14ac:dyDescent="0.35">
      <c r="A188" t="s">
        <v>706</v>
      </c>
      <c r="B188" t="s">
        <v>80</v>
      </c>
      <c r="C188">
        <v>20</v>
      </c>
    </row>
    <row r="189" spans="1:3" x14ac:dyDescent="0.35">
      <c r="A189" t="s">
        <v>740</v>
      </c>
      <c r="B189" t="s">
        <v>404</v>
      </c>
      <c r="C189">
        <v>9.4700000000000006</v>
      </c>
    </row>
    <row r="190" spans="1:3" x14ac:dyDescent="0.35">
      <c r="A190" t="s">
        <v>740</v>
      </c>
      <c r="B190" t="s">
        <v>134</v>
      </c>
      <c r="C190">
        <v>11.38</v>
      </c>
    </row>
    <row r="191" spans="1:3" x14ac:dyDescent="0.35">
      <c r="A191" t="s">
        <v>741</v>
      </c>
      <c r="B191" t="s">
        <v>134</v>
      </c>
      <c r="C191">
        <v>9.65</v>
      </c>
    </row>
    <row r="192" spans="1:3" x14ac:dyDescent="0.35">
      <c r="A192" t="s">
        <v>714</v>
      </c>
      <c r="B192" t="s">
        <v>134</v>
      </c>
      <c r="C192">
        <v>10.23</v>
      </c>
    </row>
    <row r="193" spans="1:6" x14ac:dyDescent="0.35">
      <c r="A193" t="s">
        <v>714</v>
      </c>
      <c r="B193" t="s">
        <v>134</v>
      </c>
      <c r="C193">
        <v>9.58</v>
      </c>
    </row>
    <row r="194" spans="1:6" x14ac:dyDescent="0.35">
      <c r="A194" t="s">
        <v>732</v>
      </c>
      <c r="B194" t="s">
        <v>134</v>
      </c>
      <c r="C194">
        <v>13.8</v>
      </c>
    </row>
    <row r="195" spans="1:6" x14ac:dyDescent="0.35">
      <c r="A195" t="s">
        <v>715</v>
      </c>
      <c r="B195" t="s">
        <v>79</v>
      </c>
      <c r="C195">
        <v>8.61</v>
      </c>
    </row>
    <row r="196" spans="1:6" x14ac:dyDescent="0.35">
      <c r="A196" t="s">
        <v>716</v>
      </c>
      <c r="B196" t="s">
        <v>134</v>
      </c>
      <c r="C196">
        <v>9.8800000000000008</v>
      </c>
    </row>
    <row r="197" spans="1:6" x14ac:dyDescent="0.35">
      <c r="A197" t="s">
        <v>716</v>
      </c>
      <c r="B197" t="s">
        <v>134</v>
      </c>
      <c r="C197">
        <v>11.75</v>
      </c>
    </row>
    <row r="198" spans="1:6" x14ac:dyDescent="0.35">
      <c r="A198" t="s">
        <v>716</v>
      </c>
      <c r="B198" t="s">
        <v>758</v>
      </c>
      <c r="C198">
        <v>13.32</v>
      </c>
    </row>
    <row r="199" spans="1:6" x14ac:dyDescent="0.35">
      <c r="C199">
        <v>0</v>
      </c>
      <c r="D199">
        <f>SUM(C171:C198)</f>
        <v>860.95</v>
      </c>
      <c r="E199">
        <f>SUM(C2:C198)</f>
        <v>11439.289999999995</v>
      </c>
      <c r="F199" t="s">
        <v>699</v>
      </c>
    </row>
    <row r="200" spans="1:6" x14ac:dyDescent="0.35">
      <c r="A200" t="s">
        <v>734</v>
      </c>
      <c r="B200" t="s">
        <v>134</v>
      </c>
      <c r="C200">
        <v>15.42</v>
      </c>
    </row>
    <row r="201" spans="1:6" x14ac:dyDescent="0.35">
      <c r="A201" t="s">
        <v>734</v>
      </c>
      <c r="B201" t="s">
        <v>134</v>
      </c>
      <c r="C201">
        <v>15.21</v>
      </c>
    </row>
    <row r="202" spans="1:6" x14ac:dyDescent="0.35">
      <c r="A202" t="s">
        <v>734</v>
      </c>
      <c r="B202" t="s">
        <v>759</v>
      </c>
      <c r="C202">
        <v>31.32</v>
      </c>
    </row>
    <row r="203" spans="1:6" x14ac:dyDescent="0.35">
      <c r="A203" t="s">
        <v>717</v>
      </c>
      <c r="B203" t="s">
        <v>80</v>
      </c>
      <c r="C203">
        <v>20</v>
      </c>
    </row>
    <row r="204" spans="1:6" x14ac:dyDescent="0.35">
      <c r="A204" t="s">
        <v>781</v>
      </c>
      <c r="B204" t="s">
        <v>79</v>
      </c>
      <c r="C204">
        <v>7</v>
      </c>
    </row>
    <row r="205" spans="1:6" x14ac:dyDescent="0.35">
      <c r="A205" t="s">
        <v>810</v>
      </c>
      <c r="B205" t="s">
        <v>134</v>
      </c>
      <c r="C205">
        <v>14.81</v>
      </c>
    </row>
    <row r="206" spans="1:6" x14ac:dyDescent="0.35">
      <c r="A206" t="s">
        <v>810</v>
      </c>
      <c r="B206" t="s">
        <v>134</v>
      </c>
      <c r="C206">
        <v>15.21</v>
      </c>
    </row>
    <row r="207" spans="1:6" x14ac:dyDescent="0.35">
      <c r="A207" t="s">
        <v>785</v>
      </c>
      <c r="B207" t="s">
        <v>16</v>
      </c>
      <c r="C207">
        <v>3</v>
      </c>
    </row>
    <row r="208" spans="1:6" x14ac:dyDescent="0.35">
      <c r="A208" t="s">
        <v>702</v>
      </c>
      <c r="B208" t="s">
        <v>79</v>
      </c>
      <c r="C208">
        <v>6.66</v>
      </c>
    </row>
    <row r="209" spans="1:3" x14ac:dyDescent="0.35">
      <c r="A209" t="s">
        <v>702</v>
      </c>
      <c r="B209" t="s">
        <v>854</v>
      </c>
      <c r="C209">
        <v>39.76</v>
      </c>
    </row>
    <row r="210" spans="1:3" x14ac:dyDescent="0.35">
      <c r="A210" t="s">
        <v>844</v>
      </c>
      <c r="B210" t="s">
        <v>134</v>
      </c>
      <c r="C210">
        <v>15.21</v>
      </c>
    </row>
    <row r="211" spans="1:3" x14ac:dyDescent="0.35">
      <c r="A211" t="s">
        <v>844</v>
      </c>
      <c r="B211" t="s">
        <v>134</v>
      </c>
      <c r="C211">
        <v>15.12</v>
      </c>
    </row>
    <row r="212" spans="1:3" x14ac:dyDescent="0.35">
      <c r="A212" t="s">
        <v>828</v>
      </c>
      <c r="B212" t="s">
        <v>80</v>
      </c>
      <c r="C212">
        <v>20</v>
      </c>
    </row>
    <row r="213" spans="1:3" x14ac:dyDescent="0.35">
      <c r="A213" t="s">
        <v>828</v>
      </c>
      <c r="B213" t="s">
        <v>79</v>
      </c>
      <c r="C213">
        <v>7.24</v>
      </c>
    </row>
    <row r="214" spans="1:3" x14ac:dyDescent="0.35">
      <c r="A214" t="s">
        <v>830</v>
      </c>
      <c r="B214" t="s">
        <v>79</v>
      </c>
      <c r="C214">
        <v>8.59</v>
      </c>
    </row>
    <row r="215" spans="1:3" x14ac:dyDescent="0.35">
      <c r="A215" t="s">
        <v>831</v>
      </c>
      <c r="B215" t="s">
        <v>134</v>
      </c>
      <c r="C215">
        <v>15.26</v>
      </c>
    </row>
    <row r="216" spans="1:3" x14ac:dyDescent="0.35">
      <c r="A216" t="s">
        <v>831</v>
      </c>
      <c r="B216" t="s">
        <v>134</v>
      </c>
      <c r="C216">
        <v>10.119999999999999</v>
      </c>
    </row>
    <row r="217" spans="1:3" x14ac:dyDescent="0.35">
      <c r="A217" t="s">
        <v>815</v>
      </c>
      <c r="B217" t="s">
        <v>134</v>
      </c>
      <c r="C217">
        <v>13.76</v>
      </c>
    </row>
    <row r="218" spans="1:3" x14ac:dyDescent="0.35">
      <c r="A218" t="s">
        <v>815</v>
      </c>
      <c r="B218" t="s">
        <v>134</v>
      </c>
      <c r="C218">
        <v>15.01</v>
      </c>
    </row>
    <row r="219" spans="1:3" x14ac:dyDescent="0.35">
      <c r="A219" t="s">
        <v>794</v>
      </c>
      <c r="B219" t="s">
        <v>168</v>
      </c>
      <c r="C219">
        <v>16.8</v>
      </c>
    </row>
    <row r="220" spans="1:3" x14ac:dyDescent="0.35">
      <c r="A220" t="s">
        <v>794</v>
      </c>
      <c r="B220" t="s">
        <v>856</v>
      </c>
      <c r="C220">
        <v>40.01</v>
      </c>
    </row>
    <row r="221" spans="1:3" x14ac:dyDescent="0.35">
      <c r="A221" t="s">
        <v>832</v>
      </c>
      <c r="B221" t="s">
        <v>852</v>
      </c>
      <c r="C221">
        <v>365.88</v>
      </c>
    </row>
    <row r="222" spans="1:3" x14ac:dyDescent="0.35">
      <c r="A222" t="s">
        <v>819</v>
      </c>
      <c r="B222" t="s">
        <v>134</v>
      </c>
      <c r="C222">
        <v>15.4</v>
      </c>
    </row>
    <row r="223" spans="1:3" x14ac:dyDescent="0.35">
      <c r="A223" t="s">
        <v>819</v>
      </c>
      <c r="B223" t="s">
        <v>134</v>
      </c>
      <c r="C223">
        <v>14.23</v>
      </c>
    </row>
    <row r="224" spans="1:3" x14ac:dyDescent="0.35">
      <c r="A224" t="s">
        <v>819</v>
      </c>
      <c r="B224" t="s">
        <v>820</v>
      </c>
      <c r="C224">
        <v>83.44</v>
      </c>
    </row>
    <row r="225" spans="1:6" x14ac:dyDescent="0.35">
      <c r="A225" t="s">
        <v>834</v>
      </c>
      <c r="B225" t="s">
        <v>134</v>
      </c>
      <c r="C225">
        <v>14.85</v>
      </c>
    </row>
    <row r="226" spans="1:6" x14ac:dyDescent="0.35">
      <c r="A226" t="s">
        <v>834</v>
      </c>
      <c r="B226" t="s">
        <v>134</v>
      </c>
      <c r="C226">
        <v>14.11</v>
      </c>
    </row>
    <row r="227" spans="1:6" x14ac:dyDescent="0.35">
      <c r="A227" t="s">
        <v>822</v>
      </c>
      <c r="B227" t="s">
        <v>134</v>
      </c>
      <c r="C227">
        <v>14.66</v>
      </c>
    </row>
    <row r="228" spans="1:6" x14ac:dyDescent="0.35">
      <c r="A228" t="s">
        <v>822</v>
      </c>
      <c r="B228" t="s">
        <v>134</v>
      </c>
      <c r="C228">
        <v>14.31</v>
      </c>
    </row>
    <row r="229" spans="1:6" x14ac:dyDescent="0.35">
      <c r="A229" t="s">
        <v>822</v>
      </c>
      <c r="B229" t="s">
        <v>824</v>
      </c>
      <c r="C229">
        <v>34.18</v>
      </c>
    </row>
    <row r="230" spans="1:6" x14ac:dyDescent="0.35">
      <c r="A230" t="s">
        <v>822</v>
      </c>
      <c r="B230" t="s">
        <v>825</v>
      </c>
      <c r="C230">
        <v>57.96</v>
      </c>
    </row>
    <row r="231" spans="1:6" x14ac:dyDescent="0.35">
      <c r="A231" t="s">
        <v>847</v>
      </c>
      <c r="B231" t="s">
        <v>134</v>
      </c>
      <c r="C231">
        <v>15.29</v>
      </c>
    </row>
    <row r="232" spans="1:6" x14ac:dyDescent="0.35">
      <c r="A232" t="s">
        <v>847</v>
      </c>
      <c r="B232" t="s">
        <v>134</v>
      </c>
      <c r="C232">
        <v>13.22</v>
      </c>
    </row>
    <row r="233" spans="1:6" x14ac:dyDescent="0.35">
      <c r="A233" t="s">
        <v>817</v>
      </c>
      <c r="B233" t="s">
        <v>134</v>
      </c>
      <c r="C233">
        <v>13.86</v>
      </c>
    </row>
    <row r="234" spans="1:6" x14ac:dyDescent="0.35">
      <c r="A234" t="s">
        <v>817</v>
      </c>
      <c r="B234" t="s">
        <v>134</v>
      </c>
      <c r="C234">
        <v>13.75</v>
      </c>
    </row>
    <row r="235" spans="1:6" x14ac:dyDescent="0.35">
      <c r="C235">
        <v>0</v>
      </c>
      <c r="D235">
        <f>SUM(C200:C234)</f>
        <v>1030.6500000000001</v>
      </c>
      <c r="E235">
        <f>SUM(C2:C234)</f>
        <v>12469.939999999993</v>
      </c>
      <c r="F235" t="s">
        <v>796</v>
      </c>
    </row>
    <row r="236" spans="1:6" x14ac:dyDescent="0.35">
      <c r="A236" t="s">
        <v>797</v>
      </c>
      <c r="B236" t="s">
        <v>16</v>
      </c>
      <c r="C236">
        <v>3</v>
      </c>
    </row>
    <row r="237" spans="1:6" x14ac:dyDescent="0.35">
      <c r="A237" t="s">
        <v>843</v>
      </c>
      <c r="B237" t="s">
        <v>134</v>
      </c>
      <c r="C237">
        <v>13.03</v>
      </c>
    </row>
    <row r="238" spans="1:6" x14ac:dyDescent="0.35">
      <c r="A238" t="s">
        <v>843</v>
      </c>
      <c r="B238" t="s">
        <v>134</v>
      </c>
      <c r="C238">
        <v>12.57</v>
      </c>
    </row>
    <row r="239" spans="1:6" x14ac:dyDescent="0.35">
      <c r="A239" t="s">
        <v>843</v>
      </c>
      <c r="B239" t="s">
        <v>126</v>
      </c>
      <c r="C239">
        <v>10</v>
      </c>
    </row>
    <row r="240" spans="1:6" x14ac:dyDescent="0.35">
      <c r="A240" t="s">
        <v>837</v>
      </c>
      <c r="B240" t="s">
        <v>134</v>
      </c>
      <c r="C240">
        <v>11.59</v>
      </c>
    </row>
    <row r="241" spans="1:3" x14ac:dyDescent="0.35">
      <c r="A241" t="s">
        <v>838</v>
      </c>
      <c r="B241" t="s">
        <v>79</v>
      </c>
      <c r="C241">
        <v>6.35</v>
      </c>
    </row>
    <row r="242" spans="1:3" x14ac:dyDescent="0.35">
      <c r="A242" t="s">
        <v>842</v>
      </c>
      <c r="B242" t="s">
        <v>858</v>
      </c>
      <c r="C242">
        <v>15.06</v>
      </c>
    </row>
    <row r="243" spans="1:3" x14ac:dyDescent="0.35">
      <c r="A243" t="s">
        <v>848</v>
      </c>
      <c r="B243" t="s">
        <v>134</v>
      </c>
      <c r="C243">
        <v>14.34</v>
      </c>
    </row>
    <row r="244" spans="1:3" x14ac:dyDescent="0.35">
      <c r="A244" t="s">
        <v>848</v>
      </c>
      <c r="B244" t="s">
        <v>897</v>
      </c>
      <c r="C244">
        <v>449.24</v>
      </c>
    </row>
    <row r="245" spans="1:3" x14ac:dyDescent="0.35">
      <c r="A245" t="s">
        <v>848</v>
      </c>
      <c r="B245" t="s">
        <v>134</v>
      </c>
      <c r="C245">
        <v>11.62</v>
      </c>
    </row>
    <row r="246" spans="1:3" x14ac:dyDescent="0.35">
      <c r="A246" t="s">
        <v>888</v>
      </c>
      <c r="B246" t="s">
        <v>898</v>
      </c>
      <c r="C246">
        <v>155.69</v>
      </c>
    </row>
    <row r="247" spans="1:3" x14ac:dyDescent="0.35">
      <c r="A247" t="s">
        <v>899</v>
      </c>
      <c r="B247" t="s">
        <v>935</v>
      </c>
      <c r="C247">
        <v>37.47</v>
      </c>
    </row>
    <row r="248" spans="1:3" x14ac:dyDescent="0.35">
      <c r="A248" t="s">
        <v>899</v>
      </c>
      <c r="B248" t="s">
        <v>932</v>
      </c>
      <c r="C248">
        <v>46.28</v>
      </c>
    </row>
    <row r="249" spans="1:3" x14ac:dyDescent="0.35">
      <c r="A249" t="s">
        <v>873</v>
      </c>
      <c r="B249" t="s">
        <v>898</v>
      </c>
      <c r="C249">
        <v>-155.69</v>
      </c>
    </row>
    <row r="250" spans="1:3" x14ac:dyDescent="0.35">
      <c r="A250" t="s">
        <v>800</v>
      </c>
      <c r="B250" t="s">
        <v>80</v>
      </c>
      <c r="C250">
        <v>20</v>
      </c>
    </row>
    <row r="251" spans="1:3" x14ac:dyDescent="0.35">
      <c r="A251" t="s">
        <v>800</v>
      </c>
      <c r="B251" t="s">
        <v>936</v>
      </c>
      <c r="C251">
        <v>6.14</v>
      </c>
    </row>
    <row r="252" spans="1:3" x14ac:dyDescent="0.35">
      <c r="A252" t="s">
        <v>890</v>
      </c>
      <c r="B252" t="s">
        <v>168</v>
      </c>
      <c r="C252">
        <v>16.350000000000001</v>
      </c>
    </row>
    <row r="253" spans="1:3" x14ac:dyDescent="0.35">
      <c r="A253" t="s">
        <v>890</v>
      </c>
      <c r="B253" t="s">
        <v>897</v>
      </c>
      <c r="C253">
        <v>-200</v>
      </c>
    </row>
    <row r="254" spans="1:3" x14ac:dyDescent="0.35">
      <c r="A254" t="s">
        <v>904</v>
      </c>
      <c r="B254" t="s">
        <v>134</v>
      </c>
      <c r="C254">
        <v>12.97</v>
      </c>
    </row>
    <row r="255" spans="1:3" x14ac:dyDescent="0.35">
      <c r="A255" t="s">
        <v>904</v>
      </c>
      <c r="B255" t="s">
        <v>134</v>
      </c>
      <c r="C255">
        <v>16.21</v>
      </c>
    </row>
    <row r="256" spans="1:3" x14ac:dyDescent="0.35">
      <c r="A256" t="s">
        <v>923</v>
      </c>
      <c r="B256" t="s">
        <v>79</v>
      </c>
      <c r="C256">
        <v>5.33</v>
      </c>
    </row>
    <row r="257" spans="1:3" x14ac:dyDescent="0.35">
      <c r="A257" t="s">
        <v>921</v>
      </c>
      <c r="B257" t="s">
        <v>80</v>
      </c>
      <c r="C257">
        <v>20</v>
      </c>
    </row>
    <row r="258" spans="1:3" x14ac:dyDescent="0.35">
      <c r="A258" t="s">
        <v>805</v>
      </c>
      <c r="B258" t="s">
        <v>79</v>
      </c>
      <c r="C258">
        <v>11.81</v>
      </c>
    </row>
    <row r="259" spans="1:3" x14ac:dyDescent="0.35">
      <c r="A259" t="s">
        <v>805</v>
      </c>
      <c r="B259" t="s">
        <v>79</v>
      </c>
      <c r="C259">
        <v>7.99</v>
      </c>
    </row>
    <row r="260" spans="1:3" x14ac:dyDescent="0.35">
      <c r="A260" t="s">
        <v>805</v>
      </c>
      <c r="B260" t="s">
        <v>230</v>
      </c>
      <c r="C260">
        <v>18.77</v>
      </c>
    </row>
    <row r="261" spans="1:3" x14ac:dyDescent="0.35">
      <c r="A261" t="s">
        <v>916</v>
      </c>
      <c r="B261" t="s">
        <v>937</v>
      </c>
      <c r="C261">
        <v>40.64</v>
      </c>
    </row>
    <row r="262" spans="1:3" x14ac:dyDescent="0.35">
      <c r="A262" t="s">
        <v>892</v>
      </c>
      <c r="B262" t="s">
        <v>134</v>
      </c>
      <c r="C262">
        <v>15.69</v>
      </c>
    </row>
    <row r="263" spans="1:3" x14ac:dyDescent="0.35">
      <c r="A263" t="s">
        <v>892</v>
      </c>
      <c r="B263" t="s">
        <v>134</v>
      </c>
      <c r="C263">
        <v>18.059999999999999</v>
      </c>
    </row>
    <row r="264" spans="1:3" x14ac:dyDescent="0.35">
      <c r="A264" t="s">
        <v>892</v>
      </c>
      <c r="B264" t="s">
        <v>134</v>
      </c>
      <c r="C264">
        <v>14.5</v>
      </c>
    </row>
    <row r="265" spans="1:3" x14ac:dyDescent="0.35">
      <c r="A265" t="s">
        <v>941</v>
      </c>
      <c r="B265" t="s">
        <v>80</v>
      </c>
      <c r="C265">
        <v>20</v>
      </c>
    </row>
    <row r="266" spans="1:3" x14ac:dyDescent="0.35">
      <c r="A266" t="s">
        <v>910</v>
      </c>
      <c r="B266" t="s">
        <v>957</v>
      </c>
      <c r="C266">
        <v>24.44</v>
      </c>
    </row>
    <row r="267" spans="1:3" x14ac:dyDescent="0.35">
      <c r="A267" t="s">
        <v>925</v>
      </c>
      <c r="B267" t="s">
        <v>134</v>
      </c>
      <c r="C267">
        <v>14.29</v>
      </c>
    </row>
    <row r="268" spans="1:3" x14ac:dyDescent="0.35">
      <c r="A268" t="s">
        <v>925</v>
      </c>
      <c r="B268" t="s">
        <v>134</v>
      </c>
      <c r="C268">
        <v>18.41</v>
      </c>
    </row>
    <row r="269" spans="1:3" x14ac:dyDescent="0.35">
      <c r="A269" t="s">
        <v>894</v>
      </c>
      <c r="B269" t="s">
        <v>134</v>
      </c>
      <c r="C269">
        <v>14.81</v>
      </c>
    </row>
    <row r="270" spans="1:3" x14ac:dyDescent="0.35">
      <c r="A270" t="s">
        <v>894</v>
      </c>
      <c r="B270" t="s">
        <v>926</v>
      </c>
      <c r="C270">
        <v>15.55</v>
      </c>
    </row>
    <row r="271" spans="1:3" x14ac:dyDescent="0.35">
      <c r="A271" t="s">
        <v>894</v>
      </c>
      <c r="B271" t="s">
        <v>938</v>
      </c>
      <c r="C271">
        <v>39.409999999999997</v>
      </c>
    </row>
    <row r="272" spans="1:3" x14ac:dyDescent="0.35">
      <c r="A272" t="s">
        <v>883</v>
      </c>
      <c r="B272" t="s">
        <v>404</v>
      </c>
      <c r="C272">
        <v>6.57</v>
      </c>
    </row>
    <row r="273" spans="1:6" x14ac:dyDescent="0.35">
      <c r="C273">
        <v>0</v>
      </c>
      <c r="D273">
        <f>SUM(C236:C272)</f>
        <v>808.48999999999978</v>
      </c>
      <c r="E273">
        <f>SUM(C2:C272)</f>
        <v>13278.429999999991</v>
      </c>
      <c r="F273" t="s">
        <v>885</v>
      </c>
    </row>
    <row r="274" spans="1:6" x14ac:dyDescent="0.35">
      <c r="A274" t="s">
        <v>902</v>
      </c>
      <c r="B274" t="s">
        <v>958</v>
      </c>
      <c r="C274">
        <v>6.72</v>
      </c>
    </row>
    <row r="275" spans="1:6" x14ac:dyDescent="0.35">
      <c r="A275" t="s">
        <v>920</v>
      </c>
      <c r="B275" t="s">
        <v>134</v>
      </c>
      <c r="C275">
        <v>15.94</v>
      </c>
    </row>
    <row r="276" spans="1:6" x14ac:dyDescent="0.35">
      <c r="A276" t="s">
        <v>920</v>
      </c>
      <c r="B276" t="s">
        <v>926</v>
      </c>
      <c r="C276">
        <v>15.92</v>
      </c>
    </row>
    <row r="277" spans="1:6" x14ac:dyDescent="0.35">
      <c r="A277" t="s">
        <v>945</v>
      </c>
      <c r="B277" t="s">
        <v>1050</v>
      </c>
      <c r="C277">
        <v>6.48</v>
      </c>
    </row>
    <row r="278" spans="1:6" x14ac:dyDescent="0.35">
      <c r="A278" t="s">
        <v>895</v>
      </c>
      <c r="B278" t="s">
        <v>80</v>
      </c>
      <c r="C278">
        <v>20</v>
      </c>
    </row>
    <row r="279" spans="1:6" x14ac:dyDescent="0.35">
      <c r="A279" t="s">
        <v>895</v>
      </c>
      <c r="B279" t="s">
        <v>134</v>
      </c>
      <c r="C279">
        <v>15.29</v>
      </c>
    </row>
    <row r="280" spans="1:6" x14ac:dyDescent="0.35">
      <c r="A280" t="s">
        <v>1007</v>
      </c>
      <c r="B280" t="s">
        <v>126</v>
      </c>
      <c r="C280">
        <v>7</v>
      </c>
    </row>
    <row r="281" spans="1:6" x14ac:dyDescent="0.35">
      <c r="A281" t="s">
        <v>976</v>
      </c>
      <c r="B281" t="s">
        <v>134</v>
      </c>
      <c r="C281">
        <v>14.58</v>
      </c>
    </row>
    <row r="282" spans="1:6" x14ac:dyDescent="0.35">
      <c r="A282" t="s">
        <v>976</v>
      </c>
      <c r="B282" t="s">
        <v>134</v>
      </c>
      <c r="C282">
        <v>14.58</v>
      </c>
    </row>
    <row r="283" spans="1:6" x14ac:dyDescent="0.35">
      <c r="A283" t="s">
        <v>977</v>
      </c>
      <c r="B283" t="s">
        <v>1051</v>
      </c>
      <c r="C283">
        <v>14.29</v>
      </c>
    </row>
    <row r="284" spans="1:6" x14ac:dyDescent="0.35">
      <c r="A284" t="s">
        <v>977</v>
      </c>
      <c r="B284" t="s">
        <v>1017</v>
      </c>
      <c r="C284">
        <v>10.199999999999999</v>
      </c>
    </row>
    <row r="285" spans="1:6" x14ac:dyDescent="0.35">
      <c r="A285" t="s">
        <v>988</v>
      </c>
      <c r="B285" t="s">
        <v>134</v>
      </c>
      <c r="C285">
        <v>15.38</v>
      </c>
    </row>
    <row r="286" spans="1:6" x14ac:dyDescent="0.35">
      <c r="A286" t="s">
        <v>988</v>
      </c>
      <c r="B286" t="s">
        <v>134</v>
      </c>
      <c r="C286">
        <v>15.53</v>
      </c>
    </row>
    <row r="287" spans="1:6" x14ac:dyDescent="0.35">
      <c r="A287" t="s">
        <v>990</v>
      </c>
      <c r="B287" t="s">
        <v>1029</v>
      </c>
      <c r="C287">
        <v>41.02</v>
      </c>
    </row>
    <row r="288" spans="1:6" x14ac:dyDescent="0.35">
      <c r="A288" t="s">
        <v>990</v>
      </c>
      <c r="B288" t="s">
        <v>134</v>
      </c>
      <c r="C288">
        <v>15.69</v>
      </c>
    </row>
    <row r="289" spans="1:3" x14ac:dyDescent="0.35">
      <c r="A289" t="s">
        <v>990</v>
      </c>
      <c r="B289" t="s">
        <v>134</v>
      </c>
      <c r="C289">
        <v>16.02</v>
      </c>
    </row>
    <row r="290" spans="1:3" x14ac:dyDescent="0.35">
      <c r="A290" t="s">
        <v>1004</v>
      </c>
      <c r="B290" t="s">
        <v>1052</v>
      </c>
      <c r="C290">
        <v>8.1199999999999992</v>
      </c>
    </row>
    <row r="291" spans="1:3" x14ac:dyDescent="0.35">
      <c r="A291" t="s">
        <v>978</v>
      </c>
      <c r="B291" t="s">
        <v>134</v>
      </c>
      <c r="C291">
        <v>14.44</v>
      </c>
    </row>
    <row r="292" spans="1:3" x14ac:dyDescent="0.35">
      <c r="A292" t="s">
        <v>970</v>
      </c>
      <c r="B292" t="s">
        <v>1018</v>
      </c>
      <c r="C292">
        <v>13.27</v>
      </c>
    </row>
    <row r="293" spans="1:3" x14ac:dyDescent="0.35">
      <c r="A293" t="s">
        <v>1039</v>
      </c>
      <c r="B293" t="s">
        <v>1055</v>
      </c>
      <c r="C293">
        <v>9.4</v>
      </c>
    </row>
    <row r="294" spans="1:3" x14ac:dyDescent="0.35">
      <c r="A294" t="s">
        <v>1013</v>
      </c>
      <c r="B294" t="s">
        <v>80</v>
      </c>
      <c r="C294">
        <v>20</v>
      </c>
    </row>
    <row r="295" spans="1:3" x14ac:dyDescent="0.35">
      <c r="A295" t="s">
        <v>1013</v>
      </c>
      <c r="B295" t="s">
        <v>1030</v>
      </c>
      <c r="C295">
        <v>41.52</v>
      </c>
    </row>
    <row r="296" spans="1:3" x14ac:dyDescent="0.35">
      <c r="A296" t="s">
        <v>996</v>
      </c>
      <c r="B296" t="s">
        <v>1057</v>
      </c>
      <c r="C296">
        <v>10.27</v>
      </c>
    </row>
    <row r="297" spans="1:3" x14ac:dyDescent="0.35">
      <c r="A297" t="s">
        <v>984</v>
      </c>
      <c r="B297" t="s">
        <v>926</v>
      </c>
      <c r="C297">
        <v>15.84</v>
      </c>
    </row>
    <row r="298" spans="1:3" x14ac:dyDescent="0.35">
      <c r="A298" t="s">
        <v>984</v>
      </c>
      <c r="B298" t="s">
        <v>926</v>
      </c>
      <c r="C298">
        <v>15.29</v>
      </c>
    </row>
    <row r="299" spans="1:3" x14ac:dyDescent="0.35">
      <c r="A299" t="s">
        <v>984</v>
      </c>
      <c r="B299" t="s">
        <v>100</v>
      </c>
      <c r="C299">
        <v>27.75</v>
      </c>
    </row>
    <row r="300" spans="1:3" x14ac:dyDescent="0.35">
      <c r="A300" t="s">
        <v>981</v>
      </c>
      <c r="B300" t="s">
        <v>1058</v>
      </c>
      <c r="C300">
        <v>10.17</v>
      </c>
    </row>
    <row r="301" spans="1:3" x14ac:dyDescent="0.35">
      <c r="A301" t="s">
        <v>1020</v>
      </c>
      <c r="B301" t="s">
        <v>926</v>
      </c>
      <c r="C301">
        <v>14.94</v>
      </c>
    </row>
    <row r="302" spans="1:3" x14ac:dyDescent="0.35">
      <c r="A302" t="s">
        <v>1020</v>
      </c>
      <c r="B302" t="s">
        <v>926</v>
      </c>
      <c r="C302">
        <v>14.99</v>
      </c>
    </row>
    <row r="303" spans="1:3" x14ac:dyDescent="0.35">
      <c r="A303" t="s">
        <v>985</v>
      </c>
      <c r="B303" t="s">
        <v>1059</v>
      </c>
      <c r="C303">
        <v>11.99</v>
      </c>
    </row>
    <row r="304" spans="1:3" x14ac:dyDescent="0.35">
      <c r="A304" t="s">
        <v>982</v>
      </c>
      <c r="B304" t="s">
        <v>926</v>
      </c>
      <c r="C304">
        <v>14.46</v>
      </c>
    </row>
    <row r="305" spans="1:6" x14ac:dyDescent="0.35">
      <c r="A305" t="s">
        <v>982</v>
      </c>
      <c r="B305" t="s">
        <v>926</v>
      </c>
      <c r="C305">
        <v>15.45</v>
      </c>
    </row>
    <row r="306" spans="1:6" x14ac:dyDescent="0.35">
      <c r="A306" t="s">
        <v>983</v>
      </c>
      <c r="B306" t="s">
        <v>926</v>
      </c>
      <c r="C306">
        <v>14.28</v>
      </c>
    </row>
    <row r="307" spans="1:6" x14ac:dyDescent="0.35">
      <c r="A307" t="s">
        <v>983</v>
      </c>
      <c r="B307" t="s">
        <v>926</v>
      </c>
      <c r="C307">
        <v>14.89</v>
      </c>
    </row>
    <row r="308" spans="1:6" x14ac:dyDescent="0.35">
      <c r="C308">
        <v>0</v>
      </c>
      <c r="D308">
        <f>SUM(C274:C307)</f>
        <v>531.70999999999992</v>
      </c>
      <c r="E308">
        <f>SUM(C2:C307)</f>
        <v>13810.139999999998</v>
      </c>
      <c r="F308" t="s">
        <v>965</v>
      </c>
    </row>
    <row r="309" spans="1:6" x14ac:dyDescent="0.35">
      <c r="A309" t="s">
        <v>986</v>
      </c>
      <c r="B309" t="s">
        <v>926</v>
      </c>
      <c r="C309">
        <v>15.11</v>
      </c>
    </row>
    <row r="310" spans="1:6" x14ac:dyDescent="0.35">
      <c r="A310" t="s">
        <v>986</v>
      </c>
      <c r="B310" t="s">
        <v>926</v>
      </c>
      <c r="C310">
        <v>15.35</v>
      </c>
    </row>
    <row r="311" spans="1:6" x14ac:dyDescent="0.35">
      <c r="A311" t="s">
        <v>966</v>
      </c>
      <c r="B311" t="s">
        <v>1031</v>
      </c>
      <c r="C311">
        <v>36.69</v>
      </c>
    </row>
    <row r="312" spans="1:6" x14ac:dyDescent="0.35">
      <c r="A312" t="s">
        <v>1000</v>
      </c>
      <c r="B312" t="s">
        <v>926</v>
      </c>
      <c r="C312">
        <v>14.17</v>
      </c>
    </row>
    <row r="313" spans="1:6" x14ac:dyDescent="0.35">
      <c r="A313" t="s">
        <v>1078</v>
      </c>
      <c r="B313" t="s">
        <v>926</v>
      </c>
      <c r="C313">
        <v>14.51</v>
      </c>
    </row>
    <row r="314" spans="1:6" x14ac:dyDescent="0.35">
      <c r="A314" t="s">
        <v>1080</v>
      </c>
      <c r="B314" t="s">
        <v>926</v>
      </c>
      <c r="C314">
        <v>13.8</v>
      </c>
    </row>
    <row r="315" spans="1:6" x14ac:dyDescent="0.35">
      <c r="A315" t="s">
        <v>1080</v>
      </c>
      <c r="B315" t="s">
        <v>926</v>
      </c>
      <c r="C315">
        <v>8.7200000000000006</v>
      </c>
    </row>
    <row r="316" spans="1:6" x14ac:dyDescent="0.35">
      <c r="A316" t="s">
        <v>1080</v>
      </c>
      <c r="B316" t="s">
        <v>230</v>
      </c>
      <c r="C316">
        <v>16.75</v>
      </c>
    </row>
    <row r="317" spans="1:6" x14ac:dyDescent="0.35">
      <c r="A317" t="s">
        <v>1080</v>
      </c>
      <c r="B317" t="s">
        <v>168</v>
      </c>
      <c r="C317">
        <v>16.05</v>
      </c>
    </row>
    <row r="318" spans="1:6" x14ac:dyDescent="0.35">
      <c r="A318" t="s">
        <v>1064</v>
      </c>
      <c r="B318" t="s">
        <v>80</v>
      </c>
      <c r="C318">
        <v>20</v>
      </c>
    </row>
    <row r="319" spans="1:6" x14ac:dyDescent="0.35">
      <c r="A319" t="s">
        <v>968</v>
      </c>
      <c r="B319" t="s">
        <v>926</v>
      </c>
      <c r="C319">
        <v>15.16</v>
      </c>
    </row>
    <row r="320" spans="1:6" x14ac:dyDescent="0.35">
      <c r="A320" t="s">
        <v>968</v>
      </c>
      <c r="B320" t="s">
        <v>926</v>
      </c>
      <c r="C320">
        <v>14.53</v>
      </c>
    </row>
    <row r="321" spans="1:6" x14ac:dyDescent="0.35">
      <c r="A321" t="s">
        <v>1085</v>
      </c>
      <c r="B321" t="s">
        <v>1092</v>
      </c>
      <c r="C321">
        <v>40.17</v>
      </c>
    </row>
    <row r="322" spans="1:6" x14ac:dyDescent="0.35">
      <c r="A322" t="s">
        <v>1085</v>
      </c>
      <c r="B322" t="s">
        <v>926</v>
      </c>
      <c r="C322">
        <v>16.03</v>
      </c>
    </row>
    <row r="323" spans="1:6" x14ac:dyDescent="0.35">
      <c r="A323" t="s">
        <v>1085</v>
      </c>
      <c r="B323" t="s">
        <v>926</v>
      </c>
      <c r="C323">
        <v>14.5</v>
      </c>
    </row>
    <row r="324" spans="1:6" x14ac:dyDescent="0.35">
      <c r="A324" t="s">
        <v>973</v>
      </c>
      <c r="B324" t="s">
        <v>926</v>
      </c>
      <c r="C324">
        <v>14.53</v>
      </c>
    </row>
    <row r="325" spans="1:6" x14ac:dyDescent="0.35">
      <c r="A325" t="s">
        <v>973</v>
      </c>
      <c r="B325" t="s">
        <v>1088</v>
      </c>
      <c r="C325">
        <v>4.07</v>
      </c>
    </row>
    <row r="326" spans="1:6" x14ac:dyDescent="0.35">
      <c r="A326" t="s">
        <v>973</v>
      </c>
      <c r="B326" t="s">
        <v>926</v>
      </c>
      <c r="C326">
        <v>14.5</v>
      </c>
    </row>
    <row r="327" spans="1:6" x14ac:dyDescent="0.35">
      <c r="A327" t="s">
        <v>973</v>
      </c>
      <c r="B327" t="s">
        <v>16</v>
      </c>
      <c r="C327">
        <v>3</v>
      </c>
    </row>
    <row r="328" spans="1:6" x14ac:dyDescent="0.35">
      <c r="C328">
        <v>0</v>
      </c>
      <c r="E328">
        <f>SUM(C2:C327)</f>
        <v>14117.779999999999</v>
      </c>
      <c r="F328" t="s">
        <v>9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F17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76</v>
      </c>
      <c r="B2" t="s">
        <v>77</v>
      </c>
      <c r="C2">
        <v>80.11</v>
      </c>
    </row>
    <row r="3" spans="1:6" x14ac:dyDescent="0.35">
      <c r="A3" t="s">
        <v>15</v>
      </c>
      <c r="B3" t="s">
        <v>78</v>
      </c>
      <c r="C3">
        <v>168.62</v>
      </c>
    </row>
    <row r="4" spans="1:6" x14ac:dyDescent="0.35">
      <c r="A4" t="s">
        <v>15</v>
      </c>
      <c r="B4" t="s">
        <v>45</v>
      </c>
      <c r="C4">
        <v>13.5</v>
      </c>
    </row>
    <row r="5" spans="1:6" x14ac:dyDescent="0.35">
      <c r="A5" t="s">
        <v>58</v>
      </c>
      <c r="B5" t="s">
        <v>68</v>
      </c>
      <c r="C5">
        <v>38.14</v>
      </c>
    </row>
    <row r="6" spans="1:6" x14ac:dyDescent="0.35">
      <c r="A6" t="s">
        <v>58</v>
      </c>
      <c r="B6" t="s">
        <v>67</v>
      </c>
      <c r="C6">
        <v>338.63</v>
      </c>
    </row>
    <row r="7" spans="1:6" x14ac:dyDescent="0.35">
      <c r="A7" t="s">
        <v>24</v>
      </c>
      <c r="B7" t="s">
        <v>69</v>
      </c>
      <c r="C7">
        <v>262.95</v>
      </c>
    </row>
    <row r="8" spans="1:6" x14ac:dyDescent="0.35">
      <c r="A8" t="s">
        <v>26</v>
      </c>
      <c r="B8" t="s">
        <v>67</v>
      </c>
      <c r="C8">
        <v>175.99</v>
      </c>
    </row>
    <row r="9" spans="1:6" x14ac:dyDescent="0.35">
      <c r="A9" t="s">
        <v>4</v>
      </c>
      <c r="B9" t="s">
        <v>56</v>
      </c>
      <c r="C9">
        <v>8.99</v>
      </c>
    </row>
    <row r="10" spans="1:6" x14ac:dyDescent="0.35">
      <c r="C10">
        <v>0</v>
      </c>
      <c r="D10">
        <f>SUM(C2:C9)</f>
        <v>1086.93</v>
      </c>
      <c r="E10">
        <f>SUM(C2:C9)</f>
        <v>1086.93</v>
      </c>
      <c r="F10" t="s">
        <v>6</v>
      </c>
    </row>
    <row r="11" spans="1:6" x14ac:dyDescent="0.35">
      <c r="A11" t="s">
        <v>46</v>
      </c>
      <c r="B11" t="s">
        <v>45</v>
      </c>
      <c r="C11">
        <v>5</v>
      </c>
    </row>
    <row r="12" spans="1:6" x14ac:dyDescent="0.35">
      <c r="A12" t="s">
        <v>62</v>
      </c>
      <c r="B12" t="s">
        <v>70</v>
      </c>
      <c r="C12">
        <v>28.18</v>
      </c>
    </row>
    <row r="13" spans="1:6" x14ac:dyDescent="0.35">
      <c r="A13" t="s">
        <v>47</v>
      </c>
      <c r="B13" t="s">
        <v>169</v>
      </c>
      <c r="C13">
        <v>55.99</v>
      </c>
    </row>
    <row r="14" spans="1:6" x14ac:dyDescent="0.35">
      <c r="A14" t="s">
        <v>99</v>
      </c>
      <c r="B14" t="s">
        <v>170</v>
      </c>
      <c r="C14">
        <v>55</v>
      </c>
    </row>
    <row r="15" spans="1:6" x14ac:dyDescent="0.35">
      <c r="A15" t="s">
        <v>10</v>
      </c>
      <c r="B15" t="s">
        <v>156</v>
      </c>
      <c r="C15">
        <v>156.46</v>
      </c>
    </row>
    <row r="16" spans="1:6" x14ac:dyDescent="0.35">
      <c r="A16" t="s">
        <v>157</v>
      </c>
      <c r="B16" t="s">
        <v>68</v>
      </c>
      <c r="C16">
        <v>92.25</v>
      </c>
    </row>
    <row r="17" spans="1:3" x14ac:dyDescent="0.35">
      <c r="A17" t="s">
        <v>87</v>
      </c>
      <c r="B17" t="s">
        <v>77</v>
      </c>
      <c r="C17">
        <v>80.19</v>
      </c>
    </row>
    <row r="18" spans="1:3" x14ac:dyDescent="0.35">
      <c r="A18" t="s">
        <v>96</v>
      </c>
      <c r="B18" t="s">
        <v>78</v>
      </c>
      <c r="C18">
        <v>118.49</v>
      </c>
    </row>
    <row r="19" spans="1:3" x14ac:dyDescent="0.35">
      <c r="A19" t="s">
        <v>127</v>
      </c>
      <c r="B19" t="s">
        <v>67</v>
      </c>
      <c r="C19">
        <v>322.27999999999997</v>
      </c>
    </row>
    <row r="20" spans="1:3" x14ac:dyDescent="0.35">
      <c r="A20" t="s">
        <v>158</v>
      </c>
      <c r="B20" t="s">
        <v>69</v>
      </c>
      <c r="C20">
        <v>262.95</v>
      </c>
    </row>
    <row r="21" spans="1:3" x14ac:dyDescent="0.35">
      <c r="A21" t="s">
        <v>159</v>
      </c>
      <c r="B21" t="s">
        <v>68</v>
      </c>
      <c r="C21">
        <v>49.81</v>
      </c>
    </row>
    <row r="22" spans="1:3" x14ac:dyDescent="0.35">
      <c r="A22" t="s">
        <v>159</v>
      </c>
      <c r="B22" t="s">
        <v>67</v>
      </c>
      <c r="C22">
        <v>164.23</v>
      </c>
    </row>
    <row r="23" spans="1:3" x14ac:dyDescent="0.35">
      <c r="A23" t="s">
        <v>121</v>
      </c>
      <c r="B23" t="s">
        <v>147</v>
      </c>
      <c r="C23">
        <v>-56.47</v>
      </c>
    </row>
    <row r="24" spans="1:3" x14ac:dyDescent="0.35">
      <c r="A24" t="s">
        <v>129</v>
      </c>
      <c r="B24" t="s">
        <v>171</v>
      </c>
      <c r="C24">
        <v>5</v>
      </c>
    </row>
    <row r="25" spans="1:3" x14ac:dyDescent="0.35">
      <c r="A25" t="s">
        <v>85</v>
      </c>
      <c r="B25" t="s">
        <v>145</v>
      </c>
      <c r="C25">
        <v>8.99</v>
      </c>
    </row>
    <row r="26" spans="1:3" x14ac:dyDescent="0.35">
      <c r="A26" t="s">
        <v>90</v>
      </c>
      <c r="B26" t="s">
        <v>169</v>
      </c>
      <c r="C26">
        <v>55.99</v>
      </c>
    </row>
    <row r="27" spans="1:3" x14ac:dyDescent="0.35">
      <c r="A27" t="s">
        <v>263</v>
      </c>
      <c r="B27" t="s">
        <v>170</v>
      </c>
      <c r="C27">
        <v>55</v>
      </c>
    </row>
    <row r="28" spans="1:3" x14ac:dyDescent="0.35">
      <c r="A28" t="s">
        <v>251</v>
      </c>
      <c r="B28" t="s">
        <v>68</v>
      </c>
      <c r="C28">
        <v>95.15</v>
      </c>
    </row>
    <row r="29" spans="1:3" x14ac:dyDescent="0.35">
      <c r="A29" t="s">
        <v>187</v>
      </c>
      <c r="B29" t="s">
        <v>78</v>
      </c>
      <c r="C29">
        <v>200.67</v>
      </c>
    </row>
    <row r="30" spans="1:3" x14ac:dyDescent="0.35">
      <c r="A30" t="s">
        <v>189</v>
      </c>
      <c r="B30" t="s">
        <v>77</v>
      </c>
      <c r="C30">
        <v>80.19</v>
      </c>
    </row>
    <row r="31" spans="1:3" x14ac:dyDescent="0.35">
      <c r="A31" t="s">
        <v>196</v>
      </c>
      <c r="B31" t="s">
        <v>69</v>
      </c>
      <c r="C31">
        <v>262.95</v>
      </c>
    </row>
    <row r="32" spans="1:3" x14ac:dyDescent="0.35">
      <c r="A32" t="s">
        <v>194</v>
      </c>
      <c r="B32" t="s">
        <v>67</v>
      </c>
      <c r="C32">
        <v>224.57</v>
      </c>
    </row>
    <row r="33" spans="1:3" x14ac:dyDescent="0.35">
      <c r="A33" t="s">
        <v>213</v>
      </c>
      <c r="B33" t="s">
        <v>68</v>
      </c>
      <c r="C33">
        <v>132.47999999999999</v>
      </c>
    </row>
    <row r="34" spans="1:3" x14ac:dyDescent="0.35">
      <c r="A34" t="s">
        <v>213</v>
      </c>
      <c r="B34" t="s">
        <v>67</v>
      </c>
      <c r="C34">
        <v>252.77</v>
      </c>
    </row>
    <row r="35" spans="1:3" x14ac:dyDescent="0.35">
      <c r="A35" t="s">
        <v>180</v>
      </c>
      <c r="B35" t="s">
        <v>45</v>
      </c>
      <c r="C35">
        <v>38.5</v>
      </c>
    </row>
    <row r="36" spans="1:3" x14ac:dyDescent="0.35">
      <c r="A36" t="s">
        <v>220</v>
      </c>
      <c r="B36" t="s">
        <v>237</v>
      </c>
      <c r="C36">
        <v>8.99</v>
      </c>
    </row>
    <row r="37" spans="1:3" x14ac:dyDescent="0.35">
      <c r="A37" t="s">
        <v>246</v>
      </c>
      <c r="B37" t="s">
        <v>169</v>
      </c>
      <c r="C37">
        <v>55.99</v>
      </c>
    </row>
    <row r="38" spans="1:3" x14ac:dyDescent="0.35">
      <c r="A38" t="s">
        <v>312</v>
      </c>
      <c r="B38" t="s">
        <v>170</v>
      </c>
      <c r="C38">
        <v>55</v>
      </c>
    </row>
    <row r="39" spans="1:3" x14ac:dyDescent="0.35">
      <c r="A39" t="s">
        <v>312</v>
      </c>
      <c r="B39" t="s">
        <v>70</v>
      </c>
      <c r="C39">
        <v>77.599999999999994</v>
      </c>
    </row>
    <row r="40" spans="1:3" x14ac:dyDescent="0.35">
      <c r="A40" t="s">
        <v>295</v>
      </c>
      <c r="B40" t="s">
        <v>156</v>
      </c>
      <c r="C40">
        <v>166.54</v>
      </c>
    </row>
    <row r="41" spans="1:3" x14ac:dyDescent="0.35">
      <c r="A41" t="s">
        <v>306</v>
      </c>
      <c r="B41" t="s">
        <v>68</v>
      </c>
      <c r="C41">
        <v>67.81</v>
      </c>
    </row>
    <row r="42" spans="1:3" x14ac:dyDescent="0.35">
      <c r="A42" t="s">
        <v>303</v>
      </c>
      <c r="B42" t="s">
        <v>77</v>
      </c>
      <c r="C42">
        <v>80.19</v>
      </c>
    </row>
    <row r="43" spans="1:3" x14ac:dyDescent="0.35">
      <c r="A43" t="s">
        <v>309</v>
      </c>
      <c r="B43" t="s">
        <v>78</v>
      </c>
      <c r="C43">
        <v>249.51</v>
      </c>
    </row>
    <row r="44" spans="1:3" x14ac:dyDescent="0.35">
      <c r="A44" t="s">
        <v>309</v>
      </c>
      <c r="B44" t="s">
        <v>334</v>
      </c>
      <c r="C44">
        <v>5.3</v>
      </c>
    </row>
    <row r="45" spans="1:3" x14ac:dyDescent="0.35">
      <c r="A45" t="s">
        <v>311</v>
      </c>
      <c r="B45" t="s">
        <v>45</v>
      </c>
      <c r="C45">
        <v>23.5</v>
      </c>
    </row>
    <row r="46" spans="1:3" x14ac:dyDescent="0.35">
      <c r="A46" t="s">
        <v>280</v>
      </c>
      <c r="B46" t="s">
        <v>67</v>
      </c>
      <c r="C46">
        <v>46.79</v>
      </c>
    </row>
    <row r="47" spans="1:3" x14ac:dyDescent="0.35">
      <c r="A47" t="s">
        <v>280</v>
      </c>
      <c r="B47" t="s">
        <v>332</v>
      </c>
      <c r="C47">
        <v>262.95</v>
      </c>
    </row>
    <row r="48" spans="1:3" x14ac:dyDescent="0.35">
      <c r="A48" t="s">
        <v>333</v>
      </c>
      <c r="B48" t="s">
        <v>68</v>
      </c>
      <c r="C48">
        <v>19.79</v>
      </c>
    </row>
    <row r="49" spans="1:6" x14ac:dyDescent="0.35">
      <c r="A49" t="s">
        <v>333</v>
      </c>
      <c r="B49" t="s">
        <v>67</v>
      </c>
      <c r="C49">
        <v>167.2</v>
      </c>
    </row>
    <row r="50" spans="1:6" x14ac:dyDescent="0.35">
      <c r="A50" t="s">
        <v>292</v>
      </c>
      <c r="B50" t="s">
        <v>334</v>
      </c>
      <c r="C50">
        <v>5.3</v>
      </c>
    </row>
    <row r="51" spans="1:6" x14ac:dyDescent="0.35">
      <c r="A51" t="s">
        <v>321</v>
      </c>
      <c r="B51" t="s">
        <v>322</v>
      </c>
      <c r="C51">
        <v>8.99</v>
      </c>
    </row>
    <row r="52" spans="1:6" x14ac:dyDescent="0.35">
      <c r="C52">
        <v>0</v>
      </c>
      <c r="D52">
        <f>SUM(C11:C51)</f>
        <v>4048.0699999999997</v>
      </c>
      <c r="E52">
        <f>SUM(C2:C51)</f>
        <v>5135</v>
      </c>
      <c r="F52" t="s">
        <v>282</v>
      </c>
    </row>
    <row r="53" spans="1:6" x14ac:dyDescent="0.35">
      <c r="A53" t="s">
        <v>325</v>
      </c>
      <c r="B53" t="s">
        <v>327</v>
      </c>
      <c r="C53">
        <v>476</v>
      </c>
    </row>
    <row r="54" spans="1:6" x14ac:dyDescent="0.35">
      <c r="A54" t="s">
        <v>403</v>
      </c>
      <c r="B54" t="s">
        <v>169</v>
      </c>
      <c r="C54">
        <v>55.99</v>
      </c>
    </row>
    <row r="55" spans="1:6" x14ac:dyDescent="0.35">
      <c r="A55" t="s">
        <v>387</v>
      </c>
      <c r="B55" t="s">
        <v>170</v>
      </c>
      <c r="C55">
        <v>55</v>
      </c>
    </row>
    <row r="56" spans="1:6" x14ac:dyDescent="0.35">
      <c r="A56" t="s">
        <v>369</v>
      </c>
      <c r="B56" t="s">
        <v>68</v>
      </c>
      <c r="C56">
        <v>65.319999999999993</v>
      </c>
    </row>
    <row r="57" spans="1:6" x14ac:dyDescent="0.35">
      <c r="A57" t="s">
        <v>371</v>
      </c>
      <c r="B57" t="s">
        <v>77</v>
      </c>
      <c r="C57">
        <v>80.17</v>
      </c>
    </row>
    <row r="58" spans="1:6" x14ac:dyDescent="0.35">
      <c r="A58" t="s">
        <v>352</v>
      </c>
      <c r="B58" t="s">
        <v>78</v>
      </c>
      <c r="C58">
        <v>179.51</v>
      </c>
    </row>
    <row r="59" spans="1:6" x14ac:dyDescent="0.35">
      <c r="A59" t="s">
        <v>374</v>
      </c>
      <c r="B59" t="s">
        <v>400</v>
      </c>
      <c r="C59">
        <v>262.95</v>
      </c>
    </row>
    <row r="60" spans="1:6" x14ac:dyDescent="0.35">
      <c r="A60" t="s">
        <v>354</v>
      </c>
      <c r="B60" t="s">
        <v>67</v>
      </c>
      <c r="C60">
        <v>99.64</v>
      </c>
    </row>
    <row r="61" spans="1:6" x14ac:dyDescent="0.35">
      <c r="A61" t="s">
        <v>354</v>
      </c>
      <c r="B61" t="s">
        <v>67</v>
      </c>
      <c r="C61">
        <v>153.97</v>
      </c>
    </row>
    <row r="62" spans="1:6" x14ac:dyDescent="0.35">
      <c r="A62" t="s">
        <v>364</v>
      </c>
      <c r="B62" t="s">
        <v>68</v>
      </c>
      <c r="C62">
        <v>21.2</v>
      </c>
    </row>
    <row r="63" spans="1:6" x14ac:dyDescent="0.35">
      <c r="A63" t="s">
        <v>345</v>
      </c>
      <c r="B63" t="s">
        <v>386</v>
      </c>
      <c r="C63">
        <v>8.99</v>
      </c>
    </row>
    <row r="64" spans="1:6" x14ac:dyDescent="0.35">
      <c r="A64" t="s">
        <v>345</v>
      </c>
      <c r="B64" t="s">
        <v>45</v>
      </c>
      <c r="C64">
        <v>71</v>
      </c>
    </row>
    <row r="65" spans="1:6" x14ac:dyDescent="0.35">
      <c r="C65">
        <v>0</v>
      </c>
      <c r="D65">
        <f>SUM(C53:C64)</f>
        <v>1529.74</v>
      </c>
      <c r="E65">
        <f>SUM(C2:C64)</f>
        <v>6664.74</v>
      </c>
      <c r="F65" t="s">
        <v>347</v>
      </c>
    </row>
    <row r="66" spans="1:6" x14ac:dyDescent="0.35">
      <c r="A66" t="s">
        <v>401</v>
      </c>
      <c r="B66" t="s">
        <v>70</v>
      </c>
      <c r="C66">
        <v>19</v>
      </c>
    </row>
    <row r="67" spans="1:6" x14ac:dyDescent="0.35">
      <c r="A67" t="s">
        <v>483</v>
      </c>
      <c r="B67" t="s">
        <v>169</v>
      </c>
      <c r="C67">
        <v>55.99</v>
      </c>
    </row>
    <row r="68" spans="1:6" x14ac:dyDescent="0.35">
      <c r="A68" t="s">
        <v>471</v>
      </c>
      <c r="B68" t="s">
        <v>170</v>
      </c>
      <c r="C68">
        <v>55</v>
      </c>
    </row>
    <row r="69" spans="1:6" x14ac:dyDescent="0.35">
      <c r="A69" t="s">
        <v>446</v>
      </c>
      <c r="B69" t="s">
        <v>156</v>
      </c>
      <c r="C69">
        <v>78.36</v>
      </c>
    </row>
    <row r="70" spans="1:6" x14ac:dyDescent="0.35">
      <c r="A70" t="s">
        <v>447</v>
      </c>
      <c r="B70" t="s">
        <v>68</v>
      </c>
      <c r="C70">
        <v>39.33</v>
      </c>
    </row>
    <row r="71" spans="1:6" x14ac:dyDescent="0.35">
      <c r="A71" t="s">
        <v>435</v>
      </c>
      <c r="B71" t="s">
        <v>77</v>
      </c>
      <c r="C71">
        <v>80.17</v>
      </c>
    </row>
    <row r="72" spans="1:6" x14ac:dyDescent="0.35">
      <c r="A72" t="s">
        <v>416</v>
      </c>
      <c r="B72" t="s">
        <v>78</v>
      </c>
      <c r="C72">
        <v>179.52</v>
      </c>
    </row>
    <row r="73" spans="1:6" x14ac:dyDescent="0.35">
      <c r="A73" t="s">
        <v>439</v>
      </c>
      <c r="B73" t="s">
        <v>484</v>
      </c>
      <c r="C73">
        <v>5.3</v>
      </c>
    </row>
    <row r="74" spans="1:6" x14ac:dyDescent="0.35">
      <c r="A74" t="s">
        <v>462</v>
      </c>
      <c r="B74" t="s">
        <v>479</v>
      </c>
      <c r="C74">
        <v>262.95</v>
      </c>
    </row>
    <row r="75" spans="1:6" x14ac:dyDescent="0.35">
      <c r="A75" t="s">
        <v>448</v>
      </c>
      <c r="B75" t="s">
        <v>68</v>
      </c>
      <c r="C75">
        <v>22.35</v>
      </c>
    </row>
    <row r="76" spans="1:6" x14ac:dyDescent="0.35">
      <c r="A76" t="s">
        <v>448</v>
      </c>
      <c r="B76" t="s">
        <v>67</v>
      </c>
      <c r="C76">
        <v>68.430000000000007</v>
      </c>
    </row>
    <row r="77" spans="1:6" x14ac:dyDescent="0.35">
      <c r="A77" t="s">
        <v>459</v>
      </c>
      <c r="B77" t="s">
        <v>67</v>
      </c>
      <c r="C77">
        <v>75.45</v>
      </c>
    </row>
    <row r="78" spans="1:6" x14ac:dyDescent="0.35">
      <c r="A78" t="s">
        <v>426</v>
      </c>
      <c r="B78" t="s">
        <v>45</v>
      </c>
      <c r="C78">
        <v>18.95</v>
      </c>
    </row>
    <row r="79" spans="1:6" x14ac:dyDescent="0.35">
      <c r="A79" t="s">
        <v>418</v>
      </c>
      <c r="B79" t="s">
        <v>467</v>
      </c>
      <c r="C79">
        <v>8.99</v>
      </c>
    </row>
    <row r="80" spans="1:6" x14ac:dyDescent="0.35">
      <c r="A80" t="s">
        <v>429</v>
      </c>
      <c r="B80" t="s">
        <v>598</v>
      </c>
      <c r="C80">
        <v>32.700000000000003</v>
      </c>
    </row>
    <row r="81" spans="1:6" x14ac:dyDescent="0.35">
      <c r="A81" t="s">
        <v>429</v>
      </c>
      <c r="B81" t="s">
        <v>169</v>
      </c>
      <c r="C81">
        <v>55.99</v>
      </c>
    </row>
    <row r="82" spans="1:6" x14ac:dyDescent="0.35">
      <c r="A82" t="s">
        <v>488</v>
      </c>
      <c r="B82" t="s">
        <v>170</v>
      </c>
      <c r="C82">
        <v>55</v>
      </c>
    </row>
    <row r="83" spans="1:6" x14ac:dyDescent="0.35">
      <c r="A83" t="s">
        <v>585</v>
      </c>
      <c r="B83" t="s">
        <v>68</v>
      </c>
      <c r="C83">
        <v>75.819999999999993</v>
      </c>
    </row>
    <row r="84" spans="1:6" x14ac:dyDescent="0.35">
      <c r="A84" t="s">
        <v>510</v>
      </c>
      <c r="B84" t="s">
        <v>45</v>
      </c>
      <c r="C84">
        <v>18.5</v>
      </c>
    </row>
    <row r="85" spans="1:6" x14ac:dyDescent="0.35">
      <c r="A85" t="s">
        <v>519</v>
      </c>
      <c r="B85" t="s">
        <v>77</v>
      </c>
      <c r="C85">
        <v>80.17</v>
      </c>
    </row>
    <row r="86" spans="1:6" x14ac:dyDescent="0.35">
      <c r="A86" t="s">
        <v>571</v>
      </c>
      <c r="B86" t="s">
        <v>78</v>
      </c>
      <c r="C86">
        <v>179.52</v>
      </c>
    </row>
    <row r="87" spans="1:6" x14ac:dyDescent="0.35">
      <c r="A87" t="s">
        <v>535</v>
      </c>
      <c r="B87" t="s">
        <v>586</v>
      </c>
      <c r="C87">
        <v>262.95</v>
      </c>
    </row>
    <row r="88" spans="1:6" x14ac:dyDescent="0.35">
      <c r="A88" t="s">
        <v>538</v>
      </c>
      <c r="B88" t="s">
        <v>68</v>
      </c>
      <c r="C88">
        <v>26.02</v>
      </c>
    </row>
    <row r="89" spans="1:6" x14ac:dyDescent="0.35">
      <c r="A89" t="s">
        <v>538</v>
      </c>
      <c r="B89" t="s">
        <v>67</v>
      </c>
      <c r="C89">
        <v>66.56</v>
      </c>
    </row>
    <row r="90" spans="1:6" x14ac:dyDescent="0.35">
      <c r="A90" t="s">
        <v>542</v>
      </c>
      <c r="B90" t="s">
        <v>587</v>
      </c>
      <c r="C90">
        <v>100</v>
      </c>
    </row>
    <row r="91" spans="1:6" x14ac:dyDescent="0.35">
      <c r="A91" t="s">
        <v>518</v>
      </c>
      <c r="B91" t="s">
        <v>574</v>
      </c>
      <c r="C91">
        <v>8.99</v>
      </c>
    </row>
    <row r="92" spans="1:6" x14ac:dyDescent="0.35">
      <c r="C92">
        <v>0</v>
      </c>
      <c r="D92">
        <f>SUM(C66:C91)</f>
        <v>1932.01</v>
      </c>
      <c r="E92">
        <f>SUM(C2:C91)</f>
        <v>8596.75</v>
      </c>
      <c r="F92" t="s">
        <v>503</v>
      </c>
    </row>
    <row r="93" spans="1:6" x14ac:dyDescent="0.35">
      <c r="A93" t="s">
        <v>504</v>
      </c>
      <c r="B93" t="s">
        <v>588</v>
      </c>
      <c r="C93">
        <v>135</v>
      </c>
    </row>
    <row r="94" spans="1:6" x14ac:dyDescent="0.35">
      <c r="A94" t="s">
        <v>546</v>
      </c>
      <c r="B94" t="s">
        <v>70</v>
      </c>
      <c r="C94">
        <v>19</v>
      </c>
    </row>
    <row r="95" spans="1:6" x14ac:dyDescent="0.35">
      <c r="A95" t="s">
        <v>622</v>
      </c>
      <c r="B95" t="s">
        <v>598</v>
      </c>
      <c r="C95">
        <v>32.700000000000003</v>
      </c>
    </row>
    <row r="96" spans="1:6" x14ac:dyDescent="0.35">
      <c r="A96" t="s">
        <v>622</v>
      </c>
      <c r="B96" t="s">
        <v>169</v>
      </c>
      <c r="C96">
        <v>55.99</v>
      </c>
    </row>
    <row r="97" spans="1:6" x14ac:dyDescent="0.35">
      <c r="A97" t="s">
        <v>639</v>
      </c>
      <c r="B97" t="s">
        <v>170</v>
      </c>
      <c r="C97">
        <v>55</v>
      </c>
    </row>
    <row r="98" spans="1:6" x14ac:dyDescent="0.35">
      <c r="A98" t="s">
        <v>623</v>
      </c>
      <c r="B98" t="s">
        <v>156</v>
      </c>
      <c r="C98">
        <v>157.91999999999999</v>
      </c>
    </row>
    <row r="99" spans="1:6" x14ac:dyDescent="0.35">
      <c r="A99" t="s">
        <v>673</v>
      </c>
      <c r="B99" t="s">
        <v>68</v>
      </c>
      <c r="C99">
        <v>99.95</v>
      </c>
    </row>
    <row r="100" spans="1:6" x14ac:dyDescent="0.35">
      <c r="A100" t="s">
        <v>645</v>
      </c>
      <c r="B100" t="s">
        <v>484</v>
      </c>
      <c r="C100">
        <v>5.3</v>
      </c>
    </row>
    <row r="101" spans="1:6" x14ac:dyDescent="0.35">
      <c r="A101" t="s">
        <v>617</v>
      </c>
      <c r="B101" t="s">
        <v>77</v>
      </c>
      <c r="C101">
        <v>80.28</v>
      </c>
    </row>
    <row r="102" spans="1:6" x14ac:dyDescent="0.35">
      <c r="A102" t="s">
        <v>640</v>
      </c>
      <c r="B102" t="s">
        <v>78</v>
      </c>
      <c r="C102">
        <v>179.52</v>
      </c>
    </row>
    <row r="103" spans="1:6" x14ac:dyDescent="0.35">
      <c r="A103" t="s">
        <v>657</v>
      </c>
      <c r="B103" t="s">
        <v>674</v>
      </c>
      <c r="C103">
        <v>262.95</v>
      </c>
    </row>
    <row r="104" spans="1:6" x14ac:dyDescent="0.35">
      <c r="A104" t="s">
        <v>646</v>
      </c>
      <c r="B104" t="s">
        <v>67</v>
      </c>
      <c r="C104">
        <v>66.849999999999994</v>
      </c>
    </row>
    <row r="105" spans="1:6" x14ac:dyDescent="0.35">
      <c r="A105" t="s">
        <v>647</v>
      </c>
      <c r="B105" t="s">
        <v>68</v>
      </c>
      <c r="C105">
        <v>28.65</v>
      </c>
    </row>
    <row r="106" spans="1:6" x14ac:dyDescent="0.35">
      <c r="A106" t="s">
        <v>612</v>
      </c>
      <c r="B106" t="s">
        <v>665</v>
      </c>
      <c r="C106">
        <v>8.99</v>
      </c>
    </row>
    <row r="107" spans="1:6" x14ac:dyDescent="0.35">
      <c r="C107">
        <v>0</v>
      </c>
      <c r="D107">
        <f>SUM(C93:C106)</f>
        <v>1188.0999999999999</v>
      </c>
      <c r="E107">
        <f>SUM(C2:C106)</f>
        <v>9784.8500000000022</v>
      </c>
      <c r="F107" t="s">
        <v>614</v>
      </c>
    </row>
    <row r="108" spans="1:6" x14ac:dyDescent="0.35">
      <c r="A108" t="s">
        <v>643</v>
      </c>
      <c r="B108" t="s">
        <v>588</v>
      </c>
      <c r="C108">
        <v>135</v>
      </c>
    </row>
    <row r="109" spans="1:6" x14ac:dyDescent="0.35">
      <c r="A109" t="s">
        <v>632</v>
      </c>
      <c r="B109" t="s">
        <v>588</v>
      </c>
      <c r="C109">
        <v>100</v>
      </c>
    </row>
    <row r="110" spans="1:6" x14ac:dyDescent="0.35">
      <c r="A110" t="s">
        <v>632</v>
      </c>
      <c r="B110" t="s">
        <v>598</v>
      </c>
      <c r="C110">
        <v>32.700000000000003</v>
      </c>
    </row>
    <row r="111" spans="1:6" x14ac:dyDescent="0.35">
      <c r="A111" t="s">
        <v>632</v>
      </c>
      <c r="B111" t="s">
        <v>169</v>
      </c>
      <c r="C111">
        <v>55.99</v>
      </c>
    </row>
    <row r="112" spans="1:6" x14ac:dyDescent="0.35">
      <c r="A112" t="s">
        <v>708</v>
      </c>
      <c r="B112" t="s">
        <v>170</v>
      </c>
      <c r="C112">
        <v>55</v>
      </c>
    </row>
    <row r="113" spans="1:6" x14ac:dyDescent="0.35">
      <c r="A113" t="s">
        <v>744</v>
      </c>
      <c r="B113" t="s">
        <v>68</v>
      </c>
      <c r="C113">
        <v>178.41</v>
      </c>
    </row>
    <row r="114" spans="1:6" x14ac:dyDescent="0.35">
      <c r="A114" t="s">
        <v>729</v>
      </c>
      <c r="B114" t="s">
        <v>77</v>
      </c>
      <c r="C114">
        <v>80.28</v>
      </c>
    </row>
    <row r="115" spans="1:6" x14ac:dyDescent="0.35">
      <c r="A115" t="s">
        <v>704</v>
      </c>
      <c r="B115" t="s">
        <v>78</v>
      </c>
      <c r="C115">
        <v>179.52</v>
      </c>
    </row>
    <row r="116" spans="1:6" x14ac:dyDescent="0.35">
      <c r="A116" t="s">
        <v>740</v>
      </c>
      <c r="B116" t="s">
        <v>68</v>
      </c>
      <c r="C116">
        <v>28.64</v>
      </c>
    </row>
    <row r="117" spans="1:6" x14ac:dyDescent="0.35">
      <c r="A117" t="s">
        <v>740</v>
      </c>
      <c r="B117" t="s">
        <v>768</v>
      </c>
      <c r="C117">
        <v>262.95</v>
      </c>
    </row>
    <row r="118" spans="1:6" x14ac:dyDescent="0.35">
      <c r="A118" t="s">
        <v>732</v>
      </c>
      <c r="B118" t="s">
        <v>769</v>
      </c>
      <c r="C118">
        <v>25.74</v>
      </c>
    </row>
    <row r="119" spans="1:6" x14ac:dyDescent="0.35">
      <c r="A119" t="s">
        <v>716</v>
      </c>
      <c r="B119" t="s">
        <v>756</v>
      </c>
      <c r="C119">
        <v>8.99</v>
      </c>
    </row>
    <row r="120" spans="1:6" x14ac:dyDescent="0.35">
      <c r="C120">
        <v>0</v>
      </c>
      <c r="D120">
        <f>SUM(C108:C119)</f>
        <v>1143.22</v>
      </c>
      <c r="E120">
        <f>SUM(C2:C119)</f>
        <v>10928.070000000003</v>
      </c>
      <c r="F120" t="s">
        <v>699</v>
      </c>
    </row>
    <row r="121" spans="1:6" x14ac:dyDescent="0.35">
      <c r="A121" t="s">
        <v>700</v>
      </c>
      <c r="B121" t="s">
        <v>588</v>
      </c>
      <c r="C121">
        <v>135</v>
      </c>
    </row>
    <row r="122" spans="1:6" x14ac:dyDescent="0.35">
      <c r="A122" t="s">
        <v>717</v>
      </c>
      <c r="B122" t="s">
        <v>70</v>
      </c>
      <c r="C122">
        <v>19</v>
      </c>
    </row>
    <row r="123" spans="1:6" x14ac:dyDescent="0.35">
      <c r="A123" t="s">
        <v>717</v>
      </c>
      <c r="B123" t="s">
        <v>769</v>
      </c>
      <c r="C123">
        <v>61.12</v>
      </c>
    </row>
    <row r="124" spans="1:6" x14ac:dyDescent="0.35">
      <c r="A124" t="s">
        <v>765</v>
      </c>
      <c r="B124" t="s">
        <v>588</v>
      </c>
      <c r="C124">
        <v>100</v>
      </c>
    </row>
    <row r="125" spans="1:6" x14ac:dyDescent="0.35">
      <c r="A125" t="s">
        <v>781</v>
      </c>
      <c r="B125" t="s">
        <v>598</v>
      </c>
      <c r="C125">
        <v>32.700000000000003</v>
      </c>
    </row>
    <row r="126" spans="1:6" x14ac:dyDescent="0.35">
      <c r="A126" t="s">
        <v>781</v>
      </c>
      <c r="B126" t="s">
        <v>169</v>
      </c>
      <c r="C126">
        <v>55.99</v>
      </c>
    </row>
    <row r="127" spans="1:6" x14ac:dyDescent="0.35">
      <c r="A127" t="s">
        <v>809</v>
      </c>
      <c r="B127" t="s">
        <v>170</v>
      </c>
      <c r="C127">
        <v>55</v>
      </c>
    </row>
    <row r="128" spans="1:6" x14ac:dyDescent="0.35">
      <c r="A128" t="s">
        <v>702</v>
      </c>
      <c r="B128" t="s">
        <v>68</v>
      </c>
      <c r="C128">
        <v>189.53</v>
      </c>
    </row>
    <row r="129" spans="1:6" x14ac:dyDescent="0.35">
      <c r="A129" t="s">
        <v>811</v>
      </c>
      <c r="B129" t="s">
        <v>156</v>
      </c>
      <c r="C129">
        <v>188.34</v>
      </c>
    </row>
    <row r="130" spans="1:6" x14ac:dyDescent="0.35">
      <c r="A130" t="s">
        <v>802</v>
      </c>
      <c r="B130" t="s">
        <v>77</v>
      </c>
      <c r="C130">
        <v>80.28</v>
      </c>
    </row>
    <row r="131" spans="1:6" x14ac:dyDescent="0.35">
      <c r="A131" t="s">
        <v>830</v>
      </c>
      <c r="B131" t="s">
        <v>78</v>
      </c>
      <c r="C131">
        <v>179.52</v>
      </c>
    </row>
    <row r="132" spans="1:6" x14ac:dyDescent="0.35">
      <c r="A132" t="s">
        <v>864</v>
      </c>
      <c r="B132" t="s">
        <v>769</v>
      </c>
      <c r="C132">
        <v>48.94</v>
      </c>
    </row>
    <row r="133" spans="1:6" x14ac:dyDescent="0.35">
      <c r="A133" t="s">
        <v>864</v>
      </c>
      <c r="B133" t="s">
        <v>769</v>
      </c>
      <c r="C133">
        <v>89.8</v>
      </c>
    </row>
    <row r="134" spans="1:6" x14ac:dyDescent="0.35">
      <c r="A134" t="s">
        <v>794</v>
      </c>
      <c r="B134" t="s">
        <v>865</v>
      </c>
      <c r="C134">
        <v>262.95</v>
      </c>
    </row>
    <row r="135" spans="1:6" x14ac:dyDescent="0.35">
      <c r="A135" t="s">
        <v>832</v>
      </c>
      <c r="B135" t="s">
        <v>68</v>
      </c>
      <c r="C135">
        <v>41.57</v>
      </c>
    </row>
    <row r="136" spans="1:6" x14ac:dyDescent="0.35">
      <c r="A136" t="s">
        <v>818</v>
      </c>
      <c r="B136" t="s">
        <v>853</v>
      </c>
      <c r="C136">
        <v>8.99</v>
      </c>
    </row>
    <row r="137" spans="1:6" x14ac:dyDescent="0.35">
      <c r="C137">
        <v>0</v>
      </c>
      <c r="D137">
        <f>SUM(C121:C136)</f>
        <v>1548.73</v>
      </c>
      <c r="E137">
        <f>SUM(C2:C136)</f>
        <v>12476.800000000007</v>
      </c>
      <c r="F137" t="s">
        <v>796</v>
      </c>
    </row>
    <row r="138" spans="1:6" x14ac:dyDescent="0.35">
      <c r="A138" t="s">
        <v>797</v>
      </c>
      <c r="B138" t="s">
        <v>588</v>
      </c>
      <c r="C138">
        <v>135</v>
      </c>
    </row>
    <row r="139" spans="1:6" x14ac:dyDescent="0.35">
      <c r="A139" t="s">
        <v>843</v>
      </c>
      <c r="B139" t="s">
        <v>857</v>
      </c>
      <c r="C139">
        <v>523</v>
      </c>
    </row>
    <row r="140" spans="1:6" x14ac:dyDescent="0.35">
      <c r="A140" t="s">
        <v>838</v>
      </c>
      <c r="B140" t="s">
        <v>588</v>
      </c>
      <c r="C140">
        <v>100</v>
      </c>
    </row>
    <row r="141" spans="1:6" x14ac:dyDescent="0.35">
      <c r="A141" t="s">
        <v>842</v>
      </c>
      <c r="B141" t="s">
        <v>598</v>
      </c>
      <c r="C141">
        <v>38.15</v>
      </c>
    </row>
    <row r="142" spans="1:6" x14ac:dyDescent="0.35">
      <c r="A142" t="s">
        <v>842</v>
      </c>
      <c r="B142" t="s">
        <v>169</v>
      </c>
      <c r="C142">
        <v>55.99</v>
      </c>
    </row>
    <row r="143" spans="1:6" x14ac:dyDescent="0.35">
      <c r="A143" t="s">
        <v>888</v>
      </c>
      <c r="B143" t="s">
        <v>170</v>
      </c>
      <c r="C143">
        <v>55</v>
      </c>
    </row>
    <row r="144" spans="1:6" x14ac:dyDescent="0.35">
      <c r="A144" t="s">
        <v>800</v>
      </c>
      <c r="B144" t="s">
        <v>68</v>
      </c>
      <c r="C144">
        <v>157.66</v>
      </c>
    </row>
    <row r="145" spans="1:6" x14ac:dyDescent="0.35">
      <c r="A145" t="s">
        <v>916</v>
      </c>
      <c r="B145" t="s">
        <v>77</v>
      </c>
      <c r="C145">
        <v>80.31</v>
      </c>
    </row>
    <row r="146" spans="1:6" x14ac:dyDescent="0.35">
      <c r="A146" t="s">
        <v>892</v>
      </c>
      <c r="B146" t="s">
        <v>78</v>
      </c>
      <c r="C146">
        <v>179.52</v>
      </c>
    </row>
    <row r="147" spans="1:6" x14ac:dyDescent="0.35">
      <c r="A147" t="s">
        <v>908</v>
      </c>
      <c r="B147" t="s">
        <v>68</v>
      </c>
      <c r="C147">
        <v>33.07</v>
      </c>
    </row>
    <row r="148" spans="1:6" x14ac:dyDescent="0.35">
      <c r="A148" t="s">
        <v>939</v>
      </c>
      <c r="B148" t="s">
        <v>948</v>
      </c>
      <c r="C148">
        <v>262.95</v>
      </c>
    </row>
    <row r="149" spans="1:6" x14ac:dyDescent="0.35">
      <c r="A149" t="s">
        <v>893</v>
      </c>
      <c r="B149" t="s">
        <v>769</v>
      </c>
      <c r="C149">
        <v>52.9</v>
      </c>
    </row>
    <row r="150" spans="1:6" x14ac:dyDescent="0.35">
      <c r="A150" t="s">
        <v>893</v>
      </c>
      <c r="B150" t="s">
        <v>769</v>
      </c>
      <c r="C150">
        <v>88.38</v>
      </c>
    </row>
    <row r="151" spans="1:6" x14ac:dyDescent="0.35">
      <c r="A151" t="s">
        <v>883</v>
      </c>
      <c r="B151" t="s">
        <v>934</v>
      </c>
      <c r="C151">
        <v>8.99</v>
      </c>
    </row>
    <row r="152" spans="1:6" x14ac:dyDescent="0.35">
      <c r="C152">
        <v>0</v>
      </c>
      <c r="D152">
        <f>SUM(C138:C151)</f>
        <v>1770.9199999999998</v>
      </c>
      <c r="E152">
        <f>SUM(C2:C151)</f>
        <v>14247.720000000005</v>
      </c>
      <c r="F152" t="s">
        <v>885</v>
      </c>
    </row>
    <row r="153" spans="1:6" x14ac:dyDescent="0.35">
      <c r="A153" t="s">
        <v>902</v>
      </c>
      <c r="B153" t="s">
        <v>588</v>
      </c>
      <c r="C153">
        <v>135</v>
      </c>
    </row>
    <row r="154" spans="1:6" x14ac:dyDescent="0.35">
      <c r="A154" t="s">
        <v>945</v>
      </c>
      <c r="B154" t="s">
        <v>588</v>
      </c>
      <c r="C154">
        <v>100</v>
      </c>
    </row>
    <row r="155" spans="1:6" x14ac:dyDescent="0.35">
      <c r="A155" t="s">
        <v>895</v>
      </c>
      <c r="B155" t="s">
        <v>70</v>
      </c>
      <c r="C155">
        <v>19</v>
      </c>
    </row>
    <row r="156" spans="1:6" x14ac:dyDescent="0.35">
      <c r="A156" t="s">
        <v>895</v>
      </c>
      <c r="B156" t="s">
        <v>598</v>
      </c>
      <c r="C156">
        <v>38.15</v>
      </c>
    </row>
    <row r="157" spans="1:6" x14ac:dyDescent="0.35">
      <c r="A157" t="s">
        <v>895</v>
      </c>
      <c r="B157" t="s">
        <v>169</v>
      </c>
      <c r="C157">
        <v>55.99</v>
      </c>
    </row>
    <row r="158" spans="1:6" x14ac:dyDescent="0.35">
      <c r="A158" t="s">
        <v>976</v>
      </c>
      <c r="B158" t="s">
        <v>170</v>
      </c>
      <c r="C158">
        <v>55</v>
      </c>
    </row>
    <row r="159" spans="1:6" x14ac:dyDescent="0.35">
      <c r="A159" t="s">
        <v>977</v>
      </c>
      <c r="B159" t="s">
        <v>68</v>
      </c>
      <c r="C159">
        <v>82.52</v>
      </c>
    </row>
    <row r="160" spans="1:6" x14ac:dyDescent="0.35">
      <c r="A160" t="s">
        <v>1004</v>
      </c>
      <c r="B160" t="s">
        <v>156</v>
      </c>
      <c r="C160">
        <v>188.34</v>
      </c>
    </row>
    <row r="161" spans="1:6" x14ac:dyDescent="0.35">
      <c r="A161" t="s">
        <v>980</v>
      </c>
      <c r="B161" t="s">
        <v>1049</v>
      </c>
      <c r="C161">
        <v>317.16000000000003</v>
      </c>
    </row>
    <row r="162" spans="1:6" x14ac:dyDescent="0.35">
      <c r="A162" t="s">
        <v>970</v>
      </c>
      <c r="B162" t="s">
        <v>77</v>
      </c>
      <c r="C162">
        <v>80.98</v>
      </c>
    </row>
    <row r="163" spans="1:6" x14ac:dyDescent="0.35">
      <c r="A163" t="s">
        <v>993</v>
      </c>
      <c r="B163" t="s">
        <v>78</v>
      </c>
      <c r="C163">
        <v>179.52</v>
      </c>
    </row>
    <row r="164" spans="1:6" x14ac:dyDescent="0.35">
      <c r="A164" t="s">
        <v>1039</v>
      </c>
      <c r="B164" t="s">
        <v>769</v>
      </c>
      <c r="C164">
        <v>53.26</v>
      </c>
    </row>
    <row r="165" spans="1:6" x14ac:dyDescent="0.35">
      <c r="A165" t="s">
        <v>1013</v>
      </c>
      <c r="B165" t="s">
        <v>68</v>
      </c>
      <c r="C165">
        <v>27.02</v>
      </c>
    </row>
    <row r="166" spans="1:6" x14ac:dyDescent="0.35">
      <c r="A166" t="s">
        <v>994</v>
      </c>
      <c r="B166" t="s">
        <v>1040</v>
      </c>
      <c r="C166">
        <v>262.95</v>
      </c>
    </row>
    <row r="167" spans="1:6" x14ac:dyDescent="0.35">
      <c r="A167" t="s">
        <v>981</v>
      </c>
      <c r="B167" t="s">
        <v>769</v>
      </c>
      <c r="C167">
        <v>167.52</v>
      </c>
    </row>
    <row r="168" spans="1:6" x14ac:dyDescent="0.35">
      <c r="A168" t="s">
        <v>983</v>
      </c>
      <c r="B168" t="s">
        <v>1028</v>
      </c>
      <c r="C168">
        <v>8.99</v>
      </c>
    </row>
    <row r="169" spans="1:6" x14ac:dyDescent="0.35">
      <c r="C169">
        <v>0</v>
      </c>
      <c r="D169">
        <f>SUM(C153:C168)</f>
        <v>1771.4</v>
      </c>
      <c r="E169">
        <f>SUM(C2:C168)</f>
        <v>16019.120000000006</v>
      </c>
      <c r="F169" t="s">
        <v>965</v>
      </c>
    </row>
    <row r="170" spans="1:6" x14ac:dyDescent="0.35">
      <c r="A170" t="s">
        <v>966</v>
      </c>
      <c r="B170" t="s">
        <v>588</v>
      </c>
      <c r="C170">
        <v>135</v>
      </c>
    </row>
    <row r="171" spans="1:6" x14ac:dyDescent="0.35">
      <c r="A171" t="s">
        <v>1000</v>
      </c>
      <c r="B171" t="s">
        <v>588</v>
      </c>
      <c r="C171">
        <v>100</v>
      </c>
    </row>
    <row r="172" spans="1:6" x14ac:dyDescent="0.35">
      <c r="A172" t="s">
        <v>1026</v>
      </c>
      <c r="B172" t="s">
        <v>598</v>
      </c>
      <c r="C172">
        <v>38.15</v>
      </c>
    </row>
    <row r="173" spans="1:6" x14ac:dyDescent="0.35">
      <c r="A173" t="s">
        <v>1060</v>
      </c>
      <c r="B173" t="s">
        <v>169</v>
      </c>
      <c r="C173">
        <v>55.99</v>
      </c>
    </row>
    <row r="174" spans="1:6" x14ac:dyDescent="0.35">
      <c r="A174" t="s">
        <v>1082</v>
      </c>
      <c r="B174" t="s">
        <v>68</v>
      </c>
      <c r="C174">
        <v>85.12</v>
      </c>
    </row>
    <row r="175" spans="1:6" x14ac:dyDescent="0.35">
      <c r="C175">
        <v>0</v>
      </c>
      <c r="E175">
        <f>SUM(C2:C174)</f>
        <v>16433.380000000005</v>
      </c>
      <c r="F175" t="s">
        <v>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5"/>
  <sheetViews>
    <sheetView workbookViewId="0">
      <selection activeCell="B4" sqref="B4"/>
    </sheetView>
  </sheetViews>
  <sheetFormatPr defaultRowHeight="14.5" x14ac:dyDescent="0.35"/>
  <cols>
    <col min="2" max="2" width="38.453125" bestFit="1" customWidth="1"/>
  </cols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24</v>
      </c>
      <c r="B2" t="s">
        <v>51</v>
      </c>
      <c r="C2">
        <v>31.93</v>
      </c>
    </row>
    <row r="3" spans="1:6" x14ac:dyDescent="0.35">
      <c r="A3" t="s">
        <v>38</v>
      </c>
      <c r="B3" t="s">
        <v>52</v>
      </c>
      <c r="C3">
        <v>4.71</v>
      </c>
    </row>
    <row r="4" spans="1:6" x14ac:dyDescent="0.35">
      <c r="A4" t="s">
        <v>657</v>
      </c>
      <c r="B4" t="s">
        <v>664</v>
      </c>
      <c r="C4">
        <v>2678</v>
      </c>
    </row>
    <row r="5" spans="1:6" x14ac:dyDescent="0.35">
      <c r="C5">
        <v>0</v>
      </c>
      <c r="E5">
        <f>SUM(C2:C4)</f>
        <v>2714.64</v>
      </c>
      <c r="F5" t="s">
        <v>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F5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38</v>
      </c>
      <c r="B2" t="s">
        <v>57</v>
      </c>
      <c r="C2">
        <v>21.33</v>
      </c>
    </row>
    <row r="3" spans="1:6" x14ac:dyDescent="0.35">
      <c r="C3">
        <v>0</v>
      </c>
      <c r="D3">
        <f>SUM(C2:C2)</f>
        <v>21.33</v>
      </c>
      <c r="E3">
        <f>SUM(C2:C2)</f>
        <v>21.33</v>
      </c>
      <c r="F3" t="s">
        <v>6</v>
      </c>
    </row>
    <row r="4" spans="1:6" x14ac:dyDescent="0.35">
      <c r="A4" t="s">
        <v>10</v>
      </c>
      <c r="B4" t="s">
        <v>146</v>
      </c>
      <c r="C4">
        <v>29.53</v>
      </c>
    </row>
    <row r="5" spans="1:6" x14ac:dyDescent="0.35">
      <c r="A5" t="s">
        <v>135</v>
      </c>
      <c r="B5" t="s">
        <v>148</v>
      </c>
      <c r="C5">
        <v>31.74</v>
      </c>
    </row>
    <row r="6" spans="1:6" x14ac:dyDescent="0.35">
      <c r="C6">
        <v>0</v>
      </c>
      <c r="D6">
        <f>SUM(C4:C5)</f>
        <v>61.269999999999996</v>
      </c>
      <c r="E6">
        <f>SUM(C2:C5)</f>
        <v>82.6</v>
      </c>
      <c r="F6" t="s">
        <v>89</v>
      </c>
    </row>
    <row r="7" spans="1:6" x14ac:dyDescent="0.35">
      <c r="A7" t="s">
        <v>204</v>
      </c>
      <c r="B7" t="s">
        <v>238</v>
      </c>
      <c r="C7">
        <v>34.479999999999997</v>
      </c>
    </row>
    <row r="8" spans="1:6" x14ac:dyDescent="0.35">
      <c r="A8" t="s">
        <v>221</v>
      </c>
      <c r="B8" t="s">
        <v>240</v>
      </c>
      <c r="C8">
        <v>36.659999999999997</v>
      </c>
    </row>
    <row r="9" spans="1:6" x14ac:dyDescent="0.35">
      <c r="C9">
        <v>0</v>
      </c>
      <c r="D9">
        <f>SUM(C7:C8)</f>
        <v>71.139999999999986</v>
      </c>
      <c r="E9">
        <f>SUM(C2:C8)</f>
        <v>153.73999999999998</v>
      </c>
      <c r="F9" t="s">
        <v>200</v>
      </c>
    </row>
    <row r="10" spans="1:6" x14ac:dyDescent="0.35">
      <c r="A10" t="s">
        <v>214</v>
      </c>
      <c r="B10" t="s">
        <v>245</v>
      </c>
      <c r="C10">
        <v>36.200000000000003</v>
      </c>
    </row>
    <row r="11" spans="1:6" x14ac:dyDescent="0.35">
      <c r="C11">
        <v>0</v>
      </c>
      <c r="D11">
        <f>SUM(C10:C10)</f>
        <v>36.200000000000003</v>
      </c>
      <c r="E11">
        <f>SUM(C2:C10)</f>
        <v>189.94</v>
      </c>
      <c r="F11" t="s">
        <v>282</v>
      </c>
    </row>
    <row r="12" spans="1:6" x14ac:dyDescent="0.35">
      <c r="A12" t="s">
        <v>389</v>
      </c>
      <c r="B12" t="s">
        <v>390</v>
      </c>
      <c r="C12">
        <v>43.49</v>
      </c>
    </row>
    <row r="13" spans="1:6" x14ac:dyDescent="0.35">
      <c r="A13" t="s">
        <v>372</v>
      </c>
      <c r="B13" t="s">
        <v>391</v>
      </c>
      <c r="C13">
        <v>43.04</v>
      </c>
    </row>
    <row r="14" spans="1:6" x14ac:dyDescent="0.35">
      <c r="C14">
        <v>0</v>
      </c>
      <c r="D14">
        <f>SUM(C12:C13)</f>
        <v>86.53</v>
      </c>
      <c r="E14">
        <f>SUM(C2:C13)</f>
        <v>276.47000000000003</v>
      </c>
      <c r="F14" t="s">
        <v>347</v>
      </c>
    </row>
    <row r="15" spans="1:6" x14ac:dyDescent="0.35">
      <c r="A15" t="s">
        <v>392</v>
      </c>
      <c r="B15" t="s">
        <v>393</v>
      </c>
      <c r="C15">
        <v>0</v>
      </c>
    </row>
    <row r="16" spans="1:6" x14ac:dyDescent="0.35">
      <c r="A16" t="s">
        <v>348</v>
      </c>
      <c r="B16" t="s">
        <v>468</v>
      </c>
      <c r="C16">
        <v>42.27</v>
      </c>
    </row>
    <row r="17" spans="1:6" x14ac:dyDescent="0.35">
      <c r="A17" t="s">
        <v>459</v>
      </c>
      <c r="B17" t="s">
        <v>469</v>
      </c>
      <c r="C17">
        <v>42.5</v>
      </c>
    </row>
    <row r="18" spans="1:6" x14ac:dyDescent="0.35">
      <c r="C18">
        <v>0</v>
      </c>
      <c r="D18">
        <f>SUM(C15:C17)</f>
        <v>84.77000000000001</v>
      </c>
      <c r="E18">
        <f>SUM(C2:C17)</f>
        <v>361.24</v>
      </c>
      <c r="F18" t="s">
        <v>420</v>
      </c>
    </row>
    <row r="19" spans="1:6" x14ac:dyDescent="0.35">
      <c r="A19" t="s">
        <v>488</v>
      </c>
      <c r="B19" t="s">
        <v>575</v>
      </c>
      <c r="C19">
        <v>42.88</v>
      </c>
    </row>
    <row r="20" spans="1:6" x14ac:dyDescent="0.35">
      <c r="A20" t="s">
        <v>510</v>
      </c>
      <c r="B20" t="s">
        <v>576</v>
      </c>
      <c r="C20">
        <v>45.86</v>
      </c>
    </row>
    <row r="21" spans="1:6" x14ac:dyDescent="0.35">
      <c r="C21">
        <v>0</v>
      </c>
      <c r="D21">
        <f>SUM(C19:C20)</f>
        <v>88.740000000000009</v>
      </c>
      <c r="E21">
        <f>SUM(C2:C20)</f>
        <v>449.98</v>
      </c>
      <c r="F21" t="s">
        <v>503</v>
      </c>
    </row>
    <row r="22" spans="1:6" x14ac:dyDescent="0.35">
      <c r="A22" t="s">
        <v>547</v>
      </c>
      <c r="B22" t="s">
        <v>577</v>
      </c>
      <c r="C22">
        <v>42.84</v>
      </c>
    </row>
    <row r="23" spans="1:6" x14ac:dyDescent="0.35">
      <c r="A23" t="s">
        <v>508</v>
      </c>
      <c r="B23" t="s">
        <v>666</v>
      </c>
      <c r="C23">
        <v>49.42</v>
      </c>
    </row>
    <row r="24" spans="1:6" x14ac:dyDescent="0.35">
      <c r="A24" t="s">
        <v>627</v>
      </c>
      <c r="B24" t="s">
        <v>667</v>
      </c>
      <c r="C24">
        <v>47.27</v>
      </c>
    </row>
    <row r="25" spans="1:6" x14ac:dyDescent="0.35">
      <c r="C25">
        <v>0</v>
      </c>
      <c r="D25">
        <f>SUM(C22:C24)</f>
        <v>139.53</v>
      </c>
      <c r="E25">
        <f>SUM(C2:C24)</f>
        <v>589.51</v>
      </c>
      <c r="F25" t="s">
        <v>614</v>
      </c>
    </row>
    <row r="26" spans="1:6" x14ac:dyDescent="0.35">
      <c r="A26" t="s">
        <v>668</v>
      </c>
      <c r="B26" t="s">
        <v>669</v>
      </c>
      <c r="C26">
        <v>38.18</v>
      </c>
    </row>
    <row r="27" spans="1:6" x14ac:dyDescent="0.35">
      <c r="A27" t="s">
        <v>684</v>
      </c>
      <c r="B27" t="s">
        <v>757</v>
      </c>
      <c r="C27">
        <v>347.25</v>
      </c>
    </row>
    <row r="28" spans="1:6" x14ac:dyDescent="0.35">
      <c r="A28" t="s">
        <v>729</v>
      </c>
      <c r="B28" t="s">
        <v>749</v>
      </c>
      <c r="C28">
        <v>10.4</v>
      </c>
    </row>
    <row r="29" spans="1:6" x14ac:dyDescent="0.35">
      <c r="A29" t="s">
        <v>704</v>
      </c>
      <c r="B29" t="s">
        <v>750</v>
      </c>
      <c r="C29">
        <v>38.71</v>
      </c>
    </row>
    <row r="30" spans="1:6" x14ac:dyDescent="0.35">
      <c r="A30" t="s">
        <v>716</v>
      </c>
      <c r="B30" t="s">
        <v>758</v>
      </c>
      <c r="C30">
        <v>13.32</v>
      </c>
    </row>
    <row r="31" spans="1:6" x14ac:dyDescent="0.35">
      <c r="C31">
        <v>0</v>
      </c>
      <c r="D31">
        <f>SUM(C26:C30)</f>
        <v>447.85999999999996</v>
      </c>
      <c r="E31">
        <f>SUM(C2:C30)</f>
        <v>1037.3699999999999</v>
      </c>
      <c r="F31" t="s">
        <v>699</v>
      </c>
    </row>
    <row r="32" spans="1:6" x14ac:dyDescent="0.35">
      <c r="A32" t="s">
        <v>734</v>
      </c>
      <c r="B32" t="s">
        <v>759</v>
      </c>
      <c r="C32">
        <v>31.32</v>
      </c>
    </row>
    <row r="33" spans="1:6" x14ac:dyDescent="0.35">
      <c r="A33" t="s">
        <v>702</v>
      </c>
      <c r="B33" t="s">
        <v>854</v>
      </c>
      <c r="C33">
        <v>39.76</v>
      </c>
    </row>
    <row r="34" spans="1:6" x14ac:dyDescent="0.35">
      <c r="A34" t="s">
        <v>828</v>
      </c>
      <c r="B34" t="s">
        <v>855</v>
      </c>
      <c r="C34">
        <v>40.08</v>
      </c>
    </row>
    <row r="35" spans="1:6" x14ac:dyDescent="0.35">
      <c r="A35" t="s">
        <v>794</v>
      </c>
      <c r="B35" t="s">
        <v>856</v>
      </c>
      <c r="C35">
        <v>40.01</v>
      </c>
    </row>
    <row r="36" spans="1:6" x14ac:dyDescent="0.35">
      <c r="C36">
        <v>0</v>
      </c>
      <c r="D36">
        <f>SUM(C32:C35)</f>
        <v>151.16999999999999</v>
      </c>
      <c r="E36">
        <f>SUM(C2:C35)</f>
        <v>1188.5399999999997</v>
      </c>
      <c r="F36" t="s">
        <v>796</v>
      </c>
    </row>
    <row r="37" spans="1:6" x14ac:dyDescent="0.35">
      <c r="A37" t="s">
        <v>842</v>
      </c>
      <c r="B37" t="s">
        <v>858</v>
      </c>
      <c r="C37">
        <v>15.06</v>
      </c>
    </row>
    <row r="38" spans="1:6" x14ac:dyDescent="0.35">
      <c r="A38" t="s">
        <v>899</v>
      </c>
      <c r="B38" t="s">
        <v>935</v>
      </c>
      <c r="C38">
        <v>37.47</v>
      </c>
    </row>
    <row r="39" spans="1:6" x14ac:dyDescent="0.35">
      <c r="A39" t="s">
        <v>800</v>
      </c>
      <c r="B39" t="s">
        <v>936</v>
      </c>
      <c r="C39">
        <v>6.14</v>
      </c>
    </row>
    <row r="40" spans="1:6" x14ac:dyDescent="0.35">
      <c r="A40" t="s">
        <v>916</v>
      </c>
      <c r="B40" t="s">
        <v>937</v>
      </c>
      <c r="C40">
        <v>40.64</v>
      </c>
    </row>
    <row r="41" spans="1:6" x14ac:dyDescent="0.35">
      <c r="A41" t="s">
        <v>894</v>
      </c>
      <c r="B41" t="s">
        <v>938</v>
      </c>
      <c r="C41">
        <v>39.409999999999997</v>
      </c>
    </row>
    <row r="42" spans="1:6" x14ac:dyDescent="0.35">
      <c r="C42">
        <v>0</v>
      </c>
      <c r="D42">
        <f>SUM(C37:C41)</f>
        <v>138.72</v>
      </c>
      <c r="E42">
        <f>SUM(C2:C41)</f>
        <v>1327.26</v>
      </c>
      <c r="F42" t="s">
        <v>885</v>
      </c>
    </row>
    <row r="43" spans="1:6" x14ac:dyDescent="0.35">
      <c r="A43" t="s">
        <v>977</v>
      </c>
      <c r="B43" t="s">
        <v>1017</v>
      </c>
      <c r="C43">
        <v>10.199999999999999</v>
      </c>
    </row>
    <row r="44" spans="1:6" x14ac:dyDescent="0.35">
      <c r="A44" t="s">
        <v>990</v>
      </c>
      <c r="B44" t="s">
        <v>1029</v>
      </c>
      <c r="C44">
        <v>41.02</v>
      </c>
    </row>
    <row r="45" spans="1:6" x14ac:dyDescent="0.35">
      <c r="A45" t="s">
        <v>970</v>
      </c>
      <c r="B45" t="s">
        <v>1018</v>
      </c>
      <c r="C45">
        <v>13.27</v>
      </c>
    </row>
    <row r="46" spans="1:6" x14ac:dyDescent="0.35">
      <c r="A46" t="s">
        <v>1013</v>
      </c>
      <c r="B46" t="s">
        <v>1030</v>
      </c>
      <c r="C46">
        <v>41.52</v>
      </c>
    </row>
    <row r="47" spans="1:6" x14ac:dyDescent="0.35">
      <c r="C47">
        <v>0</v>
      </c>
      <c r="D47">
        <f>SUM(C43:C46)</f>
        <v>106.00999999999999</v>
      </c>
      <c r="E47">
        <f>SUM(C2:C46)</f>
        <v>1433.27</v>
      </c>
      <c r="F47" t="s">
        <v>965</v>
      </c>
    </row>
    <row r="48" spans="1:6" x14ac:dyDescent="0.35">
      <c r="A48" t="s">
        <v>966</v>
      </c>
      <c r="B48" t="s">
        <v>1031</v>
      </c>
      <c r="C48">
        <v>36.69</v>
      </c>
    </row>
    <row r="49" spans="1:6" x14ac:dyDescent="0.35">
      <c r="A49" t="s">
        <v>1085</v>
      </c>
      <c r="B49" t="s">
        <v>1092</v>
      </c>
      <c r="C49">
        <v>40.17</v>
      </c>
    </row>
    <row r="50" spans="1:6" x14ac:dyDescent="0.35">
      <c r="A50" t="s">
        <v>973</v>
      </c>
      <c r="B50" t="s">
        <v>1088</v>
      </c>
      <c r="C50">
        <v>4.07</v>
      </c>
    </row>
    <row r="51" spans="1:6" x14ac:dyDescent="0.35">
      <c r="C51">
        <v>0</v>
      </c>
      <c r="E51">
        <f>SUM(C2:C50)</f>
        <v>1514.2</v>
      </c>
      <c r="F51" t="s">
        <v>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F3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64</v>
      </c>
      <c r="B2" t="s">
        <v>65</v>
      </c>
      <c r="C2">
        <v>1572.12</v>
      </c>
    </row>
    <row r="3" spans="1:6" x14ac:dyDescent="0.35">
      <c r="A3" t="s">
        <v>87</v>
      </c>
      <c r="B3" t="s">
        <v>65</v>
      </c>
      <c r="C3">
        <v>1572.12</v>
      </c>
    </row>
    <row r="4" spans="1:6" x14ac:dyDescent="0.35">
      <c r="A4" t="s">
        <v>208</v>
      </c>
      <c r="B4" t="s">
        <v>257</v>
      </c>
      <c r="C4">
        <v>1572.12</v>
      </c>
    </row>
    <row r="5" spans="1:6" x14ac:dyDescent="0.35">
      <c r="A5" t="s">
        <v>196</v>
      </c>
      <c r="B5" t="s">
        <v>197</v>
      </c>
      <c r="C5">
        <v>85</v>
      </c>
    </row>
    <row r="6" spans="1:6" x14ac:dyDescent="0.35">
      <c r="A6" t="s">
        <v>194</v>
      </c>
      <c r="B6" t="s">
        <v>198</v>
      </c>
      <c r="C6">
        <v>99</v>
      </c>
    </row>
    <row r="7" spans="1:6" x14ac:dyDescent="0.35">
      <c r="A7" t="s">
        <v>180</v>
      </c>
      <c r="B7" t="s">
        <v>199</v>
      </c>
      <c r="C7">
        <v>86.55</v>
      </c>
    </row>
    <row r="8" spans="1:6" x14ac:dyDescent="0.35">
      <c r="C8">
        <v>0</v>
      </c>
      <c r="D8">
        <f>SUM(C2:C7)</f>
        <v>4986.91</v>
      </c>
      <c r="E8">
        <f>SUM(C2:C7)</f>
        <v>4986.91</v>
      </c>
      <c r="F8" t="s">
        <v>200</v>
      </c>
    </row>
    <row r="9" spans="1:6" x14ac:dyDescent="0.35">
      <c r="A9" t="s">
        <v>201</v>
      </c>
      <c r="B9" t="s">
        <v>202</v>
      </c>
      <c r="C9">
        <v>165.8</v>
      </c>
    </row>
    <row r="10" spans="1:6" x14ac:dyDescent="0.35">
      <c r="A10" t="s">
        <v>289</v>
      </c>
      <c r="B10" t="s">
        <v>290</v>
      </c>
      <c r="C10">
        <v>-2.74</v>
      </c>
    </row>
    <row r="11" spans="1:6" x14ac:dyDescent="0.35">
      <c r="A11" t="s">
        <v>289</v>
      </c>
      <c r="B11" t="s">
        <v>290</v>
      </c>
      <c r="C11">
        <v>3.69</v>
      </c>
    </row>
    <row r="12" spans="1:6" x14ac:dyDescent="0.35">
      <c r="A12" t="s">
        <v>289</v>
      </c>
      <c r="B12" t="s">
        <v>290</v>
      </c>
      <c r="C12">
        <v>11.82</v>
      </c>
    </row>
    <row r="13" spans="1:6" x14ac:dyDescent="0.35">
      <c r="A13" t="s">
        <v>303</v>
      </c>
      <c r="B13" t="s">
        <v>257</v>
      </c>
      <c r="C13">
        <v>1572.12</v>
      </c>
    </row>
    <row r="14" spans="1:6" x14ac:dyDescent="0.35">
      <c r="A14" t="s">
        <v>291</v>
      </c>
      <c r="B14" t="s">
        <v>198</v>
      </c>
      <c r="C14">
        <v>-134.97</v>
      </c>
    </row>
    <row r="15" spans="1:6" x14ac:dyDescent="0.35">
      <c r="A15" t="s">
        <v>292</v>
      </c>
      <c r="B15" t="s">
        <v>199</v>
      </c>
      <c r="C15">
        <v>31.92</v>
      </c>
    </row>
    <row r="16" spans="1:6" x14ac:dyDescent="0.35">
      <c r="A16" t="s">
        <v>351</v>
      </c>
      <c r="B16" t="s">
        <v>257</v>
      </c>
      <c r="C16">
        <v>1572.12</v>
      </c>
    </row>
    <row r="17" spans="1:3" x14ac:dyDescent="0.35">
      <c r="A17" t="s">
        <v>355</v>
      </c>
      <c r="B17" t="s">
        <v>199</v>
      </c>
      <c r="C17">
        <v>44.99</v>
      </c>
    </row>
    <row r="18" spans="1:3" x14ac:dyDescent="0.35">
      <c r="A18" t="s">
        <v>356</v>
      </c>
      <c r="B18" t="s">
        <v>357</v>
      </c>
      <c r="C18">
        <v>420</v>
      </c>
    </row>
    <row r="19" spans="1:3" x14ac:dyDescent="0.35">
      <c r="A19" t="s">
        <v>345</v>
      </c>
      <c r="B19" t="s">
        <v>357</v>
      </c>
      <c r="C19">
        <v>280</v>
      </c>
    </row>
    <row r="20" spans="1:3" x14ac:dyDescent="0.35">
      <c r="A20" t="s">
        <v>416</v>
      </c>
      <c r="B20" t="s">
        <v>257</v>
      </c>
      <c r="C20">
        <v>1572.12</v>
      </c>
    </row>
    <row r="21" spans="1:3" x14ac:dyDescent="0.35">
      <c r="A21" t="s">
        <v>470</v>
      </c>
      <c r="B21" t="s">
        <v>478</v>
      </c>
      <c r="C21">
        <v>390.57</v>
      </c>
    </row>
    <row r="22" spans="1:3" x14ac:dyDescent="0.35">
      <c r="A22" t="s">
        <v>431</v>
      </c>
      <c r="B22" t="s">
        <v>199</v>
      </c>
      <c r="C22">
        <v>44.99</v>
      </c>
    </row>
    <row r="23" spans="1:3" x14ac:dyDescent="0.35">
      <c r="A23" t="s">
        <v>510</v>
      </c>
      <c r="B23" t="s">
        <v>257</v>
      </c>
      <c r="C23">
        <v>1572.12</v>
      </c>
    </row>
    <row r="24" spans="1:3" x14ac:dyDescent="0.35">
      <c r="A24" t="s">
        <v>520</v>
      </c>
      <c r="B24" t="s">
        <v>199</v>
      </c>
      <c r="C24">
        <v>44.99</v>
      </c>
    </row>
    <row r="25" spans="1:3" x14ac:dyDescent="0.35">
      <c r="A25" t="s">
        <v>617</v>
      </c>
      <c r="B25" t="s">
        <v>257</v>
      </c>
      <c r="C25">
        <v>1572.12</v>
      </c>
    </row>
    <row r="26" spans="1:3" x14ac:dyDescent="0.35">
      <c r="A26" t="s">
        <v>637</v>
      </c>
      <c r="B26" t="s">
        <v>199</v>
      </c>
      <c r="C26">
        <v>44.99</v>
      </c>
    </row>
    <row r="27" spans="1:3" x14ac:dyDescent="0.35">
      <c r="A27" t="s">
        <v>704</v>
      </c>
      <c r="B27" t="s">
        <v>767</v>
      </c>
      <c r="C27">
        <v>1572.12</v>
      </c>
    </row>
    <row r="28" spans="1:3" x14ac:dyDescent="0.35">
      <c r="A28" t="s">
        <v>715</v>
      </c>
      <c r="B28" t="s">
        <v>199</v>
      </c>
      <c r="C28">
        <v>44.99</v>
      </c>
    </row>
    <row r="29" spans="1:3" x14ac:dyDescent="0.35">
      <c r="A29" t="s">
        <v>716</v>
      </c>
      <c r="B29" t="s">
        <v>720</v>
      </c>
      <c r="C29">
        <v>3.81</v>
      </c>
    </row>
    <row r="30" spans="1:3" x14ac:dyDescent="0.35">
      <c r="A30" t="s">
        <v>814</v>
      </c>
      <c r="B30" t="s">
        <v>767</v>
      </c>
      <c r="C30">
        <v>1572.12</v>
      </c>
    </row>
    <row r="31" spans="1:3" x14ac:dyDescent="0.35">
      <c r="A31" t="s">
        <v>822</v>
      </c>
      <c r="B31" t="s">
        <v>199</v>
      </c>
      <c r="C31">
        <v>44.99</v>
      </c>
    </row>
    <row r="32" spans="1:3" x14ac:dyDescent="0.35">
      <c r="A32" t="s">
        <v>916</v>
      </c>
      <c r="B32" t="s">
        <v>767</v>
      </c>
      <c r="C32">
        <v>1611.03</v>
      </c>
    </row>
    <row r="33" spans="1:6" x14ac:dyDescent="0.35">
      <c r="A33" t="s">
        <v>894</v>
      </c>
      <c r="B33" t="s">
        <v>199</v>
      </c>
      <c r="C33">
        <v>44.99</v>
      </c>
    </row>
    <row r="34" spans="1:6" x14ac:dyDescent="0.35">
      <c r="A34" t="s">
        <v>970</v>
      </c>
      <c r="B34" t="s">
        <v>767</v>
      </c>
      <c r="C34">
        <v>1611.03</v>
      </c>
    </row>
    <row r="35" spans="1:6" x14ac:dyDescent="0.35">
      <c r="A35" t="s">
        <v>985</v>
      </c>
      <c r="B35" t="s">
        <v>199</v>
      </c>
      <c r="C35">
        <v>44.99</v>
      </c>
    </row>
    <row r="36" spans="1:6" x14ac:dyDescent="0.35">
      <c r="C36">
        <v>0</v>
      </c>
      <c r="D36">
        <f>SUM(C9:C35)</f>
        <v>15756.719999999996</v>
      </c>
      <c r="E36">
        <f>SUM(C2:C35)</f>
        <v>20743.63</v>
      </c>
      <c r="F36" t="s">
        <v>965</v>
      </c>
    </row>
    <row r="37" spans="1:6" x14ac:dyDescent="0.35">
      <c r="A37" t="s">
        <v>986</v>
      </c>
      <c r="B37" t="s">
        <v>987</v>
      </c>
      <c r="C37">
        <v>35</v>
      </c>
    </row>
    <row r="38" spans="1:6" x14ac:dyDescent="0.35">
      <c r="A38" t="s">
        <v>1076</v>
      </c>
      <c r="B38" t="s">
        <v>1077</v>
      </c>
      <c r="C38">
        <v>98.49</v>
      </c>
    </row>
    <row r="39" spans="1:6" x14ac:dyDescent="0.35">
      <c r="C39">
        <v>0</v>
      </c>
      <c r="E39">
        <f>SUM(C2:C38)</f>
        <v>20877.120000000003</v>
      </c>
      <c r="F39" t="s">
        <v>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F14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15</v>
      </c>
      <c r="B2" t="s">
        <v>66</v>
      </c>
      <c r="C2">
        <v>2840.44</v>
      </c>
    </row>
    <row r="3" spans="1:6" x14ac:dyDescent="0.35">
      <c r="A3" t="s">
        <v>127</v>
      </c>
      <c r="B3" t="s">
        <v>66</v>
      </c>
      <c r="C3">
        <v>2840.44</v>
      </c>
    </row>
    <row r="4" spans="1:6" x14ac:dyDescent="0.35">
      <c r="A4" t="s">
        <v>221</v>
      </c>
      <c r="B4" t="s">
        <v>66</v>
      </c>
      <c r="C4">
        <v>2840.44</v>
      </c>
    </row>
    <row r="5" spans="1:6" x14ac:dyDescent="0.35">
      <c r="A5" t="s">
        <v>297</v>
      </c>
      <c r="B5" t="s">
        <v>66</v>
      </c>
      <c r="C5">
        <v>2840.44</v>
      </c>
    </row>
    <row r="6" spans="1:6" x14ac:dyDescent="0.35">
      <c r="A6" t="s">
        <v>371</v>
      </c>
      <c r="B6" t="s">
        <v>66</v>
      </c>
      <c r="C6">
        <v>2840.44</v>
      </c>
    </row>
    <row r="7" spans="1:6" x14ac:dyDescent="0.35">
      <c r="A7" t="s">
        <v>416</v>
      </c>
      <c r="B7" t="s">
        <v>66</v>
      </c>
      <c r="C7">
        <v>2840.44</v>
      </c>
    </row>
    <row r="8" spans="1:6" x14ac:dyDescent="0.35">
      <c r="A8" t="s">
        <v>519</v>
      </c>
      <c r="B8" t="s">
        <v>66</v>
      </c>
      <c r="C8">
        <v>2840.44</v>
      </c>
    </row>
    <row r="9" spans="1:6" x14ac:dyDescent="0.35">
      <c r="A9" t="s">
        <v>619</v>
      </c>
      <c r="B9" t="s">
        <v>66</v>
      </c>
      <c r="C9">
        <v>2840.44</v>
      </c>
    </row>
    <row r="10" spans="1:6" x14ac:dyDescent="0.35">
      <c r="A10" t="s">
        <v>706</v>
      </c>
      <c r="B10" t="s">
        <v>66</v>
      </c>
      <c r="C10">
        <v>2840.44</v>
      </c>
    </row>
    <row r="11" spans="1:6" x14ac:dyDescent="0.35">
      <c r="A11" t="s">
        <v>802</v>
      </c>
      <c r="B11" t="s">
        <v>66</v>
      </c>
      <c r="C11">
        <v>2840.44</v>
      </c>
    </row>
    <row r="12" spans="1:6" x14ac:dyDescent="0.35">
      <c r="A12" t="s">
        <v>941</v>
      </c>
      <c r="B12" t="s">
        <v>66</v>
      </c>
      <c r="C12">
        <v>2840.44</v>
      </c>
    </row>
    <row r="13" spans="1:6" x14ac:dyDescent="0.35">
      <c r="A13" t="s">
        <v>993</v>
      </c>
      <c r="B13" t="s">
        <v>66</v>
      </c>
      <c r="C13">
        <v>2599.0500000000002</v>
      </c>
    </row>
    <row r="14" spans="1:6" x14ac:dyDescent="0.35">
      <c r="C14">
        <v>0</v>
      </c>
      <c r="E14">
        <f>SUM(C2:C13)</f>
        <v>33843.889999999992</v>
      </c>
      <c r="F14" t="s">
        <v>9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F75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24</v>
      </c>
      <c r="B2" t="s">
        <v>71</v>
      </c>
      <c r="C2">
        <v>15</v>
      </c>
    </row>
    <row r="3" spans="1:6" x14ac:dyDescent="0.35">
      <c r="A3" t="s">
        <v>4</v>
      </c>
      <c r="B3" t="s">
        <v>73</v>
      </c>
      <c r="C3">
        <v>15</v>
      </c>
    </row>
    <row r="4" spans="1:6" x14ac:dyDescent="0.35">
      <c r="C4">
        <v>0</v>
      </c>
      <c r="D4">
        <f>SUM(C2:C3)</f>
        <v>30</v>
      </c>
      <c r="E4">
        <f>SUM(C2:C3)</f>
        <v>30</v>
      </c>
      <c r="F4" t="s">
        <v>6</v>
      </c>
    </row>
    <row r="5" spans="1:6" x14ac:dyDescent="0.35">
      <c r="A5" t="s">
        <v>93</v>
      </c>
      <c r="B5" t="s">
        <v>160</v>
      </c>
      <c r="C5">
        <v>15</v>
      </c>
    </row>
    <row r="6" spans="1:6" x14ac:dyDescent="0.35">
      <c r="A6" t="s">
        <v>7</v>
      </c>
      <c r="B6" t="s">
        <v>161</v>
      </c>
      <c r="C6">
        <v>15</v>
      </c>
    </row>
    <row r="7" spans="1:6" x14ac:dyDescent="0.35">
      <c r="A7" t="s">
        <v>127</v>
      </c>
      <c r="B7" t="s">
        <v>162</v>
      </c>
      <c r="C7">
        <v>15</v>
      </c>
    </row>
    <row r="8" spans="1:6" x14ac:dyDescent="0.35">
      <c r="A8" t="s">
        <v>135</v>
      </c>
      <c r="B8" t="s">
        <v>164</v>
      </c>
      <c r="C8">
        <v>15</v>
      </c>
    </row>
    <row r="9" spans="1:6" x14ac:dyDescent="0.35">
      <c r="A9" t="s">
        <v>101</v>
      </c>
      <c r="B9" t="s">
        <v>165</v>
      </c>
      <c r="C9">
        <v>1</v>
      </c>
    </row>
    <row r="10" spans="1:6" x14ac:dyDescent="0.35">
      <c r="A10" t="s">
        <v>85</v>
      </c>
      <c r="B10" t="s">
        <v>166</v>
      </c>
      <c r="C10">
        <v>1199</v>
      </c>
    </row>
    <row r="11" spans="1:6" x14ac:dyDescent="0.35">
      <c r="C11">
        <v>0</v>
      </c>
      <c r="D11">
        <f>SUM(C5:C10)</f>
        <v>1260</v>
      </c>
      <c r="E11">
        <f>SUM(C2:C10)</f>
        <v>1290</v>
      </c>
      <c r="F11" t="s">
        <v>89</v>
      </c>
    </row>
    <row r="12" spans="1:6" x14ac:dyDescent="0.35">
      <c r="A12" t="s">
        <v>90</v>
      </c>
      <c r="B12" t="s">
        <v>167</v>
      </c>
      <c r="C12">
        <v>15</v>
      </c>
    </row>
    <row r="13" spans="1:6" x14ac:dyDescent="0.35">
      <c r="A13" t="s">
        <v>173</v>
      </c>
      <c r="B13" t="s">
        <v>258</v>
      </c>
      <c r="C13">
        <v>15</v>
      </c>
    </row>
    <row r="14" spans="1:6" x14ac:dyDescent="0.35">
      <c r="A14" t="s">
        <v>189</v>
      </c>
      <c r="B14" t="s">
        <v>259</v>
      </c>
      <c r="C14">
        <v>15</v>
      </c>
    </row>
    <row r="15" spans="1:6" x14ac:dyDescent="0.35">
      <c r="A15" t="s">
        <v>217</v>
      </c>
      <c r="B15" t="s">
        <v>229</v>
      </c>
      <c r="C15">
        <v>47.96</v>
      </c>
    </row>
    <row r="16" spans="1:6" x14ac:dyDescent="0.35">
      <c r="A16" t="s">
        <v>194</v>
      </c>
      <c r="B16" t="s">
        <v>260</v>
      </c>
      <c r="C16">
        <v>15</v>
      </c>
    </row>
    <row r="17" spans="1:6" x14ac:dyDescent="0.35">
      <c r="A17" t="s">
        <v>374</v>
      </c>
      <c r="B17" t="s">
        <v>402</v>
      </c>
      <c r="C17">
        <v>8</v>
      </c>
    </row>
    <row r="18" spans="1:6" x14ac:dyDescent="0.35">
      <c r="A18" t="s">
        <v>459</v>
      </c>
      <c r="B18" t="s">
        <v>480</v>
      </c>
      <c r="C18">
        <v>8</v>
      </c>
    </row>
    <row r="19" spans="1:6" x14ac:dyDescent="0.35">
      <c r="C19">
        <v>0</v>
      </c>
      <c r="D19">
        <f>SUM(C12:C18)</f>
        <v>123.96000000000001</v>
      </c>
      <c r="E19">
        <f>SUM(C2:C18)</f>
        <v>1413.96</v>
      </c>
      <c r="F19" t="s">
        <v>420</v>
      </c>
    </row>
    <row r="20" spans="1:6" x14ac:dyDescent="0.35">
      <c r="A20" t="s">
        <v>428</v>
      </c>
      <c r="B20" t="s">
        <v>481</v>
      </c>
      <c r="C20">
        <v>8</v>
      </c>
    </row>
    <row r="21" spans="1:6" x14ac:dyDescent="0.35">
      <c r="A21" t="s">
        <v>428</v>
      </c>
      <c r="B21" t="s">
        <v>482</v>
      </c>
      <c r="C21">
        <v>60</v>
      </c>
    </row>
    <row r="22" spans="1:6" x14ac:dyDescent="0.35">
      <c r="A22" t="s">
        <v>488</v>
      </c>
      <c r="B22" t="s">
        <v>589</v>
      </c>
      <c r="C22">
        <v>400</v>
      </c>
    </row>
    <row r="23" spans="1:6" x14ac:dyDescent="0.35">
      <c r="A23" t="s">
        <v>488</v>
      </c>
      <c r="B23" t="s">
        <v>590</v>
      </c>
      <c r="C23">
        <v>8</v>
      </c>
    </row>
    <row r="24" spans="1:6" x14ac:dyDescent="0.35">
      <c r="A24" t="s">
        <v>490</v>
      </c>
      <c r="B24" t="s">
        <v>591</v>
      </c>
      <c r="C24">
        <v>8</v>
      </c>
    </row>
    <row r="25" spans="1:6" x14ac:dyDescent="0.35">
      <c r="A25" t="s">
        <v>421</v>
      </c>
      <c r="B25" t="s">
        <v>592</v>
      </c>
      <c r="C25">
        <v>8</v>
      </c>
    </row>
    <row r="26" spans="1:6" x14ac:dyDescent="0.35">
      <c r="A26" t="s">
        <v>510</v>
      </c>
      <c r="B26" t="s">
        <v>593</v>
      </c>
      <c r="C26">
        <v>8</v>
      </c>
    </row>
    <row r="27" spans="1:6" x14ac:dyDescent="0.35">
      <c r="A27" t="s">
        <v>571</v>
      </c>
      <c r="B27" t="s">
        <v>594</v>
      </c>
      <c r="C27">
        <v>60</v>
      </c>
    </row>
    <row r="28" spans="1:6" x14ac:dyDescent="0.35">
      <c r="A28" t="s">
        <v>542</v>
      </c>
      <c r="B28" t="s">
        <v>595</v>
      </c>
      <c r="C28">
        <v>8</v>
      </c>
    </row>
    <row r="29" spans="1:6" x14ac:dyDescent="0.35">
      <c r="C29">
        <v>0</v>
      </c>
      <c r="D29">
        <f>SUM(C20:C28)</f>
        <v>568</v>
      </c>
      <c r="E29">
        <f>SUM(C2:C28)</f>
        <v>1981.96</v>
      </c>
      <c r="F29" t="s">
        <v>503</v>
      </c>
    </row>
    <row r="30" spans="1:6" x14ac:dyDescent="0.35">
      <c r="A30" t="s">
        <v>504</v>
      </c>
      <c r="B30" t="s">
        <v>596</v>
      </c>
      <c r="C30">
        <v>8</v>
      </c>
    </row>
    <row r="31" spans="1:6" x14ac:dyDescent="0.35">
      <c r="A31" t="s">
        <v>504</v>
      </c>
      <c r="B31" t="s">
        <v>597</v>
      </c>
      <c r="C31">
        <v>8</v>
      </c>
    </row>
    <row r="32" spans="1:6" x14ac:dyDescent="0.35">
      <c r="A32" t="s">
        <v>506</v>
      </c>
      <c r="B32" t="s">
        <v>675</v>
      </c>
      <c r="C32">
        <v>25</v>
      </c>
    </row>
    <row r="33" spans="1:6" x14ac:dyDescent="0.35">
      <c r="A33" t="s">
        <v>506</v>
      </c>
      <c r="B33" t="s">
        <v>676</v>
      </c>
      <c r="C33">
        <v>8</v>
      </c>
    </row>
    <row r="34" spans="1:6" x14ac:dyDescent="0.35">
      <c r="A34" t="s">
        <v>506</v>
      </c>
      <c r="B34" t="s">
        <v>677</v>
      </c>
      <c r="C34">
        <v>8</v>
      </c>
    </row>
    <row r="35" spans="1:6" x14ac:dyDescent="0.35">
      <c r="A35" t="s">
        <v>508</v>
      </c>
      <c r="B35" t="s">
        <v>678</v>
      </c>
      <c r="C35">
        <v>8</v>
      </c>
    </row>
    <row r="36" spans="1:6" x14ac:dyDescent="0.35">
      <c r="A36" t="s">
        <v>679</v>
      </c>
      <c r="B36" t="s">
        <v>680</v>
      </c>
      <c r="C36">
        <v>8</v>
      </c>
    </row>
    <row r="37" spans="1:6" x14ac:dyDescent="0.35">
      <c r="A37" t="s">
        <v>637</v>
      </c>
      <c r="B37" t="s">
        <v>681</v>
      </c>
      <c r="C37">
        <v>8</v>
      </c>
    </row>
    <row r="38" spans="1:6" x14ac:dyDescent="0.35">
      <c r="A38" t="s">
        <v>631</v>
      </c>
      <c r="B38" t="s">
        <v>648</v>
      </c>
      <c r="C38">
        <v>100.87</v>
      </c>
    </row>
    <row r="39" spans="1:6" x14ac:dyDescent="0.35">
      <c r="A39" t="s">
        <v>612</v>
      </c>
      <c r="B39" t="s">
        <v>682</v>
      </c>
      <c r="C39">
        <v>8</v>
      </c>
    </row>
    <row r="40" spans="1:6" x14ac:dyDescent="0.35">
      <c r="C40">
        <v>0</v>
      </c>
      <c r="D40">
        <f>SUM(C30:C39)</f>
        <v>189.87</v>
      </c>
      <c r="E40">
        <f>SUM(C2:C39)</f>
        <v>2171.83</v>
      </c>
      <c r="F40" t="s">
        <v>614</v>
      </c>
    </row>
    <row r="41" spans="1:6" x14ac:dyDescent="0.35">
      <c r="A41" t="s">
        <v>632</v>
      </c>
      <c r="B41" t="s">
        <v>683</v>
      </c>
      <c r="C41">
        <v>8</v>
      </c>
    </row>
    <row r="42" spans="1:6" x14ac:dyDescent="0.35">
      <c r="A42" t="s">
        <v>684</v>
      </c>
      <c r="B42" t="s">
        <v>770</v>
      </c>
      <c r="C42">
        <v>8</v>
      </c>
    </row>
    <row r="43" spans="1:6" x14ac:dyDescent="0.35">
      <c r="A43" t="s">
        <v>744</v>
      </c>
      <c r="B43" t="s">
        <v>771</v>
      </c>
      <c r="C43">
        <v>5</v>
      </c>
    </row>
    <row r="44" spans="1:6" x14ac:dyDescent="0.35">
      <c r="A44" t="s">
        <v>744</v>
      </c>
      <c r="B44" t="s">
        <v>772</v>
      </c>
      <c r="C44">
        <v>8</v>
      </c>
    </row>
    <row r="45" spans="1:6" x14ac:dyDescent="0.35">
      <c r="A45" t="s">
        <v>710</v>
      </c>
      <c r="B45" t="s">
        <v>773</v>
      </c>
      <c r="C45">
        <v>8</v>
      </c>
    </row>
    <row r="46" spans="1:6" x14ac:dyDescent="0.35">
      <c r="A46" t="s">
        <v>704</v>
      </c>
      <c r="B46" t="s">
        <v>774</v>
      </c>
      <c r="C46">
        <v>8</v>
      </c>
    </row>
    <row r="47" spans="1:6" x14ac:dyDescent="0.35">
      <c r="A47" t="s">
        <v>704</v>
      </c>
      <c r="B47" t="s">
        <v>775</v>
      </c>
      <c r="C47">
        <v>8</v>
      </c>
    </row>
    <row r="48" spans="1:6" x14ac:dyDescent="0.35">
      <c r="A48" t="s">
        <v>713</v>
      </c>
      <c r="B48" t="s">
        <v>776</v>
      </c>
      <c r="C48">
        <v>8</v>
      </c>
    </row>
    <row r="49" spans="1:6" x14ac:dyDescent="0.35">
      <c r="A49" t="s">
        <v>732</v>
      </c>
      <c r="B49" t="s">
        <v>777</v>
      </c>
      <c r="C49">
        <v>8</v>
      </c>
    </row>
    <row r="50" spans="1:6" x14ac:dyDescent="0.35">
      <c r="A50" t="s">
        <v>778</v>
      </c>
      <c r="B50" t="s">
        <v>779</v>
      </c>
      <c r="C50">
        <v>8</v>
      </c>
    </row>
    <row r="51" spans="1:6" x14ac:dyDescent="0.35">
      <c r="C51">
        <v>0</v>
      </c>
      <c r="D51">
        <f>SUM(C41:C50)</f>
        <v>77</v>
      </c>
      <c r="E51">
        <f>SUM(C2:C50)</f>
        <v>2248.83</v>
      </c>
      <c r="F51" t="s">
        <v>699</v>
      </c>
    </row>
    <row r="52" spans="1:6" x14ac:dyDescent="0.35">
      <c r="A52" t="s">
        <v>700</v>
      </c>
      <c r="B52" t="s">
        <v>780</v>
      </c>
      <c r="C52">
        <v>8</v>
      </c>
    </row>
    <row r="53" spans="1:6" x14ac:dyDescent="0.35">
      <c r="A53" t="s">
        <v>781</v>
      </c>
      <c r="B53" t="s">
        <v>782</v>
      </c>
      <c r="C53">
        <v>8</v>
      </c>
    </row>
    <row r="54" spans="1:6" x14ac:dyDescent="0.35">
      <c r="A54" t="s">
        <v>826</v>
      </c>
      <c r="B54" t="s">
        <v>866</v>
      </c>
      <c r="C54">
        <v>8</v>
      </c>
    </row>
    <row r="55" spans="1:6" x14ac:dyDescent="0.35">
      <c r="A55" t="s">
        <v>702</v>
      </c>
      <c r="B55" t="s">
        <v>867</v>
      </c>
      <c r="C55">
        <v>9</v>
      </c>
    </row>
    <row r="56" spans="1:6" x14ac:dyDescent="0.35">
      <c r="A56" t="s">
        <v>828</v>
      </c>
      <c r="B56" t="s">
        <v>868</v>
      </c>
      <c r="C56">
        <v>8</v>
      </c>
    </row>
    <row r="57" spans="1:6" x14ac:dyDescent="0.35">
      <c r="A57" t="s">
        <v>802</v>
      </c>
      <c r="B57" t="s">
        <v>869</v>
      </c>
      <c r="C57">
        <v>7</v>
      </c>
    </row>
    <row r="58" spans="1:6" x14ac:dyDescent="0.35">
      <c r="A58" t="s">
        <v>794</v>
      </c>
      <c r="B58" t="s">
        <v>870</v>
      </c>
      <c r="C58">
        <v>7</v>
      </c>
    </row>
    <row r="59" spans="1:6" x14ac:dyDescent="0.35">
      <c r="C59">
        <v>0</v>
      </c>
      <c r="D59">
        <f>SUM(C52:C58)</f>
        <v>55</v>
      </c>
      <c r="E59">
        <f>SUM(C2:C58)</f>
        <v>2303.83</v>
      </c>
      <c r="F59" t="s">
        <v>796</v>
      </c>
    </row>
    <row r="60" spans="1:6" x14ac:dyDescent="0.35">
      <c r="A60" t="s">
        <v>797</v>
      </c>
      <c r="B60" t="s">
        <v>871</v>
      </c>
      <c r="C60">
        <v>8</v>
      </c>
    </row>
    <row r="61" spans="1:6" x14ac:dyDescent="0.35">
      <c r="A61" t="s">
        <v>797</v>
      </c>
      <c r="B61" t="s">
        <v>872</v>
      </c>
      <c r="C61">
        <v>7</v>
      </c>
    </row>
    <row r="62" spans="1:6" x14ac:dyDescent="0.35">
      <c r="A62" t="s">
        <v>888</v>
      </c>
      <c r="B62" t="s">
        <v>949</v>
      </c>
      <c r="C62">
        <v>8</v>
      </c>
    </row>
    <row r="63" spans="1:6" x14ac:dyDescent="0.35">
      <c r="A63" t="s">
        <v>888</v>
      </c>
      <c r="B63" t="s">
        <v>950</v>
      </c>
      <c r="C63">
        <v>50</v>
      </c>
    </row>
    <row r="64" spans="1:6" x14ac:dyDescent="0.35">
      <c r="A64" t="s">
        <v>800</v>
      </c>
      <c r="B64" t="s">
        <v>951</v>
      </c>
      <c r="C64">
        <v>25</v>
      </c>
    </row>
    <row r="65" spans="1:6" x14ac:dyDescent="0.35">
      <c r="A65" t="s">
        <v>941</v>
      </c>
      <c r="B65" t="s">
        <v>952</v>
      </c>
      <c r="C65">
        <v>5</v>
      </c>
    </row>
    <row r="66" spans="1:6" x14ac:dyDescent="0.35">
      <c r="A66" t="s">
        <v>893</v>
      </c>
      <c r="B66" t="s">
        <v>953</v>
      </c>
      <c r="C66">
        <v>17</v>
      </c>
    </row>
    <row r="67" spans="1:6" x14ac:dyDescent="0.35">
      <c r="A67" t="s">
        <v>894</v>
      </c>
      <c r="B67" t="s">
        <v>954</v>
      </c>
      <c r="C67">
        <v>8</v>
      </c>
    </row>
    <row r="68" spans="1:6" x14ac:dyDescent="0.35">
      <c r="C68">
        <v>0</v>
      </c>
      <c r="D68">
        <f>SUM(C60:C67)</f>
        <v>128</v>
      </c>
      <c r="E68">
        <f>SUM(C2:C67)</f>
        <v>2431.83</v>
      </c>
      <c r="F68" t="s">
        <v>885</v>
      </c>
    </row>
    <row r="69" spans="1:6" x14ac:dyDescent="0.35">
      <c r="A69" t="s">
        <v>945</v>
      </c>
      <c r="B69" t="s">
        <v>955</v>
      </c>
      <c r="C69">
        <v>5</v>
      </c>
    </row>
    <row r="70" spans="1:6" x14ac:dyDescent="0.35">
      <c r="A70" t="s">
        <v>981</v>
      </c>
      <c r="B70" t="s">
        <v>1041</v>
      </c>
      <c r="C70">
        <v>5</v>
      </c>
    </row>
    <row r="71" spans="1:6" x14ac:dyDescent="0.35">
      <c r="A71" t="s">
        <v>981</v>
      </c>
      <c r="B71" t="s">
        <v>1042</v>
      </c>
      <c r="C71">
        <v>13</v>
      </c>
    </row>
    <row r="72" spans="1:6" x14ac:dyDescent="0.35">
      <c r="C72">
        <v>0</v>
      </c>
      <c r="D72">
        <f>SUM(C69:C71)</f>
        <v>23</v>
      </c>
      <c r="E72">
        <f>SUM(C2:C71)</f>
        <v>2454.83</v>
      </c>
      <c r="F72" t="s">
        <v>965</v>
      </c>
    </row>
    <row r="73" spans="1:6" x14ac:dyDescent="0.35">
      <c r="A73" t="s">
        <v>966</v>
      </c>
      <c r="B73" t="s">
        <v>1043</v>
      </c>
      <c r="C73">
        <v>265</v>
      </c>
    </row>
    <row r="74" spans="1:6" x14ac:dyDescent="0.35">
      <c r="A74" t="s">
        <v>966</v>
      </c>
      <c r="B74" t="s">
        <v>1044</v>
      </c>
      <c r="C74">
        <v>13</v>
      </c>
    </row>
    <row r="75" spans="1:6" x14ac:dyDescent="0.35">
      <c r="C75">
        <v>0</v>
      </c>
      <c r="E75">
        <f>SUM(C2:C74)</f>
        <v>2732.83</v>
      </c>
      <c r="F75" t="s">
        <v>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F3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26</v>
      </c>
      <c r="B2" t="s">
        <v>72</v>
      </c>
      <c r="C2">
        <v>411</v>
      </c>
    </row>
    <row r="3" spans="1:6" x14ac:dyDescent="0.35">
      <c r="A3" t="s">
        <v>97</v>
      </c>
      <c r="B3" t="s">
        <v>72</v>
      </c>
      <c r="C3">
        <v>407.18</v>
      </c>
    </row>
    <row r="4" spans="1:6" x14ac:dyDescent="0.35">
      <c r="A4" t="s">
        <v>208</v>
      </c>
      <c r="B4" t="s">
        <v>239</v>
      </c>
      <c r="C4">
        <v>895</v>
      </c>
    </row>
    <row r="5" spans="1:6" x14ac:dyDescent="0.35">
      <c r="A5" t="s">
        <v>194</v>
      </c>
      <c r="B5" t="s">
        <v>241</v>
      </c>
      <c r="C5">
        <v>285</v>
      </c>
    </row>
    <row r="6" spans="1:6" x14ac:dyDescent="0.35">
      <c r="A6" t="s">
        <v>194</v>
      </c>
      <c r="B6" t="s">
        <v>242</v>
      </c>
      <c r="C6">
        <v>849</v>
      </c>
    </row>
    <row r="7" spans="1:6" x14ac:dyDescent="0.35">
      <c r="A7" t="s">
        <v>194</v>
      </c>
      <c r="B7" t="s">
        <v>243</v>
      </c>
      <c r="C7">
        <v>849</v>
      </c>
    </row>
    <row r="8" spans="1:6" x14ac:dyDescent="0.35">
      <c r="A8" t="s">
        <v>194</v>
      </c>
      <c r="B8" t="s">
        <v>244</v>
      </c>
      <c r="C8">
        <v>895</v>
      </c>
    </row>
    <row r="9" spans="1:6" x14ac:dyDescent="0.35">
      <c r="C9">
        <v>0</v>
      </c>
      <c r="D9">
        <f>SUM(C2:C8)</f>
        <v>4591.18</v>
      </c>
      <c r="E9">
        <f>SUM(C2:C8)</f>
        <v>4591.18</v>
      </c>
      <c r="F9" t="s">
        <v>200</v>
      </c>
    </row>
    <row r="10" spans="1:6" x14ac:dyDescent="0.35">
      <c r="A10" t="s">
        <v>246</v>
      </c>
      <c r="B10" t="s">
        <v>247</v>
      </c>
      <c r="C10">
        <v>359.02</v>
      </c>
    </row>
    <row r="11" spans="1:6" x14ac:dyDescent="0.35">
      <c r="A11" t="s">
        <v>291</v>
      </c>
      <c r="B11" t="s">
        <v>323</v>
      </c>
      <c r="C11">
        <v>216.82</v>
      </c>
    </row>
    <row r="12" spans="1:6" x14ac:dyDescent="0.35">
      <c r="A12" t="s">
        <v>321</v>
      </c>
      <c r="B12" t="s">
        <v>324</v>
      </c>
      <c r="C12">
        <v>145.77000000000001</v>
      </c>
    </row>
    <row r="13" spans="1:6" x14ac:dyDescent="0.35">
      <c r="C13">
        <v>0</v>
      </c>
      <c r="D13">
        <f>SUM(C10:C12)</f>
        <v>721.6099999999999</v>
      </c>
      <c r="E13">
        <f>SUM(C2:C12)</f>
        <v>5312.7900000000009</v>
      </c>
      <c r="F13" t="s">
        <v>282</v>
      </c>
    </row>
    <row r="14" spans="1:6" x14ac:dyDescent="0.35">
      <c r="A14" t="s">
        <v>325</v>
      </c>
      <c r="B14" t="s">
        <v>326</v>
      </c>
      <c r="C14">
        <v>40.770000000000003</v>
      </c>
    </row>
    <row r="15" spans="1:6" x14ac:dyDescent="0.35">
      <c r="A15" t="s">
        <v>387</v>
      </c>
      <c r="B15" t="s">
        <v>388</v>
      </c>
      <c r="C15">
        <v>231.11</v>
      </c>
    </row>
    <row r="16" spans="1:6" x14ac:dyDescent="0.35">
      <c r="C16">
        <v>0</v>
      </c>
      <c r="D16">
        <f>SUM(C14:C15)</f>
        <v>271.88</v>
      </c>
      <c r="E16">
        <f>SUM(C2:C15)</f>
        <v>5584.670000000001</v>
      </c>
      <c r="F16" t="s">
        <v>420</v>
      </c>
    </row>
    <row r="17" spans="1:3" x14ac:dyDescent="0.35">
      <c r="A17" t="s">
        <v>429</v>
      </c>
      <c r="B17" t="s">
        <v>453</v>
      </c>
      <c r="C17">
        <v>594.32000000000005</v>
      </c>
    </row>
    <row r="18" spans="1:3" x14ac:dyDescent="0.35">
      <c r="A18" t="s">
        <v>429</v>
      </c>
      <c r="B18" t="s">
        <v>454</v>
      </c>
      <c r="C18">
        <v>84</v>
      </c>
    </row>
    <row r="19" spans="1:3" x14ac:dyDescent="0.35">
      <c r="A19" t="s">
        <v>525</v>
      </c>
      <c r="B19" t="s">
        <v>555</v>
      </c>
      <c r="C19">
        <v>2.5</v>
      </c>
    </row>
    <row r="20" spans="1:3" x14ac:dyDescent="0.35">
      <c r="A20" t="s">
        <v>525</v>
      </c>
      <c r="B20" t="s">
        <v>556</v>
      </c>
      <c r="C20">
        <v>36.31</v>
      </c>
    </row>
    <row r="21" spans="1:3" x14ac:dyDescent="0.35">
      <c r="A21" t="s">
        <v>525</v>
      </c>
      <c r="B21" t="s">
        <v>551</v>
      </c>
      <c r="C21">
        <v>193.87</v>
      </c>
    </row>
    <row r="22" spans="1:3" x14ac:dyDescent="0.35">
      <c r="A22" t="s">
        <v>530</v>
      </c>
      <c r="B22" t="s">
        <v>557</v>
      </c>
      <c r="C22">
        <v>9.25</v>
      </c>
    </row>
    <row r="23" spans="1:3" x14ac:dyDescent="0.35">
      <c r="A23" t="s">
        <v>530</v>
      </c>
      <c r="B23" t="s">
        <v>558</v>
      </c>
      <c r="C23">
        <v>50</v>
      </c>
    </row>
    <row r="24" spans="1:3" x14ac:dyDescent="0.35">
      <c r="A24" t="s">
        <v>530</v>
      </c>
      <c r="B24" t="s">
        <v>559</v>
      </c>
      <c r="C24">
        <v>7</v>
      </c>
    </row>
    <row r="25" spans="1:3" x14ac:dyDescent="0.35">
      <c r="A25" t="s">
        <v>530</v>
      </c>
      <c r="B25" t="s">
        <v>560</v>
      </c>
      <c r="C25">
        <v>22</v>
      </c>
    </row>
    <row r="26" spans="1:3" x14ac:dyDescent="0.35">
      <c r="A26" t="s">
        <v>530</v>
      </c>
      <c r="B26" t="s">
        <v>552</v>
      </c>
      <c r="C26">
        <v>25</v>
      </c>
    </row>
    <row r="27" spans="1:3" x14ac:dyDescent="0.35">
      <c r="A27" t="s">
        <v>530</v>
      </c>
      <c r="B27" t="s">
        <v>561</v>
      </c>
      <c r="C27">
        <v>1090</v>
      </c>
    </row>
    <row r="28" spans="1:3" x14ac:dyDescent="0.35">
      <c r="A28" t="s">
        <v>515</v>
      </c>
      <c r="B28" t="s">
        <v>562</v>
      </c>
      <c r="C28">
        <v>29.81</v>
      </c>
    </row>
    <row r="29" spans="1:3" x14ac:dyDescent="0.35">
      <c r="A29" t="s">
        <v>515</v>
      </c>
      <c r="B29" t="s">
        <v>553</v>
      </c>
      <c r="C29">
        <v>25</v>
      </c>
    </row>
    <row r="30" spans="1:3" x14ac:dyDescent="0.35">
      <c r="A30" t="s">
        <v>535</v>
      </c>
      <c r="B30" t="s">
        <v>563</v>
      </c>
      <c r="C30">
        <v>21.26</v>
      </c>
    </row>
    <row r="31" spans="1:3" x14ac:dyDescent="0.35">
      <c r="A31" t="s">
        <v>535</v>
      </c>
      <c r="B31" t="s">
        <v>564</v>
      </c>
      <c r="C31">
        <v>58.51</v>
      </c>
    </row>
    <row r="32" spans="1:3" x14ac:dyDescent="0.35">
      <c r="A32" t="s">
        <v>535</v>
      </c>
      <c r="B32" t="s">
        <v>565</v>
      </c>
      <c r="C32">
        <v>4.04</v>
      </c>
    </row>
    <row r="33" spans="1:6" x14ac:dyDescent="0.35">
      <c r="A33" t="s">
        <v>535</v>
      </c>
      <c r="B33" t="s">
        <v>566</v>
      </c>
      <c r="C33">
        <v>37.26</v>
      </c>
    </row>
    <row r="34" spans="1:6" x14ac:dyDescent="0.35">
      <c r="A34" t="s">
        <v>535</v>
      </c>
      <c r="B34" t="s">
        <v>554</v>
      </c>
      <c r="C34">
        <v>25</v>
      </c>
    </row>
    <row r="35" spans="1:6" x14ac:dyDescent="0.35">
      <c r="A35" t="s">
        <v>538</v>
      </c>
      <c r="B35" t="s">
        <v>567</v>
      </c>
      <c r="C35">
        <v>3.19</v>
      </c>
    </row>
    <row r="36" spans="1:6" x14ac:dyDescent="0.35">
      <c r="A36" t="s">
        <v>538</v>
      </c>
      <c r="B36" t="s">
        <v>551</v>
      </c>
      <c r="C36">
        <v>-126.58</v>
      </c>
    </row>
    <row r="37" spans="1:6" x14ac:dyDescent="0.35">
      <c r="A37" t="s">
        <v>538</v>
      </c>
      <c r="B37" t="s">
        <v>568</v>
      </c>
      <c r="C37">
        <v>42.33</v>
      </c>
    </row>
    <row r="38" spans="1:6" x14ac:dyDescent="0.35">
      <c r="A38" t="s">
        <v>540</v>
      </c>
      <c r="B38" t="s">
        <v>569</v>
      </c>
      <c r="C38">
        <v>27.67</v>
      </c>
    </row>
    <row r="39" spans="1:6" x14ac:dyDescent="0.35">
      <c r="C39">
        <v>0</v>
      </c>
      <c r="E39">
        <f>SUM(C2:C38)</f>
        <v>7846.4100000000017</v>
      </c>
      <c r="F39" t="s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F4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21</v>
      </c>
      <c r="B2" t="s">
        <v>80</v>
      </c>
      <c r="C2">
        <v>20</v>
      </c>
    </row>
    <row r="3" spans="1:6" x14ac:dyDescent="0.35">
      <c r="A3" t="s">
        <v>10</v>
      </c>
      <c r="B3" t="s">
        <v>120</v>
      </c>
      <c r="C3">
        <v>8.92</v>
      </c>
    </row>
    <row r="4" spans="1:6" x14ac:dyDescent="0.35">
      <c r="A4" t="s">
        <v>87</v>
      </c>
      <c r="B4" t="s">
        <v>80</v>
      </c>
      <c r="C4">
        <v>20</v>
      </c>
    </row>
    <row r="5" spans="1:6" x14ac:dyDescent="0.35">
      <c r="C5">
        <v>0</v>
      </c>
      <c r="D5">
        <f>SUM(C2:C4)</f>
        <v>48.92</v>
      </c>
      <c r="E5">
        <f>SUM(C2:C4)</f>
        <v>48.92</v>
      </c>
      <c r="F5" t="s">
        <v>89</v>
      </c>
    </row>
    <row r="6" spans="1:6" x14ac:dyDescent="0.35">
      <c r="A6" t="s">
        <v>173</v>
      </c>
      <c r="B6" t="s">
        <v>80</v>
      </c>
      <c r="C6">
        <v>20</v>
      </c>
    </row>
    <row r="7" spans="1:6" x14ac:dyDescent="0.35">
      <c r="A7" t="s">
        <v>210</v>
      </c>
      <c r="B7" t="s">
        <v>80</v>
      </c>
      <c r="C7">
        <v>20</v>
      </c>
    </row>
    <row r="8" spans="1:6" x14ac:dyDescent="0.35">
      <c r="A8" t="s">
        <v>352</v>
      </c>
      <c r="B8" t="s">
        <v>80</v>
      </c>
      <c r="C8">
        <v>20</v>
      </c>
    </row>
    <row r="9" spans="1:6" x14ac:dyDescent="0.35">
      <c r="A9" t="s">
        <v>345</v>
      </c>
      <c r="B9" t="s">
        <v>80</v>
      </c>
      <c r="C9">
        <v>20</v>
      </c>
    </row>
    <row r="10" spans="1:6" x14ac:dyDescent="0.35">
      <c r="C10">
        <v>0</v>
      </c>
      <c r="D10">
        <f>SUM(C6:C9)</f>
        <v>80</v>
      </c>
      <c r="E10">
        <f>SUM(C2:C9)</f>
        <v>128.92000000000002</v>
      </c>
      <c r="F10" t="s">
        <v>347</v>
      </c>
    </row>
    <row r="11" spans="1:6" x14ac:dyDescent="0.35">
      <c r="A11" t="s">
        <v>471</v>
      </c>
      <c r="B11" t="s">
        <v>80</v>
      </c>
      <c r="C11">
        <v>20</v>
      </c>
    </row>
    <row r="12" spans="1:6" x14ac:dyDescent="0.35">
      <c r="A12" t="s">
        <v>485</v>
      </c>
      <c r="B12" t="s">
        <v>80</v>
      </c>
      <c r="C12">
        <v>20</v>
      </c>
    </row>
    <row r="13" spans="1:6" x14ac:dyDescent="0.35">
      <c r="A13" t="s">
        <v>448</v>
      </c>
      <c r="B13" t="s">
        <v>80</v>
      </c>
      <c r="C13">
        <v>20</v>
      </c>
    </row>
    <row r="14" spans="1:6" x14ac:dyDescent="0.35">
      <c r="A14" t="s">
        <v>418</v>
      </c>
      <c r="B14" t="s">
        <v>80</v>
      </c>
      <c r="C14">
        <v>20</v>
      </c>
    </row>
    <row r="15" spans="1:6" x14ac:dyDescent="0.35">
      <c r="A15" t="s">
        <v>488</v>
      </c>
      <c r="B15" t="s">
        <v>80</v>
      </c>
      <c r="C15">
        <v>20</v>
      </c>
    </row>
    <row r="16" spans="1:6" x14ac:dyDescent="0.35">
      <c r="A16" t="s">
        <v>510</v>
      </c>
      <c r="B16" t="s">
        <v>80</v>
      </c>
      <c r="C16">
        <v>20</v>
      </c>
    </row>
    <row r="17" spans="1:6" x14ac:dyDescent="0.35">
      <c r="A17" t="s">
        <v>540</v>
      </c>
      <c r="B17" t="s">
        <v>120</v>
      </c>
      <c r="C17">
        <v>6.86</v>
      </c>
    </row>
    <row r="18" spans="1:6" x14ac:dyDescent="0.35">
      <c r="A18" t="s">
        <v>542</v>
      </c>
      <c r="B18" t="s">
        <v>545</v>
      </c>
      <c r="C18">
        <v>20.04</v>
      </c>
    </row>
    <row r="19" spans="1:6" x14ac:dyDescent="0.35">
      <c r="A19" t="s">
        <v>542</v>
      </c>
      <c r="B19" t="s">
        <v>544</v>
      </c>
      <c r="C19">
        <v>3.35</v>
      </c>
    </row>
    <row r="20" spans="1:6" x14ac:dyDescent="0.35">
      <c r="A20" t="s">
        <v>542</v>
      </c>
      <c r="B20" t="s">
        <v>544</v>
      </c>
      <c r="C20">
        <v>5.35</v>
      </c>
    </row>
    <row r="21" spans="1:6" x14ac:dyDescent="0.35">
      <c r="C21">
        <v>0</v>
      </c>
      <c r="D21">
        <f>SUM(C11:C20)</f>
        <v>155.6</v>
      </c>
      <c r="E21">
        <f>SUM(C2:C20)</f>
        <v>284.5200000000001</v>
      </c>
      <c r="F21" t="s">
        <v>503</v>
      </c>
    </row>
    <row r="22" spans="1:6" x14ac:dyDescent="0.35">
      <c r="A22" t="s">
        <v>504</v>
      </c>
      <c r="B22" t="s">
        <v>80</v>
      </c>
      <c r="C22">
        <v>20</v>
      </c>
    </row>
    <row r="23" spans="1:6" x14ac:dyDescent="0.35">
      <c r="A23" t="s">
        <v>504</v>
      </c>
      <c r="B23" t="s">
        <v>120</v>
      </c>
      <c r="C23">
        <v>9.14</v>
      </c>
    </row>
    <row r="24" spans="1:6" x14ac:dyDescent="0.35">
      <c r="A24" t="s">
        <v>546</v>
      </c>
      <c r="B24" t="s">
        <v>545</v>
      </c>
      <c r="C24">
        <v>12.25</v>
      </c>
    </row>
    <row r="25" spans="1:6" x14ac:dyDescent="0.35">
      <c r="A25" t="s">
        <v>622</v>
      </c>
      <c r="B25" t="s">
        <v>80</v>
      </c>
      <c r="C25">
        <v>20</v>
      </c>
    </row>
    <row r="26" spans="1:6" x14ac:dyDescent="0.35">
      <c r="A26" t="s">
        <v>508</v>
      </c>
      <c r="B26" t="s">
        <v>80</v>
      </c>
      <c r="C26">
        <v>20</v>
      </c>
    </row>
    <row r="27" spans="1:6" x14ac:dyDescent="0.35">
      <c r="A27" t="s">
        <v>657</v>
      </c>
      <c r="B27" t="s">
        <v>80</v>
      </c>
      <c r="C27">
        <v>20</v>
      </c>
    </row>
    <row r="28" spans="1:6" x14ac:dyDescent="0.35">
      <c r="C28">
        <v>0</v>
      </c>
      <c r="D28">
        <f>SUM(C22:C27)</f>
        <v>101.39</v>
      </c>
      <c r="E28">
        <f>SUM(C2:C27)</f>
        <v>385.91000000000008</v>
      </c>
      <c r="F28" t="s">
        <v>614</v>
      </c>
    </row>
    <row r="29" spans="1:6" x14ac:dyDescent="0.35">
      <c r="A29" t="s">
        <v>643</v>
      </c>
      <c r="B29" t="s">
        <v>80</v>
      </c>
      <c r="C29">
        <v>20</v>
      </c>
    </row>
    <row r="30" spans="1:6" x14ac:dyDescent="0.35">
      <c r="A30" t="s">
        <v>724</v>
      </c>
      <c r="B30" t="s">
        <v>80</v>
      </c>
      <c r="C30">
        <v>20</v>
      </c>
    </row>
    <row r="31" spans="1:6" x14ac:dyDescent="0.35">
      <c r="A31" t="s">
        <v>706</v>
      </c>
      <c r="B31" t="s">
        <v>80</v>
      </c>
      <c r="C31">
        <v>20</v>
      </c>
    </row>
    <row r="32" spans="1:6" x14ac:dyDescent="0.35">
      <c r="C32">
        <v>0</v>
      </c>
      <c r="D32">
        <f>SUM(C29:C31)</f>
        <v>60</v>
      </c>
      <c r="E32">
        <f>SUM(C2:C31)</f>
        <v>445.91000000000008</v>
      </c>
      <c r="F32" t="s">
        <v>699</v>
      </c>
    </row>
    <row r="33" spans="1:6" x14ac:dyDescent="0.35">
      <c r="A33" t="s">
        <v>717</v>
      </c>
      <c r="B33" t="s">
        <v>80</v>
      </c>
      <c r="C33">
        <v>20</v>
      </c>
    </row>
    <row r="34" spans="1:6" x14ac:dyDescent="0.35">
      <c r="A34" t="s">
        <v>828</v>
      </c>
      <c r="B34" t="s">
        <v>80</v>
      </c>
      <c r="C34">
        <v>20</v>
      </c>
    </row>
    <row r="35" spans="1:6" x14ac:dyDescent="0.35">
      <c r="A35" t="s">
        <v>828</v>
      </c>
      <c r="B35" t="s">
        <v>120</v>
      </c>
      <c r="C35">
        <v>2.29</v>
      </c>
    </row>
    <row r="36" spans="1:6" x14ac:dyDescent="0.35">
      <c r="A36" t="s">
        <v>828</v>
      </c>
      <c r="B36" t="s">
        <v>120</v>
      </c>
      <c r="C36">
        <v>6.86</v>
      </c>
    </row>
    <row r="37" spans="1:6" x14ac:dyDescent="0.35">
      <c r="C37">
        <v>0</v>
      </c>
      <c r="D37">
        <f>SUM(C33:C36)</f>
        <v>49.15</v>
      </c>
      <c r="E37">
        <f>SUM(C2:C36)</f>
        <v>495.06000000000012</v>
      </c>
      <c r="F37" t="s">
        <v>796</v>
      </c>
    </row>
    <row r="38" spans="1:6" x14ac:dyDescent="0.35">
      <c r="A38" t="s">
        <v>800</v>
      </c>
      <c r="B38" t="s">
        <v>80</v>
      </c>
      <c r="C38">
        <v>20</v>
      </c>
    </row>
    <row r="39" spans="1:6" x14ac:dyDescent="0.35">
      <c r="A39" t="s">
        <v>921</v>
      </c>
      <c r="B39" t="s">
        <v>80</v>
      </c>
      <c r="C39">
        <v>20</v>
      </c>
    </row>
    <row r="40" spans="1:6" x14ac:dyDescent="0.35">
      <c r="A40" t="s">
        <v>941</v>
      </c>
      <c r="B40" t="s">
        <v>80</v>
      </c>
      <c r="C40">
        <v>20</v>
      </c>
    </row>
    <row r="41" spans="1:6" x14ac:dyDescent="0.35">
      <c r="C41">
        <v>0</v>
      </c>
      <c r="D41">
        <f>SUM(C38:C40)</f>
        <v>60</v>
      </c>
      <c r="E41">
        <f>SUM(C2:C40)</f>
        <v>555.06000000000017</v>
      </c>
      <c r="F41" t="s">
        <v>885</v>
      </c>
    </row>
    <row r="42" spans="1:6" x14ac:dyDescent="0.35">
      <c r="A42" t="s">
        <v>895</v>
      </c>
      <c r="B42" t="s">
        <v>80</v>
      </c>
      <c r="C42">
        <v>20</v>
      </c>
    </row>
    <row r="43" spans="1:6" x14ac:dyDescent="0.35">
      <c r="A43" t="s">
        <v>1013</v>
      </c>
      <c r="B43" t="s">
        <v>80</v>
      </c>
      <c r="C43">
        <v>20</v>
      </c>
    </row>
    <row r="44" spans="1:6" x14ac:dyDescent="0.35">
      <c r="C44">
        <v>0</v>
      </c>
      <c r="D44">
        <f>SUM(C42:C43)</f>
        <v>40</v>
      </c>
      <c r="E44">
        <f>SUM(C2:C43)</f>
        <v>595.06000000000017</v>
      </c>
      <c r="F44" t="s">
        <v>965</v>
      </c>
    </row>
    <row r="45" spans="1:6" x14ac:dyDescent="0.35">
      <c r="A45" t="s">
        <v>1064</v>
      </c>
      <c r="B45" t="s">
        <v>80</v>
      </c>
      <c r="C45">
        <v>20</v>
      </c>
    </row>
    <row r="46" spans="1:6" x14ac:dyDescent="0.35">
      <c r="C46">
        <v>0</v>
      </c>
      <c r="E46">
        <f>SUM(C2:C45)</f>
        <v>615.06000000000017</v>
      </c>
      <c r="F46" t="s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F67"/>
  <sheetViews>
    <sheetView tabSelected="1" topLeftCell="A49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38</v>
      </c>
      <c r="B2" t="s">
        <v>84</v>
      </c>
      <c r="C2">
        <v>1000</v>
      </c>
    </row>
    <row r="3" spans="1:6" x14ac:dyDescent="0.35">
      <c r="A3" t="s">
        <v>158</v>
      </c>
      <c r="B3" t="s">
        <v>178</v>
      </c>
      <c r="C3">
        <v>2201.7199999999998</v>
      </c>
    </row>
    <row r="4" spans="1:6" x14ac:dyDescent="0.35">
      <c r="A4" t="s">
        <v>121</v>
      </c>
      <c r="B4" t="s">
        <v>179</v>
      </c>
      <c r="C4">
        <v>270</v>
      </c>
    </row>
    <row r="5" spans="1:6" x14ac:dyDescent="0.35">
      <c r="C5">
        <v>0</v>
      </c>
      <c r="D5">
        <f>SUM(C2:C4)</f>
        <v>3471.72</v>
      </c>
      <c r="E5">
        <f>SUM(C2:C4)</f>
        <v>3471.72</v>
      </c>
      <c r="F5" t="s">
        <v>89</v>
      </c>
    </row>
    <row r="6" spans="1:6" x14ac:dyDescent="0.35">
      <c r="A6" t="s">
        <v>105</v>
      </c>
      <c r="B6" t="s">
        <v>274</v>
      </c>
      <c r="C6">
        <v>360</v>
      </c>
    </row>
    <row r="7" spans="1:6" x14ac:dyDescent="0.35">
      <c r="A7" t="s">
        <v>192</v>
      </c>
      <c r="B7" t="s">
        <v>275</v>
      </c>
      <c r="C7">
        <v>320</v>
      </c>
    </row>
    <row r="8" spans="1:6" x14ac:dyDescent="0.35">
      <c r="A8" t="s">
        <v>208</v>
      </c>
      <c r="B8" t="s">
        <v>276</v>
      </c>
      <c r="C8">
        <v>330</v>
      </c>
    </row>
    <row r="9" spans="1:6" x14ac:dyDescent="0.35">
      <c r="A9" t="s">
        <v>196</v>
      </c>
      <c r="B9" t="s">
        <v>277</v>
      </c>
      <c r="C9">
        <v>2193.73</v>
      </c>
    </row>
    <row r="10" spans="1:6" x14ac:dyDescent="0.35">
      <c r="A10" t="s">
        <v>210</v>
      </c>
      <c r="B10" t="s">
        <v>278</v>
      </c>
      <c r="C10">
        <v>265</v>
      </c>
    </row>
    <row r="11" spans="1:6" x14ac:dyDescent="0.35">
      <c r="C11">
        <v>0</v>
      </c>
      <c r="D11">
        <f>SUM(C6:C10)</f>
        <v>3468.73</v>
      </c>
      <c r="E11">
        <f>SUM(C2:C10)</f>
        <v>6940.4499999999989</v>
      </c>
      <c r="F11" t="s">
        <v>200</v>
      </c>
    </row>
    <row r="12" spans="1:6" x14ac:dyDescent="0.35">
      <c r="A12" t="s">
        <v>338</v>
      </c>
      <c r="B12" t="s">
        <v>339</v>
      </c>
      <c r="C12">
        <v>505</v>
      </c>
    </row>
    <row r="13" spans="1:6" x14ac:dyDescent="0.35">
      <c r="A13" t="s">
        <v>301</v>
      </c>
      <c r="B13" t="s">
        <v>340</v>
      </c>
      <c r="C13">
        <v>475</v>
      </c>
    </row>
    <row r="14" spans="1:6" x14ac:dyDescent="0.35">
      <c r="A14" t="s">
        <v>303</v>
      </c>
      <c r="B14" t="s">
        <v>341</v>
      </c>
      <c r="C14">
        <v>475</v>
      </c>
    </row>
    <row r="15" spans="1:6" x14ac:dyDescent="0.35">
      <c r="A15" t="s">
        <v>280</v>
      </c>
      <c r="B15" t="s">
        <v>342</v>
      </c>
      <c r="C15">
        <v>450</v>
      </c>
    </row>
    <row r="16" spans="1:6" x14ac:dyDescent="0.35">
      <c r="A16" t="s">
        <v>280</v>
      </c>
      <c r="B16" t="s">
        <v>343</v>
      </c>
      <c r="C16">
        <v>200</v>
      </c>
    </row>
    <row r="17" spans="1:6" x14ac:dyDescent="0.35">
      <c r="A17" t="s">
        <v>280</v>
      </c>
      <c r="B17" t="s">
        <v>344</v>
      </c>
      <c r="C17">
        <v>300</v>
      </c>
    </row>
    <row r="18" spans="1:6" x14ac:dyDescent="0.35">
      <c r="A18" t="s">
        <v>280</v>
      </c>
      <c r="B18" t="s">
        <v>277</v>
      </c>
      <c r="C18">
        <v>2193.73</v>
      </c>
    </row>
    <row r="19" spans="1:6" x14ac:dyDescent="0.35">
      <c r="C19">
        <v>0</v>
      </c>
      <c r="D19">
        <f>SUM(C12:C18)</f>
        <v>4598.7299999999996</v>
      </c>
      <c r="E19">
        <f>SUM(C2:C18)</f>
        <v>11539.179999999998</v>
      </c>
      <c r="F19" t="s">
        <v>282</v>
      </c>
    </row>
    <row r="20" spans="1:6" x14ac:dyDescent="0.35">
      <c r="A20" t="s">
        <v>285</v>
      </c>
      <c r="B20" t="s">
        <v>410</v>
      </c>
      <c r="C20">
        <v>415</v>
      </c>
    </row>
    <row r="21" spans="1:6" x14ac:dyDescent="0.35">
      <c r="A21" t="s">
        <v>374</v>
      </c>
      <c r="B21" t="s">
        <v>411</v>
      </c>
      <c r="C21">
        <v>495</v>
      </c>
    </row>
    <row r="22" spans="1:6" x14ac:dyDescent="0.35">
      <c r="A22" t="s">
        <v>354</v>
      </c>
      <c r="B22" t="s">
        <v>277</v>
      </c>
      <c r="C22">
        <v>2193.73</v>
      </c>
    </row>
    <row r="23" spans="1:6" x14ac:dyDescent="0.35">
      <c r="A23" t="s">
        <v>356</v>
      </c>
      <c r="B23" t="s">
        <v>412</v>
      </c>
      <c r="C23">
        <v>430</v>
      </c>
    </row>
    <row r="24" spans="1:6" x14ac:dyDescent="0.35">
      <c r="A24" t="s">
        <v>345</v>
      </c>
      <c r="B24" t="s">
        <v>415</v>
      </c>
      <c r="C24">
        <v>40</v>
      </c>
    </row>
    <row r="25" spans="1:6" x14ac:dyDescent="0.35">
      <c r="C25">
        <v>0</v>
      </c>
      <c r="D25">
        <f>SUM(C20:C24)</f>
        <v>3573.73</v>
      </c>
      <c r="E25">
        <f>SUM(C2:C24)</f>
        <v>15112.909999999998</v>
      </c>
      <c r="F25" t="s">
        <v>347</v>
      </c>
    </row>
    <row r="26" spans="1:6" x14ac:dyDescent="0.35">
      <c r="A26" t="s">
        <v>368</v>
      </c>
      <c r="B26" t="s">
        <v>492</v>
      </c>
      <c r="C26">
        <v>360</v>
      </c>
    </row>
    <row r="27" spans="1:6" x14ac:dyDescent="0.35">
      <c r="A27" t="s">
        <v>446</v>
      </c>
      <c r="B27" t="s">
        <v>493</v>
      </c>
      <c r="C27">
        <v>440</v>
      </c>
    </row>
    <row r="28" spans="1:6" x14ac:dyDescent="0.35">
      <c r="A28" t="s">
        <v>447</v>
      </c>
      <c r="B28" t="s">
        <v>500</v>
      </c>
      <c r="C28">
        <v>350</v>
      </c>
    </row>
    <row r="29" spans="1:6" x14ac:dyDescent="0.35">
      <c r="A29" t="s">
        <v>348</v>
      </c>
      <c r="B29" t="s">
        <v>494</v>
      </c>
      <c r="C29">
        <v>370</v>
      </c>
    </row>
    <row r="30" spans="1:6" x14ac:dyDescent="0.35">
      <c r="A30" t="s">
        <v>416</v>
      </c>
      <c r="B30" t="s">
        <v>501</v>
      </c>
      <c r="C30">
        <v>20</v>
      </c>
    </row>
    <row r="31" spans="1:6" x14ac:dyDescent="0.35">
      <c r="A31" t="s">
        <v>470</v>
      </c>
      <c r="B31" t="s">
        <v>502</v>
      </c>
      <c r="C31">
        <v>40</v>
      </c>
    </row>
    <row r="32" spans="1:6" x14ac:dyDescent="0.35">
      <c r="A32" t="s">
        <v>462</v>
      </c>
      <c r="B32" t="s">
        <v>277</v>
      </c>
      <c r="C32">
        <v>2193.73</v>
      </c>
    </row>
    <row r="33" spans="1:6" x14ac:dyDescent="0.35">
      <c r="A33" t="s">
        <v>448</v>
      </c>
      <c r="B33" t="s">
        <v>495</v>
      </c>
      <c r="C33">
        <v>280</v>
      </c>
    </row>
    <row r="34" spans="1:6" x14ac:dyDescent="0.35">
      <c r="A34" t="s">
        <v>459</v>
      </c>
      <c r="B34" t="s">
        <v>496</v>
      </c>
      <c r="C34">
        <v>100</v>
      </c>
    </row>
    <row r="35" spans="1:6" x14ac:dyDescent="0.35">
      <c r="A35" t="s">
        <v>418</v>
      </c>
      <c r="B35" t="s">
        <v>497</v>
      </c>
      <c r="C35">
        <v>415</v>
      </c>
    </row>
    <row r="36" spans="1:6" x14ac:dyDescent="0.35">
      <c r="C36">
        <v>0</v>
      </c>
      <c r="D36">
        <f>SUM(C26:C35)</f>
        <v>4568.7299999999996</v>
      </c>
      <c r="E36">
        <f>SUM(C2:C35)</f>
        <v>19681.639999999996</v>
      </c>
      <c r="F36" t="s">
        <v>420</v>
      </c>
    </row>
    <row r="37" spans="1:6" x14ac:dyDescent="0.35">
      <c r="A37" t="s">
        <v>488</v>
      </c>
      <c r="B37" t="s">
        <v>608</v>
      </c>
      <c r="C37">
        <v>465</v>
      </c>
    </row>
    <row r="38" spans="1:6" x14ac:dyDescent="0.35">
      <c r="A38" t="s">
        <v>548</v>
      </c>
      <c r="B38" t="s">
        <v>609</v>
      </c>
      <c r="C38">
        <v>575</v>
      </c>
    </row>
    <row r="39" spans="1:6" x14ac:dyDescent="0.35">
      <c r="A39" t="s">
        <v>571</v>
      </c>
      <c r="B39" t="s">
        <v>610</v>
      </c>
      <c r="C39">
        <v>335</v>
      </c>
    </row>
    <row r="40" spans="1:6" x14ac:dyDescent="0.35">
      <c r="A40" t="s">
        <v>535</v>
      </c>
      <c r="B40" t="s">
        <v>277</v>
      </c>
      <c r="C40">
        <v>2193.73</v>
      </c>
    </row>
    <row r="41" spans="1:6" x14ac:dyDescent="0.35">
      <c r="A41" t="s">
        <v>520</v>
      </c>
      <c r="B41" t="s">
        <v>611</v>
      </c>
      <c r="C41">
        <v>350</v>
      </c>
    </row>
    <row r="42" spans="1:6" x14ac:dyDescent="0.35">
      <c r="C42">
        <v>0</v>
      </c>
      <c r="D42">
        <f>SUM(C37:C41)</f>
        <v>3918.73</v>
      </c>
      <c r="E42">
        <f>SUM(C2:C41)</f>
        <v>23600.369999999995</v>
      </c>
      <c r="F42" t="s">
        <v>503</v>
      </c>
    </row>
    <row r="43" spans="1:6" x14ac:dyDescent="0.35">
      <c r="A43" t="s">
        <v>622</v>
      </c>
      <c r="B43" t="s">
        <v>690</v>
      </c>
      <c r="C43">
        <v>585</v>
      </c>
    </row>
    <row r="44" spans="1:6" x14ac:dyDescent="0.35">
      <c r="A44" t="s">
        <v>506</v>
      </c>
      <c r="B44" t="s">
        <v>691</v>
      </c>
      <c r="C44">
        <v>40</v>
      </c>
    </row>
    <row r="45" spans="1:6" x14ac:dyDescent="0.35">
      <c r="A45" t="s">
        <v>653</v>
      </c>
      <c r="B45" t="s">
        <v>692</v>
      </c>
      <c r="C45">
        <v>475</v>
      </c>
    </row>
    <row r="46" spans="1:6" x14ac:dyDescent="0.35">
      <c r="A46" t="s">
        <v>619</v>
      </c>
      <c r="B46" t="s">
        <v>693</v>
      </c>
      <c r="C46">
        <v>400</v>
      </c>
    </row>
    <row r="47" spans="1:6" x14ac:dyDescent="0.35">
      <c r="A47" t="s">
        <v>657</v>
      </c>
      <c r="B47" t="s">
        <v>277</v>
      </c>
      <c r="C47">
        <v>2193.73</v>
      </c>
    </row>
    <row r="48" spans="1:6" x14ac:dyDescent="0.35">
      <c r="A48" t="s">
        <v>650</v>
      </c>
      <c r="B48" t="s">
        <v>698</v>
      </c>
      <c r="C48">
        <v>1900</v>
      </c>
    </row>
    <row r="49" spans="1:6" x14ac:dyDescent="0.35">
      <c r="A49" t="s">
        <v>650</v>
      </c>
      <c r="B49" t="s">
        <v>694</v>
      </c>
      <c r="C49">
        <v>310</v>
      </c>
    </row>
    <row r="50" spans="1:6" x14ac:dyDescent="0.35">
      <c r="C50">
        <v>0</v>
      </c>
      <c r="D50">
        <f>SUM(C43:C49)</f>
        <v>5903.73</v>
      </c>
      <c r="E50">
        <f>SUM(C2:C49)</f>
        <v>29504.099999999995</v>
      </c>
      <c r="F50" t="s">
        <v>614</v>
      </c>
    </row>
    <row r="51" spans="1:6" x14ac:dyDescent="0.35">
      <c r="A51" t="s">
        <v>628</v>
      </c>
      <c r="B51" t="s">
        <v>788</v>
      </c>
      <c r="C51">
        <v>400</v>
      </c>
    </row>
    <row r="52" spans="1:6" x14ac:dyDescent="0.35">
      <c r="A52" t="s">
        <v>723</v>
      </c>
      <c r="B52" t="s">
        <v>789</v>
      </c>
      <c r="C52">
        <v>320</v>
      </c>
    </row>
    <row r="53" spans="1:6" x14ac:dyDescent="0.35">
      <c r="A53" t="s">
        <v>724</v>
      </c>
      <c r="B53" t="s">
        <v>790</v>
      </c>
      <c r="C53">
        <v>240</v>
      </c>
    </row>
    <row r="54" spans="1:6" x14ac:dyDescent="0.35">
      <c r="A54" t="s">
        <v>704</v>
      </c>
      <c r="B54" t="s">
        <v>791</v>
      </c>
      <c r="C54">
        <v>10</v>
      </c>
    </row>
    <row r="55" spans="1:6" x14ac:dyDescent="0.35">
      <c r="A55" t="s">
        <v>740</v>
      </c>
      <c r="B55" t="s">
        <v>792</v>
      </c>
      <c r="C55">
        <v>4221.0200000000004</v>
      </c>
    </row>
    <row r="56" spans="1:6" x14ac:dyDescent="0.35">
      <c r="A56" t="s">
        <v>832</v>
      </c>
      <c r="B56" t="s">
        <v>792</v>
      </c>
      <c r="C56">
        <v>4221.0200000000004</v>
      </c>
    </row>
    <row r="57" spans="1:6" x14ac:dyDescent="0.35">
      <c r="A57" t="s">
        <v>838</v>
      </c>
      <c r="B57" t="s">
        <v>962</v>
      </c>
      <c r="C57">
        <v>2000</v>
      </c>
    </row>
    <row r="58" spans="1:6" x14ac:dyDescent="0.35">
      <c r="A58" t="s">
        <v>941</v>
      </c>
      <c r="B58" t="s">
        <v>963</v>
      </c>
      <c r="C58">
        <v>1000</v>
      </c>
    </row>
    <row r="59" spans="1:6" x14ac:dyDescent="0.35">
      <c r="A59" t="s">
        <v>939</v>
      </c>
      <c r="B59" t="s">
        <v>792</v>
      </c>
      <c r="C59">
        <v>4221.0200000000004</v>
      </c>
    </row>
    <row r="60" spans="1:6" x14ac:dyDescent="0.35">
      <c r="C60">
        <v>0</v>
      </c>
      <c r="D60">
        <f>SUM(C51:C59)</f>
        <v>16633.060000000001</v>
      </c>
      <c r="E60">
        <f>SUM(C2:C59)</f>
        <v>46137.16</v>
      </c>
      <c r="F60" t="s">
        <v>885</v>
      </c>
    </row>
    <row r="61" spans="1:6" x14ac:dyDescent="0.35">
      <c r="A61" t="s">
        <v>945</v>
      </c>
      <c r="B61" t="s">
        <v>964</v>
      </c>
      <c r="C61">
        <v>1000</v>
      </c>
    </row>
    <row r="62" spans="1:6" x14ac:dyDescent="0.35">
      <c r="A62" t="s">
        <v>977</v>
      </c>
      <c r="B62" t="s">
        <v>1072</v>
      </c>
      <c r="C62">
        <v>115</v>
      </c>
    </row>
    <row r="63" spans="1:6" x14ac:dyDescent="0.35">
      <c r="A63" t="s">
        <v>994</v>
      </c>
      <c r="B63" t="s">
        <v>792</v>
      </c>
      <c r="C63">
        <v>4221.0200000000004</v>
      </c>
    </row>
    <row r="64" spans="1:6" x14ac:dyDescent="0.35">
      <c r="C64">
        <v>0</v>
      </c>
      <c r="D64">
        <f>SUM(C61:C63)</f>
        <v>5336.02</v>
      </c>
      <c r="E64">
        <f>SUM(C2:C63)</f>
        <v>51473.180000000008</v>
      </c>
      <c r="F64" t="s">
        <v>965</v>
      </c>
    </row>
    <row r="65" spans="1:6" x14ac:dyDescent="0.35">
      <c r="A65" t="s">
        <v>966</v>
      </c>
      <c r="B65" t="s">
        <v>1073</v>
      </c>
      <c r="C65">
        <v>85</v>
      </c>
    </row>
    <row r="66" spans="1:6" x14ac:dyDescent="0.35">
      <c r="A66" t="s">
        <v>966</v>
      </c>
      <c r="B66" t="s">
        <v>1074</v>
      </c>
      <c r="C66">
        <v>50</v>
      </c>
    </row>
    <row r="67" spans="1:6" x14ac:dyDescent="0.35">
      <c r="C67">
        <v>0</v>
      </c>
      <c r="E67">
        <f>SUM(C2:C66)</f>
        <v>51608.180000000008</v>
      </c>
      <c r="F67" t="s">
        <v>9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F43"/>
  <sheetViews>
    <sheetView topLeftCell="A31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87</v>
      </c>
      <c r="B2" t="s">
        <v>88</v>
      </c>
      <c r="C2">
        <v>417.96</v>
      </c>
    </row>
    <row r="3" spans="1:6" x14ac:dyDescent="0.35">
      <c r="A3" t="s">
        <v>90</v>
      </c>
      <c r="B3" t="s">
        <v>273</v>
      </c>
      <c r="C3">
        <v>133.25</v>
      </c>
    </row>
    <row r="4" spans="1:6" x14ac:dyDescent="0.35">
      <c r="A4" t="s">
        <v>220</v>
      </c>
      <c r="B4" t="s">
        <v>224</v>
      </c>
      <c r="C4">
        <v>4.05</v>
      </c>
    </row>
    <row r="5" spans="1:6" x14ac:dyDescent="0.35">
      <c r="C5">
        <v>0</v>
      </c>
      <c r="D5">
        <f>SUM(C2:C4)</f>
        <v>555.26</v>
      </c>
      <c r="E5">
        <f>SUM(C2:C4)</f>
        <v>555.26</v>
      </c>
      <c r="F5" t="s">
        <v>200</v>
      </c>
    </row>
    <row r="6" spans="1:6" x14ac:dyDescent="0.35">
      <c r="A6" t="s">
        <v>201</v>
      </c>
      <c r="B6" t="s">
        <v>225</v>
      </c>
      <c r="C6">
        <v>0.36</v>
      </c>
    </row>
    <row r="7" spans="1:6" x14ac:dyDescent="0.35">
      <c r="A7" t="s">
        <v>201</v>
      </c>
      <c r="B7" t="s">
        <v>225</v>
      </c>
      <c r="C7">
        <v>0.49</v>
      </c>
    </row>
    <row r="8" spans="1:6" x14ac:dyDescent="0.35">
      <c r="A8" t="s">
        <v>309</v>
      </c>
      <c r="B8" t="s">
        <v>314</v>
      </c>
      <c r="C8">
        <v>80</v>
      </c>
    </row>
    <row r="9" spans="1:6" x14ac:dyDescent="0.35">
      <c r="A9" t="s">
        <v>288</v>
      </c>
      <c r="B9" t="s">
        <v>224</v>
      </c>
      <c r="C9">
        <v>4.05</v>
      </c>
    </row>
    <row r="10" spans="1:6" x14ac:dyDescent="0.35">
      <c r="C10">
        <v>0</v>
      </c>
      <c r="D10">
        <f>SUM(C6:C9)</f>
        <v>84.899999999999991</v>
      </c>
      <c r="E10">
        <f>SUM(C2:C9)</f>
        <v>640.16</v>
      </c>
      <c r="F10" t="s">
        <v>282</v>
      </c>
    </row>
    <row r="11" spans="1:6" x14ac:dyDescent="0.35">
      <c r="A11" t="s">
        <v>369</v>
      </c>
      <c r="B11" t="s">
        <v>224</v>
      </c>
      <c r="C11">
        <v>7.35</v>
      </c>
    </row>
    <row r="12" spans="1:6" x14ac:dyDescent="0.35">
      <c r="A12" t="s">
        <v>285</v>
      </c>
      <c r="B12" t="s">
        <v>287</v>
      </c>
      <c r="C12">
        <v>222.25</v>
      </c>
    </row>
    <row r="13" spans="1:6" x14ac:dyDescent="0.35">
      <c r="A13" t="s">
        <v>352</v>
      </c>
      <c r="B13" t="s">
        <v>377</v>
      </c>
      <c r="C13">
        <v>79.52</v>
      </c>
    </row>
    <row r="14" spans="1:6" x14ac:dyDescent="0.35">
      <c r="A14" t="s">
        <v>439</v>
      </c>
      <c r="B14" t="s">
        <v>452</v>
      </c>
      <c r="C14">
        <v>334.52</v>
      </c>
    </row>
    <row r="15" spans="1:6" x14ac:dyDescent="0.35">
      <c r="A15" t="s">
        <v>459</v>
      </c>
      <c r="B15" t="s">
        <v>460</v>
      </c>
      <c r="C15">
        <v>725</v>
      </c>
    </row>
    <row r="16" spans="1:6" x14ac:dyDescent="0.35">
      <c r="A16" t="s">
        <v>459</v>
      </c>
      <c r="B16" t="s">
        <v>460</v>
      </c>
      <c r="C16">
        <v>725</v>
      </c>
    </row>
    <row r="17" spans="1:6" x14ac:dyDescent="0.35">
      <c r="A17" t="s">
        <v>520</v>
      </c>
      <c r="B17" t="s">
        <v>224</v>
      </c>
      <c r="C17">
        <v>7.35</v>
      </c>
    </row>
    <row r="18" spans="1:6" x14ac:dyDescent="0.35">
      <c r="A18" t="s">
        <v>653</v>
      </c>
      <c r="B18" t="s">
        <v>224</v>
      </c>
      <c r="C18">
        <v>7.35</v>
      </c>
    </row>
    <row r="19" spans="1:6" x14ac:dyDescent="0.35">
      <c r="A19" t="s">
        <v>624</v>
      </c>
      <c r="B19" t="s">
        <v>654</v>
      </c>
      <c r="C19">
        <v>23</v>
      </c>
    </row>
    <row r="20" spans="1:6" x14ac:dyDescent="0.35">
      <c r="A20" t="s">
        <v>625</v>
      </c>
      <c r="B20" t="s">
        <v>655</v>
      </c>
      <c r="C20">
        <v>15.31</v>
      </c>
    </row>
    <row r="21" spans="1:6" x14ac:dyDescent="0.35">
      <c r="A21" t="s">
        <v>617</v>
      </c>
      <c r="B21" t="s">
        <v>618</v>
      </c>
      <c r="C21">
        <v>189.23</v>
      </c>
    </row>
    <row r="22" spans="1:6" x14ac:dyDescent="0.35">
      <c r="A22" t="s">
        <v>646</v>
      </c>
      <c r="B22" t="s">
        <v>224</v>
      </c>
      <c r="C22">
        <v>105.55</v>
      </c>
    </row>
    <row r="23" spans="1:6" x14ac:dyDescent="0.35">
      <c r="A23" t="s">
        <v>713</v>
      </c>
      <c r="B23" t="s">
        <v>751</v>
      </c>
      <c r="C23">
        <v>3</v>
      </c>
    </row>
    <row r="24" spans="1:6" x14ac:dyDescent="0.35">
      <c r="A24" t="s">
        <v>732</v>
      </c>
      <c r="B24" t="s">
        <v>225</v>
      </c>
      <c r="C24">
        <v>0.14000000000000001</v>
      </c>
    </row>
    <row r="25" spans="1:6" x14ac:dyDescent="0.35">
      <c r="A25" t="s">
        <v>732</v>
      </c>
      <c r="B25" t="s">
        <v>225</v>
      </c>
      <c r="C25">
        <v>0.14000000000000001</v>
      </c>
    </row>
    <row r="26" spans="1:6" x14ac:dyDescent="0.35">
      <c r="A26" t="s">
        <v>732</v>
      </c>
      <c r="B26" t="s">
        <v>225</v>
      </c>
      <c r="C26">
        <v>4.0999999999999996</v>
      </c>
    </row>
    <row r="27" spans="1:6" x14ac:dyDescent="0.35">
      <c r="C27">
        <v>0</v>
      </c>
      <c r="D27">
        <f>SUM(C11:C26)</f>
        <v>2448.8099999999995</v>
      </c>
      <c r="E27">
        <f>SUM(C2:C26)</f>
        <v>3088.97</v>
      </c>
      <c r="F27" t="s">
        <v>699</v>
      </c>
    </row>
    <row r="28" spans="1:6" x14ac:dyDescent="0.35">
      <c r="A28" t="s">
        <v>734</v>
      </c>
      <c r="B28" t="s">
        <v>225</v>
      </c>
      <c r="C28">
        <v>4.5599999999999996</v>
      </c>
    </row>
    <row r="29" spans="1:6" x14ac:dyDescent="0.35">
      <c r="A29" t="s">
        <v>828</v>
      </c>
      <c r="B29" t="s">
        <v>224</v>
      </c>
      <c r="C29">
        <v>7.35</v>
      </c>
    </row>
    <row r="30" spans="1:6" x14ac:dyDescent="0.35">
      <c r="A30" t="s">
        <v>830</v>
      </c>
      <c r="B30" t="s">
        <v>224</v>
      </c>
      <c r="C30">
        <v>7.35</v>
      </c>
    </row>
    <row r="31" spans="1:6" x14ac:dyDescent="0.35">
      <c r="C31">
        <v>0</v>
      </c>
      <c r="D31">
        <f>SUM(C28:C30)</f>
        <v>19.259999999999998</v>
      </c>
      <c r="E31">
        <f>SUM(C2:C30)</f>
        <v>3108.2299999999996</v>
      </c>
      <c r="F31" t="s">
        <v>796</v>
      </c>
    </row>
    <row r="32" spans="1:6" x14ac:dyDescent="0.35">
      <c r="A32" t="s">
        <v>873</v>
      </c>
      <c r="B32" t="s">
        <v>751</v>
      </c>
      <c r="C32">
        <v>3</v>
      </c>
    </row>
    <row r="33" spans="1:6" x14ac:dyDescent="0.35">
      <c r="A33" t="s">
        <v>923</v>
      </c>
      <c r="B33" t="s">
        <v>924</v>
      </c>
      <c r="C33">
        <v>273</v>
      </c>
    </row>
    <row r="34" spans="1:6" x14ac:dyDescent="0.35">
      <c r="A34" t="s">
        <v>894</v>
      </c>
      <c r="B34" t="s">
        <v>314</v>
      </c>
      <c r="C34">
        <v>247</v>
      </c>
    </row>
    <row r="35" spans="1:6" x14ac:dyDescent="0.35">
      <c r="C35">
        <v>0</v>
      </c>
      <c r="D35">
        <f>SUM(C32:C34)</f>
        <v>523</v>
      </c>
      <c r="E35">
        <f>SUM(C2:C34)</f>
        <v>3631.2299999999996</v>
      </c>
      <c r="F35" t="s">
        <v>885</v>
      </c>
    </row>
    <row r="36" spans="1:6" x14ac:dyDescent="0.35">
      <c r="A36" t="s">
        <v>919</v>
      </c>
      <c r="B36" t="s">
        <v>225</v>
      </c>
      <c r="C36">
        <v>2.84</v>
      </c>
    </row>
    <row r="37" spans="1:6" x14ac:dyDescent="0.35">
      <c r="A37" t="s">
        <v>919</v>
      </c>
      <c r="B37" t="s">
        <v>225</v>
      </c>
      <c r="C37">
        <v>5.91</v>
      </c>
    </row>
    <row r="38" spans="1:6" x14ac:dyDescent="0.35">
      <c r="A38" t="s">
        <v>977</v>
      </c>
      <c r="B38" t="s">
        <v>225</v>
      </c>
      <c r="C38">
        <v>1.1499999999999999</v>
      </c>
    </row>
    <row r="39" spans="1:6" x14ac:dyDescent="0.35">
      <c r="A39" t="s">
        <v>990</v>
      </c>
      <c r="B39" t="s">
        <v>225</v>
      </c>
      <c r="C39">
        <v>0.36</v>
      </c>
    </row>
    <row r="40" spans="1:6" x14ac:dyDescent="0.35">
      <c r="A40" t="s">
        <v>984</v>
      </c>
      <c r="B40" t="s">
        <v>1016</v>
      </c>
      <c r="C40">
        <v>0.85</v>
      </c>
    </row>
    <row r="41" spans="1:6" x14ac:dyDescent="0.35">
      <c r="C41">
        <v>0</v>
      </c>
      <c r="D41">
        <f>SUM(C36:C40)</f>
        <v>11.11</v>
      </c>
      <c r="E41">
        <f>SUM(C2:C40)</f>
        <v>3642.3399999999997</v>
      </c>
      <c r="F41" t="s">
        <v>965</v>
      </c>
    </row>
    <row r="42" spans="1:6" x14ac:dyDescent="0.35">
      <c r="A42" t="s">
        <v>1060</v>
      </c>
      <c r="B42" t="s">
        <v>225</v>
      </c>
      <c r="C42">
        <v>2.99</v>
      </c>
    </row>
    <row r="43" spans="1:6" x14ac:dyDescent="0.35">
      <c r="C43">
        <v>0</v>
      </c>
      <c r="E43">
        <f>SUM(C2:C42)</f>
        <v>3645.3299999999995</v>
      </c>
      <c r="F43" t="s">
        <v>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F11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125</v>
      </c>
      <c r="B2" t="s">
        <v>126</v>
      </c>
      <c r="C2">
        <v>7</v>
      </c>
    </row>
    <row r="3" spans="1:6" x14ac:dyDescent="0.35">
      <c r="A3" t="s">
        <v>251</v>
      </c>
      <c r="B3" t="s">
        <v>262</v>
      </c>
      <c r="C3">
        <v>2</v>
      </c>
    </row>
    <row r="4" spans="1:6" x14ac:dyDescent="0.35">
      <c r="A4" t="s">
        <v>180</v>
      </c>
      <c r="B4" t="s">
        <v>126</v>
      </c>
      <c r="C4">
        <v>7</v>
      </c>
    </row>
    <row r="5" spans="1:6" x14ac:dyDescent="0.35">
      <c r="A5" t="s">
        <v>448</v>
      </c>
      <c r="B5" t="s">
        <v>126</v>
      </c>
      <c r="C5">
        <v>7</v>
      </c>
    </row>
    <row r="6" spans="1:6" x14ac:dyDescent="0.35">
      <c r="A6" t="s">
        <v>650</v>
      </c>
      <c r="B6" t="s">
        <v>126</v>
      </c>
      <c r="C6">
        <v>7</v>
      </c>
    </row>
    <row r="7" spans="1:6" x14ac:dyDescent="0.35">
      <c r="C7">
        <v>0</v>
      </c>
      <c r="D7">
        <f>SUM(C2:C6)</f>
        <v>30</v>
      </c>
      <c r="E7">
        <f>SUM(C2:C6)</f>
        <v>30</v>
      </c>
      <c r="F7" t="s">
        <v>796</v>
      </c>
    </row>
    <row r="8" spans="1:6" x14ac:dyDescent="0.35">
      <c r="A8" t="s">
        <v>843</v>
      </c>
      <c r="B8" t="s">
        <v>126</v>
      </c>
      <c r="C8">
        <v>10</v>
      </c>
    </row>
    <row r="9" spans="1:6" x14ac:dyDescent="0.35">
      <c r="C9">
        <v>0</v>
      </c>
      <c r="D9">
        <f>SUM(C8:C8)</f>
        <v>10</v>
      </c>
      <c r="E9">
        <f>SUM(C2:C8)</f>
        <v>40</v>
      </c>
      <c r="F9" t="s">
        <v>885</v>
      </c>
    </row>
    <row r="10" spans="1:6" x14ac:dyDescent="0.35">
      <c r="A10" t="s">
        <v>1007</v>
      </c>
      <c r="B10" t="s">
        <v>126</v>
      </c>
      <c r="C10">
        <v>7</v>
      </c>
    </row>
    <row r="11" spans="1:6" x14ac:dyDescent="0.35">
      <c r="C11">
        <v>0</v>
      </c>
      <c r="E11">
        <f>SUM(C2:C10)</f>
        <v>47</v>
      </c>
      <c r="F11" t="s">
        <v>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F16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46</v>
      </c>
      <c r="B2" t="s">
        <v>133</v>
      </c>
      <c r="C2">
        <v>4.2300000000000004</v>
      </c>
    </row>
    <row r="3" spans="1:6" x14ac:dyDescent="0.35">
      <c r="A3" t="s">
        <v>96</v>
      </c>
      <c r="B3" t="s">
        <v>133</v>
      </c>
      <c r="C3">
        <v>7.05</v>
      </c>
    </row>
    <row r="4" spans="1:6" x14ac:dyDescent="0.35">
      <c r="A4" t="s">
        <v>96</v>
      </c>
      <c r="B4" t="s">
        <v>133</v>
      </c>
      <c r="C4">
        <v>9.8699999999999992</v>
      </c>
    </row>
    <row r="5" spans="1:6" x14ac:dyDescent="0.35">
      <c r="C5">
        <v>0</v>
      </c>
      <c r="D5">
        <f>SUM(C2:C4)</f>
        <v>21.15</v>
      </c>
      <c r="E5">
        <f>SUM(C2:C4)</f>
        <v>21.15</v>
      </c>
      <c r="F5" t="s">
        <v>89</v>
      </c>
    </row>
    <row r="6" spans="1:6" x14ac:dyDescent="0.35">
      <c r="A6" t="s">
        <v>183</v>
      </c>
      <c r="B6" t="s">
        <v>133</v>
      </c>
      <c r="C6">
        <v>14.1</v>
      </c>
    </row>
    <row r="7" spans="1:6" x14ac:dyDescent="0.35">
      <c r="A7" t="s">
        <v>251</v>
      </c>
      <c r="B7" t="s">
        <v>267</v>
      </c>
      <c r="C7">
        <v>7.14</v>
      </c>
    </row>
    <row r="8" spans="1:6" x14ac:dyDescent="0.35">
      <c r="A8" t="s">
        <v>251</v>
      </c>
      <c r="B8" t="s">
        <v>133</v>
      </c>
      <c r="C8">
        <v>4.2300000000000004</v>
      </c>
    </row>
    <row r="9" spans="1:6" x14ac:dyDescent="0.35">
      <c r="A9" t="s">
        <v>251</v>
      </c>
      <c r="B9" t="s">
        <v>267</v>
      </c>
      <c r="C9">
        <v>7.14</v>
      </c>
    </row>
    <row r="10" spans="1:6" x14ac:dyDescent="0.35">
      <c r="A10" t="s">
        <v>251</v>
      </c>
      <c r="B10" t="s">
        <v>133</v>
      </c>
      <c r="C10">
        <v>4.2300000000000004</v>
      </c>
    </row>
    <row r="11" spans="1:6" x14ac:dyDescent="0.35">
      <c r="A11" t="s">
        <v>189</v>
      </c>
      <c r="B11" t="s">
        <v>267</v>
      </c>
      <c r="C11">
        <v>7.14</v>
      </c>
    </row>
    <row r="12" spans="1:6" x14ac:dyDescent="0.35">
      <c r="A12" t="s">
        <v>525</v>
      </c>
      <c r="B12" t="s">
        <v>601</v>
      </c>
      <c r="C12">
        <v>25</v>
      </c>
    </row>
    <row r="13" spans="1:6" x14ac:dyDescent="0.35">
      <c r="C13">
        <v>0</v>
      </c>
      <c r="D13">
        <f>SUM(C6:C12)</f>
        <v>68.98</v>
      </c>
      <c r="E13">
        <f>SUM(C2:C12)</f>
        <v>90.13000000000001</v>
      </c>
      <c r="F13" t="s">
        <v>699</v>
      </c>
    </row>
    <row r="14" spans="1:6" x14ac:dyDescent="0.35">
      <c r="A14" t="s">
        <v>828</v>
      </c>
      <c r="B14" t="s">
        <v>845</v>
      </c>
      <c r="C14">
        <v>100</v>
      </c>
    </row>
    <row r="15" spans="1:6" x14ac:dyDescent="0.35">
      <c r="A15" t="s">
        <v>1013</v>
      </c>
      <c r="B15" t="s">
        <v>1019</v>
      </c>
      <c r="C15">
        <v>25</v>
      </c>
    </row>
    <row r="16" spans="1:6" x14ac:dyDescent="0.35">
      <c r="C16">
        <v>0</v>
      </c>
      <c r="E16">
        <f>SUM(C2:C15)</f>
        <v>215.13</v>
      </c>
      <c r="F16" t="s">
        <v>9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F26"/>
  <sheetViews>
    <sheetView topLeftCell="A16"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7</v>
      </c>
      <c r="B2" t="s">
        <v>132</v>
      </c>
      <c r="C2">
        <v>20.5</v>
      </c>
    </row>
    <row r="3" spans="1:6" x14ac:dyDescent="0.35">
      <c r="C3">
        <v>0</v>
      </c>
      <c r="D3">
        <f>SUM(C2:C2)</f>
        <v>20.5</v>
      </c>
      <c r="E3">
        <f>SUM(C2:C2)</f>
        <v>20.5</v>
      </c>
      <c r="F3" t="s">
        <v>89</v>
      </c>
    </row>
    <row r="4" spans="1:6" x14ac:dyDescent="0.35">
      <c r="A4" t="s">
        <v>207</v>
      </c>
      <c r="B4" t="s">
        <v>227</v>
      </c>
      <c r="C4">
        <v>139</v>
      </c>
    </row>
    <row r="5" spans="1:6" x14ac:dyDescent="0.35">
      <c r="A5" t="s">
        <v>207</v>
      </c>
      <c r="B5" t="s">
        <v>227</v>
      </c>
      <c r="C5">
        <v>139</v>
      </c>
    </row>
    <row r="6" spans="1:6" x14ac:dyDescent="0.35">
      <c r="C6">
        <v>0</v>
      </c>
      <c r="D6">
        <f>SUM(C4:C5)</f>
        <v>278</v>
      </c>
      <c r="E6">
        <f>SUM(C2:C5)</f>
        <v>298.5</v>
      </c>
      <c r="F6" t="s">
        <v>200</v>
      </c>
    </row>
    <row r="7" spans="1:6" x14ac:dyDescent="0.35">
      <c r="A7" t="s">
        <v>312</v>
      </c>
      <c r="B7" t="s">
        <v>132</v>
      </c>
      <c r="C7">
        <v>19.190000000000001</v>
      </c>
    </row>
    <row r="8" spans="1:6" x14ac:dyDescent="0.35">
      <c r="A8" t="s">
        <v>296</v>
      </c>
      <c r="B8" t="s">
        <v>313</v>
      </c>
      <c r="C8">
        <v>15.34</v>
      </c>
    </row>
    <row r="9" spans="1:6" x14ac:dyDescent="0.35">
      <c r="C9">
        <v>0</v>
      </c>
      <c r="D9">
        <f>SUM(C7:C8)</f>
        <v>34.53</v>
      </c>
      <c r="E9">
        <f>SUM(C2:C8)</f>
        <v>333.03</v>
      </c>
      <c r="F9" t="s">
        <v>282</v>
      </c>
    </row>
    <row r="10" spans="1:6" x14ac:dyDescent="0.35">
      <c r="A10" t="s">
        <v>283</v>
      </c>
      <c r="B10" t="s">
        <v>227</v>
      </c>
      <c r="C10">
        <v>152</v>
      </c>
    </row>
    <row r="11" spans="1:6" x14ac:dyDescent="0.35">
      <c r="A11" t="s">
        <v>283</v>
      </c>
      <c r="B11" t="s">
        <v>227</v>
      </c>
      <c r="C11">
        <v>36</v>
      </c>
    </row>
    <row r="12" spans="1:6" x14ac:dyDescent="0.35">
      <c r="A12" t="s">
        <v>283</v>
      </c>
      <c r="B12" t="s">
        <v>227</v>
      </c>
      <c r="C12">
        <v>152</v>
      </c>
    </row>
    <row r="13" spans="1:6" x14ac:dyDescent="0.35">
      <c r="A13" t="s">
        <v>379</v>
      </c>
      <c r="B13" t="s">
        <v>227</v>
      </c>
      <c r="C13">
        <v>-34</v>
      </c>
    </row>
    <row r="14" spans="1:6" x14ac:dyDescent="0.35">
      <c r="A14" t="s">
        <v>657</v>
      </c>
      <c r="B14" t="s">
        <v>227</v>
      </c>
      <c r="C14">
        <v>32</v>
      </c>
    </row>
    <row r="15" spans="1:6" x14ac:dyDescent="0.35">
      <c r="A15" t="s">
        <v>657</v>
      </c>
      <c r="B15" t="s">
        <v>227</v>
      </c>
      <c r="C15">
        <v>32</v>
      </c>
    </row>
    <row r="16" spans="1:6" x14ac:dyDescent="0.35">
      <c r="C16">
        <v>0</v>
      </c>
      <c r="D16">
        <f>SUM(C10:C15)</f>
        <v>370</v>
      </c>
      <c r="E16">
        <f>SUM(C2:C15)</f>
        <v>703.03</v>
      </c>
      <c r="F16" t="s">
        <v>614</v>
      </c>
    </row>
    <row r="17" spans="1:6" x14ac:dyDescent="0.35">
      <c r="A17" t="s">
        <v>744</v>
      </c>
      <c r="B17" t="s">
        <v>746</v>
      </c>
      <c r="C17">
        <v>190.19</v>
      </c>
    </row>
    <row r="18" spans="1:6" x14ac:dyDescent="0.35">
      <c r="A18" t="s">
        <v>710</v>
      </c>
      <c r="B18" t="s">
        <v>748</v>
      </c>
      <c r="C18">
        <v>24</v>
      </c>
    </row>
    <row r="19" spans="1:6" x14ac:dyDescent="0.35">
      <c r="A19" t="s">
        <v>832</v>
      </c>
      <c r="B19" t="s">
        <v>846</v>
      </c>
      <c r="C19">
        <v>56</v>
      </c>
    </row>
    <row r="20" spans="1:6" x14ac:dyDescent="0.35">
      <c r="C20">
        <v>0</v>
      </c>
      <c r="D20">
        <f>SUM(C17:C19)</f>
        <v>270.19</v>
      </c>
      <c r="E20">
        <f>SUM(C2:C19)</f>
        <v>973.22</v>
      </c>
      <c r="F20" t="s">
        <v>796</v>
      </c>
    </row>
    <row r="21" spans="1:6" x14ac:dyDescent="0.35">
      <c r="A21" t="s">
        <v>848</v>
      </c>
      <c r="B21" t="s">
        <v>922</v>
      </c>
      <c r="C21">
        <v>55</v>
      </c>
    </row>
    <row r="22" spans="1:6" x14ac:dyDescent="0.35">
      <c r="A22" t="s">
        <v>848</v>
      </c>
      <c r="B22" t="s">
        <v>922</v>
      </c>
      <c r="C22">
        <v>55</v>
      </c>
    </row>
    <row r="23" spans="1:6" x14ac:dyDescent="0.35">
      <c r="A23" t="s">
        <v>970</v>
      </c>
      <c r="B23" t="s">
        <v>227</v>
      </c>
      <c r="C23">
        <v>17.3</v>
      </c>
    </row>
    <row r="24" spans="1:6" x14ac:dyDescent="0.35">
      <c r="A24" t="s">
        <v>970</v>
      </c>
      <c r="B24" t="s">
        <v>227</v>
      </c>
      <c r="C24">
        <v>17.3</v>
      </c>
    </row>
    <row r="25" spans="1:6" x14ac:dyDescent="0.35">
      <c r="A25" t="s">
        <v>993</v>
      </c>
      <c r="B25" t="s">
        <v>227</v>
      </c>
      <c r="C25">
        <v>24.65</v>
      </c>
    </row>
    <row r="26" spans="1:6" x14ac:dyDescent="0.35">
      <c r="C26">
        <v>0</v>
      </c>
      <c r="E26">
        <f>SUM(C2:C25)</f>
        <v>1142.47</v>
      </c>
      <c r="F26" t="s">
        <v>9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F9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127</v>
      </c>
      <c r="B2" t="s">
        <v>163</v>
      </c>
      <c r="C2">
        <v>203.44</v>
      </c>
    </row>
    <row r="3" spans="1:6" x14ac:dyDescent="0.35">
      <c r="A3" t="s">
        <v>1005</v>
      </c>
      <c r="B3" t="s">
        <v>1053</v>
      </c>
      <c r="C3">
        <v>31.95</v>
      </c>
    </row>
    <row r="4" spans="1:6" x14ac:dyDescent="0.35">
      <c r="A4" t="s">
        <v>979</v>
      </c>
      <c r="B4" t="s">
        <v>1054</v>
      </c>
      <c r="C4">
        <v>198.43</v>
      </c>
    </row>
    <row r="5" spans="1:6" x14ac:dyDescent="0.35">
      <c r="A5" t="s">
        <v>1013</v>
      </c>
      <c r="B5" t="s">
        <v>1056</v>
      </c>
      <c r="C5">
        <v>10.89</v>
      </c>
    </row>
    <row r="6" spans="1:6" x14ac:dyDescent="0.35">
      <c r="A6" t="s">
        <v>982</v>
      </c>
      <c r="B6" t="s">
        <v>1056</v>
      </c>
      <c r="C6">
        <v>10.89</v>
      </c>
    </row>
    <row r="7" spans="1:6" x14ac:dyDescent="0.35">
      <c r="C7">
        <v>0</v>
      </c>
      <c r="D7">
        <f>SUM(C2:C6)</f>
        <v>455.59999999999997</v>
      </c>
      <c r="E7">
        <f>SUM(C2:C6)</f>
        <v>455.59999999999997</v>
      </c>
      <c r="F7" t="s">
        <v>965</v>
      </c>
    </row>
    <row r="8" spans="1:6" x14ac:dyDescent="0.35">
      <c r="A8" t="s">
        <v>999</v>
      </c>
      <c r="B8" t="s">
        <v>1045</v>
      </c>
      <c r="C8">
        <v>139.24</v>
      </c>
    </row>
    <row r="9" spans="1:6" x14ac:dyDescent="0.35">
      <c r="C9">
        <v>0</v>
      </c>
      <c r="E9">
        <f>SUM(C2:C8)</f>
        <v>594.83999999999992</v>
      </c>
      <c r="F9" t="s">
        <v>9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F14"/>
  <sheetViews>
    <sheetView workbookViewId="0">
      <selection activeCell="E14" sqref="E14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207</v>
      </c>
      <c r="B2" t="s">
        <v>227</v>
      </c>
      <c r="C2">
        <v>139</v>
      </c>
    </row>
    <row r="3" spans="1:6" x14ac:dyDescent="0.35">
      <c r="A3" t="s">
        <v>207</v>
      </c>
      <c r="B3" t="s">
        <v>227</v>
      </c>
      <c r="C3">
        <v>139</v>
      </c>
    </row>
    <row r="4" spans="1:6" x14ac:dyDescent="0.35">
      <c r="C4">
        <v>0</v>
      </c>
      <c r="D4">
        <f>SUM(C2:C3)</f>
        <v>278</v>
      </c>
      <c r="E4">
        <f>SUM(C2:C3)</f>
        <v>278</v>
      </c>
      <c r="F4" t="s">
        <v>282</v>
      </c>
    </row>
    <row r="5" spans="1:6" x14ac:dyDescent="0.35">
      <c r="A5" t="s">
        <v>283</v>
      </c>
      <c r="B5" t="s">
        <v>227</v>
      </c>
      <c r="C5">
        <v>152</v>
      </c>
    </row>
    <row r="6" spans="1:6" x14ac:dyDescent="0.35">
      <c r="A6" t="s">
        <v>283</v>
      </c>
      <c r="B6" t="s">
        <v>227</v>
      </c>
      <c r="C6">
        <v>36</v>
      </c>
    </row>
    <row r="7" spans="1:6" x14ac:dyDescent="0.35">
      <c r="A7" t="s">
        <v>283</v>
      </c>
      <c r="B7" t="s">
        <v>227</v>
      </c>
      <c r="C7">
        <v>152</v>
      </c>
    </row>
    <row r="8" spans="1:6" x14ac:dyDescent="0.35">
      <c r="A8" t="s">
        <v>379</v>
      </c>
      <c r="B8" t="s">
        <v>227</v>
      </c>
      <c r="C8">
        <v>-34</v>
      </c>
    </row>
    <row r="9" spans="1:6" x14ac:dyDescent="0.35">
      <c r="A9" t="s">
        <v>657</v>
      </c>
      <c r="B9" t="s">
        <v>227</v>
      </c>
      <c r="C9">
        <v>32</v>
      </c>
    </row>
    <row r="10" spans="1:6" x14ac:dyDescent="0.35">
      <c r="A10" t="s">
        <v>657</v>
      </c>
      <c r="B10" t="s">
        <v>227</v>
      </c>
      <c r="C10">
        <v>32</v>
      </c>
    </row>
    <row r="11" spans="1:6" x14ac:dyDescent="0.35">
      <c r="A11" t="s">
        <v>970</v>
      </c>
      <c r="B11" t="s">
        <v>227</v>
      </c>
      <c r="C11">
        <v>17.3</v>
      </c>
    </row>
    <row r="12" spans="1:6" x14ac:dyDescent="0.35">
      <c r="A12" t="s">
        <v>970</v>
      </c>
      <c r="B12" t="s">
        <v>227</v>
      </c>
      <c r="C12">
        <v>17.3</v>
      </c>
    </row>
    <row r="13" spans="1:6" x14ac:dyDescent="0.35">
      <c r="A13" t="s">
        <v>993</v>
      </c>
      <c r="B13" t="s">
        <v>227</v>
      </c>
      <c r="C13">
        <v>24.65</v>
      </c>
    </row>
    <row r="14" spans="1:6" x14ac:dyDescent="0.35">
      <c r="C14">
        <v>0</v>
      </c>
      <c r="E14">
        <f>SUM(C2:C13)</f>
        <v>707.24999999999989</v>
      </c>
      <c r="F14" t="s">
        <v>9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F30"/>
  <sheetViews>
    <sheetView workbookViewId="0"/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90</v>
      </c>
      <c r="B2" t="s">
        <v>273</v>
      </c>
      <c r="C2">
        <v>133.25</v>
      </c>
    </row>
    <row r="3" spans="1:6" x14ac:dyDescent="0.35">
      <c r="A3" t="s">
        <v>220</v>
      </c>
      <c r="B3" t="s">
        <v>224</v>
      </c>
      <c r="C3">
        <v>4.05</v>
      </c>
    </row>
    <row r="4" spans="1:6" x14ac:dyDescent="0.35">
      <c r="C4">
        <v>0</v>
      </c>
      <c r="D4">
        <f>SUM(C2:C3)</f>
        <v>137.30000000000001</v>
      </c>
      <c r="E4">
        <f>SUM(C2:C3)</f>
        <v>137.30000000000001</v>
      </c>
      <c r="F4" t="s">
        <v>200</v>
      </c>
    </row>
    <row r="5" spans="1:6" x14ac:dyDescent="0.35">
      <c r="A5" t="s">
        <v>201</v>
      </c>
      <c r="B5" t="s">
        <v>225</v>
      </c>
      <c r="C5">
        <v>0.36</v>
      </c>
    </row>
    <row r="6" spans="1:6" x14ac:dyDescent="0.35">
      <c r="A6" t="s">
        <v>201</v>
      </c>
      <c r="B6" t="s">
        <v>225</v>
      </c>
      <c r="C6">
        <v>0.49</v>
      </c>
    </row>
    <row r="7" spans="1:6" x14ac:dyDescent="0.35">
      <c r="A7" t="s">
        <v>288</v>
      </c>
      <c r="B7" t="s">
        <v>224</v>
      </c>
      <c r="C7">
        <v>4.05</v>
      </c>
    </row>
    <row r="8" spans="1:6" x14ac:dyDescent="0.35">
      <c r="C8">
        <v>0</v>
      </c>
      <c r="D8">
        <f>SUM(C5:C7)</f>
        <v>4.8999999999999995</v>
      </c>
      <c r="E8">
        <f>SUM(C2:C7)</f>
        <v>142.20000000000005</v>
      </c>
      <c r="F8" t="s">
        <v>282</v>
      </c>
    </row>
    <row r="9" spans="1:6" x14ac:dyDescent="0.35">
      <c r="A9" t="s">
        <v>369</v>
      </c>
      <c r="B9" t="s">
        <v>224</v>
      </c>
      <c r="C9">
        <v>7.35</v>
      </c>
    </row>
    <row r="10" spans="1:6" x14ac:dyDescent="0.35">
      <c r="A10" t="s">
        <v>352</v>
      </c>
      <c r="B10" t="s">
        <v>377</v>
      </c>
      <c r="C10">
        <v>79.52</v>
      </c>
    </row>
    <row r="11" spans="1:6" x14ac:dyDescent="0.35">
      <c r="A11" t="s">
        <v>520</v>
      </c>
      <c r="B11" t="s">
        <v>224</v>
      </c>
      <c r="C11">
        <v>7.35</v>
      </c>
    </row>
    <row r="12" spans="1:6" x14ac:dyDescent="0.35">
      <c r="C12">
        <v>0</v>
      </c>
      <c r="D12">
        <f>SUM(C9:C11)</f>
        <v>94.219999999999985</v>
      </c>
      <c r="E12">
        <f>SUM(C2:C11)</f>
        <v>236.42000000000004</v>
      </c>
      <c r="F12" t="s">
        <v>503</v>
      </c>
    </row>
    <row r="13" spans="1:6" x14ac:dyDescent="0.35">
      <c r="A13" t="s">
        <v>653</v>
      </c>
      <c r="B13" t="s">
        <v>224</v>
      </c>
      <c r="C13">
        <v>7.35</v>
      </c>
    </row>
    <row r="14" spans="1:6" x14ac:dyDescent="0.35">
      <c r="A14" t="s">
        <v>646</v>
      </c>
      <c r="B14" t="s">
        <v>224</v>
      </c>
      <c r="C14">
        <v>105.55</v>
      </c>
    </row>
    <row r="15" spans="1:6" x14ac:dyDescent="0.35">
      <c r="A15" t="s">
        <v>732</v>
      </c>
      <c r="B15" t="s">
        <v>225</v>
      </c>
      <c r="C15">
        <v>0.14000000000000001</v>
      </c>
    </row>
    <row r="16" spans="1:6" x14ac:dyDescent="0.35">
      <c r="A16" t="s">
        <v>732</v>
      </c>
      <c r="B16" t="s">
        <v>225</v>
      </c>
      <c r="C16">
        <v>0.14000000000000001</v>
      </c>
    </row>
    <row r="17" spans="1:6" x14ac:dyDescent="0.35">
      <c r="A17" t="s">
        <v>732</v>
      </c>
      <c r="B17" t="s">
        <v>225</v>
      </c>
      <c r="C17">
        <v>4.0999999999999996</v>
      </c>
    </row>
    <row r="18" spans="1:6" x14ac:dyDescent="0.35">
      <c r="C18">
        <v>0</v>
      </c>
      <c r="D18">
        <f>SUM(C13:C17)</f>
        <v>117.27999999999999</v>
      </c>
      <c r="E18">
        <f>SUM(C2:C17)</f>
        <v>353.70000000000005</v>
      </c>
      <c r="F18" t="s">
        <v>699</v>
      </c>
    </row>
    <row r="19" spans="1:6" x14ac:dyDescent="0.35">
      <c r="A19" t="s">
        <v>734</v>
      </c>
      <c r="B19" t="s">
        <v>225</v>
      </c>
      <c r="C19">
        <v>4.5599999999999996</v>
      </c>
    </row>
    <row r="20" spans="1:6" x14ac:dyDescent="0.35">
      <c r="A20" t="s">
        <v>828</v>
      </c>
      <c r="B20" t="s">
        <v>224</v>
      </c>
      <c r="C20">
        <v>7.35</v>
      </c>
    </row>
    <row r="21" spans="1:6" x14ac:dyDescent="0.35">
      <c r="A21" t="s">
        <v>830</v>
      </c>
      <c r="B21" t="s">
        <v>224</v>
      </c>
      <c r="C21">
        <v>7.35</v>
      </c>
    </row>
    <row r="22" spans="1:6" x14ac:dyDescent="0.35">
      <c r="C22">
        <v>0</v>
      </c>
      <c r="D22">
        <f>SUM(C19:C21)</f>
        <v>19.259999999999998</v>
      </c>
      <c r="E22">
        <f>SUM(C2:C21)</f>
        <v>372.96000000000009</v>
      </c>
      <c r="F22" t="s">
        <v>885</v>
      </c>
    </row>
    <row r="23" spans="1:6" x14ac:dyDescent="0.35">
      <c r="A23" t="s">
        <v>919</v>
      </c>
      <c r="B23" t="s">
        <v>225</v>
      </c>
      <c r="C23">
        <v>2.84</v>
      </c>
    </row>
    <row r="24" spans="1:6" x14ac:dyDescent="0.35">
      <c r="A24" t="s">
        <v>919</v>
      </c>
      <c r="B24" t="s">
        <v>225</v>
      </c>
      <c r="C24">
        <v>5.91</v>
      </c>
    </row>
    <row r="25" spans="1:6" x14ac:dyDescent="0.35">
      <c r="A25" t="s">
        <v>977</v>
      </c>
      <c r="B25" t="s">
        <v>225</v>
      </c>
      <c r="C25">
        <v>1.1499999999999999</v>
      </c>
    </row>
    <row r="26" spans="1:6" x14ac:dyDescent="0.35">
      <c r="A26" t="s">
        <v>990</v>
      </c>
      <c r="B26" t="s">
        <v>225</v>
      </c>
      <c r="C26">
        <v>0.36</v>
      </c>
    </row>
    <row r="27" spans="1:6" x14ac:dyDescent="0.35">
      <c r="A27" t="s">
        <v>984</v>
      </c>
      <c r="B27" t="s">
        <v>1016</v>
      </c>
      <c r="C27">
        <v>0.85</v>
      </c>
    </row>
    <row r="28" spans="1:6" x14ac:dyDescent="0.35">
      <c r="C28">
        <v>0</v>
      </c>
      <c r="D28">
        <f>SUM(C23:C27)</f>
        <v>11.11</v>
      </c>
      <c r="E28">
        <f>SUM(C2:C27)</f>
        <v>384.07000000000011</v>
      </c>
      <c r="F28" t="s">
        <v>965</v>
      </c>
    </row>
    <row r="29" spans="1:6" x14ac:dyDescent="0.35">
      <c r="A29" t="s">
        <v>1060</v>
      </c>
      <c r="B29" t="s">
        <v>225</v>
      </c>
      <c r="C29">
        <v>2.99</v>
      </c>
    </row>
    <row r="30" spans="1:6" x14ac:dyDescent="0.35">
      <c r="C30">
        <v>0</v>
      </c>
      <c r="E30">
        <f>SUM(C2:C29)</f>
        <v>387.06000000000012</v>
      </c>
      <c r="F30" t="s">
        <v>9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F22"/>
  <sheetViews>
    <sheetView topLeftCell="A10" workbookViewId="0">
      <selection activeCell="E22" sqref="E22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208</v>
      </c>
      <c r="B2" t="s">
        <v>239</v>
      </c>
      <c r="C2">
        <v>895</v>
      </c>
    </row>
    <row r="3" spans="1:6" x14ac:dyDescent="0.35">
      <c r="A3" t="s">
        <v>194</v>
      </c>
      <c r="B3" t="s">
        <v>241</v>
      </c>
      <c r="C3">
        <v>285</v>
      </c>
    </row>
    <row r="4" spans="1:6" x14ac:dyDescent="0.35">
      <c r="A4" t="s">
        <v>194</v>
      </c>
      <c r="B4" t="s">
        <v>242</v>
      </c>
      <c r="C4">
        <v>849</v>
      </c>
    </row>
    <row r="5" spans="1:6" x14ac:dyDescent="0.35">
      <c r="A5" t="s">
        <v>194</v>
      </c>
      <c r="B5" t="s">
        <v>243</v>
      </c>
      <c r="C5">
        <v>849</v>
      </c>
    </row>
    <row r="6" spans="1:6" x14ac:dyDescent="0.35">
      <c r="A6" t="s">
        <v>194</v>
      </c>
      <c r="B6" t="s">
        <v>244</v>
      </c>
      <c r="C6">
        <v>895</v>
      </c>
    </row>
    <row r="7" spans="1:6" x14ac:dyDescent="0.35">
      <c r="C7">
        <v>0</v>
      </c>
      <c r="D7">
        <f>SUM(C2:C6)</f>
        <v>3773</v>
      </c>
      <c r="E7">
        <f>SUM(C2:C6)</f>
        <v>3773</v>
      </c>
      <c r="F7" t="s">
        <v>200</v>
      </c>
    </row>
    <row r="8" spans="1:6" x14ac:dyDescent="0.35">
      <c r="A8" t="s">
        <v>246</v>
      </c>
      <c r="B8" t="s">
        <v>247</v>
      </c>
      <c r="C8">
        <v>359.02</v>
      </c>
    </row>
    <row r="9" spans="1:6" x14ac:dyDescent="0.35">
      <c r="A9" t="s">
        <v>291</v>
      </c>
      <c r="B9" t="s">
        <v>323</v>
      </c>
      <c r="C9">
        <v>216.82</v>
      </c>
    </row>
    <row r="10" spans="1:6" x14ac:dyDescent="0.35">
      <c r="A10" t="s">
        <v>321</v>
      </c>
      <c r="B10" t="s">
        <v>324</v>
      </c>
      <c r="C10">
        <v>145.77000000000001</v>
      </c>
    </row>
    <row r="11" spans="1:6" x14ac:dyDescent="0.35">
      <c r="C11">
        <v>0</v>
      </c>
      <c r="D11">
        <f>SUM(C8:C10)</f>
        <v>721.6099999999999</v>
      </c>
      <c r="E11">
        <f>SUM(C2:C10)</f>
        <v>4494.6100000000006</v>
      </c>
      <c r="F11" t="s">
        <v>282</v>
      </c>
    </row>
    <row r="12" spans="1:6" x14ac:dyDescent="0.35">
      <c r="A12" t="s">
        <v>325</v>
      </c>
      <c r="B12" t="s">
        <v>326</v>
      </c>
      <c r="C12">
        <v>40.770000000000003</v>
      </c>
    </row>
    <row r="13" spans="1:6" x14ac:dyDescent="0.35">
      <c r="A13" t="s">
        <v>387</v>
      </c>
      <c r="B13" t="s">
        <v>388</v>
      </c>
      <c r="C13">
        <v>231.11</v>
      </c>
    </row>
    <row r="14" spans="1:6" x14ac:dyDescent="0.35">
      <c r="C14">
        <v>0</v>
      </c>
      <c r="D14">
        <f>SUM(C12:C13)</f>
        <v>271.88</v>
      </c>
      <c r="E14">
        <f>SUM(C2:C13)</f>
        <v>4766.4900000000007</v>
      </c>
      <c r="F14" t="s">
        <v>420</v>
      </c>
    </row>
    <row r="15" spans="1:6" x14ac:dyDescent="0.35">
      <c r="A15" t="s">
        <v>429</v>
      </c>
      <c r="B15" t="s">
        <v>453</v>
      </c>
      <c r="C15">
        <v>594.32000000000005</v>
      </c>
    </row>
    <row r="16" spans="1:6" x14ac:dyDescent="0.35">
      <c r="A16" t="s">
        <v>429</v>
      </c>
      <c r="B16" t="s">
        <v>454</v>
      </c>
      <c r="C16">
        <v>84</v>
      </c>
    </row>
    <row r="17" spans="1:6" x14ac:dyDescent="0.35">
      <c r="A17" t="s">
        <v>525</v>
      </c>
      <c r="B17" t="s">
        <v>551</v>
      </c>
      <c r="C17">
        <v>193.87</v>
      </c>
    </row>
    <row r="18" spans="1:6" x14ac:dyDescent="0.35">
      <c r="A18" t="s">
        <v>530</v>
      </c>
      <c r="B18" t="s">
        <v>552</v>
      </c>
      <c r="C18">
        <v>25</v>
      </c>
    </row>
    <row r="19" spans="1:6" x14ac:dyDescent="0.35">
      <c r="A19" t="s">
        <v>515</v>
      </c>
      <c r="B19" t="s">
        <v>553</v>
      </c>
      <c r="C19">
        <v>25</v>
      </c>
    </row>
    <row r="20" spans="1:6" x14ac:dyDescent="0.35">
      <c r="A20" t="s">
        <v>535</v>
      </c>
      <c r="B20" t="s">
        <v>554</v>
      </c>
      <c r="C20">
        <v>25</v>
      </c>
    </row>
    <row r="21" spans="1:6" x14ac:dyDescent="0.35">
      <c r="A21" t="s">
        <v>538</v>
      </c>
      <c r="B21" t="s">
        <v>551</v>
      </c>
      <c r="C21">
        <v>-126.58</v>
      </c>
    </row>
    <row r="22" spans="1:6" x14ac:dyDescent="0.35">
      <c r="C22">
        <v>0</v>
      </c>
      <c r="E22">
        <f>SUM(C2:C21)</f>
        <v>5587.1</v>
      </c>
      <c r="F22" t="s">
        <v>9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F6"/>
  <sheetViews>
    <sheetView workbookViewId="0">
      <selection activeCell="C5" sqref="C5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289</v>
      </c>
      <c r="B2" t="s">
        <v>307</v>
      </c>
      <c r="C2">
        <v>10</v>
      </c>
    </row>
    <row r="3" spans="1:6" x14ac:dyDescent="0.35">
      <c r="A3" t="s">
        <v>439</v>
      </c>
      <c r="B3" t="s">
        <v>307</v>
      </c>
      <c r="C3">
        <v>10</v>
      </c>
    </row>
    <row r="4" spans="1:6" x14ac:dyDescent="0.35">
      <c r="C4">
        <v>0</v>
      </c>
      <c r="D4">
        <f>SUM(C2:C3)</f>
        <v>20</v>
      </c>
      <c r="E4">
        <f>SUM(C2:C3)</f>
        <v>20</v>
      </c>
      <c r="F4" t="s">
        <v>503</v>
      </c>
    </row>
    <row r="5" spans="1:6" x14ac:dyDescent="0.35">
      <c r="A5" t="s">
        <v>662</v>
      </c>
      <c r="B5" t="s">
        <v>663</v>
      </c>
      <c r="C5">
        <v>2389.54</v>
      </c>
    </row>
    <row r="6" spans="1:6" x14ac:dyDescent="0.35">
      <c r="C6">
        <v>0</v>
      </c>
      <c r="E6">
        <f>SUM(C2:C5)</f>
        <v>2409.54</v>
      </c>
      <c r="F6" t="s">
        <v>9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F3"/>
  <sheetViews>
    <sheetView workbookViewId="0">
      <selection activeCell="E3" sqref="E3"/>
    </sheetView>
  </sheetViews>
  <sheetFormatPr defaultRowHeight="14.5" x14ac:dyDescent="0.35"/>
  <sheetData>
    <row r="1" spans="1:6" x14ac:dyDescent="0.35">
      <c r="A1" t="s">
        <v>1</v>
      </c>
      <c r="B1" t="s">
        <v>2</v>
      </c>
      <c r="C1" t="s">
        <v>3</v>
      </c>
    </row>
    <row r="2" spans="1:6" x14ac:dyDescent="0.35">
      <c r="A2" t="s">
        <v>631</v>
      </c>
      <c r="B2" t="s">
        <v>648</v>
      </c>
      <c r="C2">
        <v>100.87</v>
      </c>
    </row>
    <row r="3" spans="1:6" x14ac:dyDescent="0.35">
      <c r="C3">
        <v>0</v>
      </c>
      <c r="E3">
        <f>SUM(C2:C2)</f>
        <v>100.87</v>
      </c>
      <c r="F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CreationInfo</vt:lpstr>
      <vt:lpstr>Ignore</vt:lpstr>
      <vt:lpstr>AllExpenses</vt:lpstr>
      <vt:lpstr>BusTax-TAX</vt:lpstr>
      <vt:lpstr>Medical-MayNotBus</vt:lpstr>
      <vt:lpstr>Grocery</vt:lpstr>
      <vt:lpstr>AwaisMSPAndOutsideChicagoOffice</vt:lpstr>
      <vt:lpstr>Entertainment</vt:lpstr>
      <vt:lpstr>BusTax-Food</vt:lpstr>
      <vt:lpstr>Awais-WorkMayNotBus</vt:lpstr>
      <vt:lpstr>Awais-MinVit</vt:lpstr>
      <vt:lpstr>EntertainmentMayNotBus</vt:lpstr>
      <vt:lpstr>KidsShopping</vt:lpstr>
      <vt:lpstr>MedicalPaidThruHSA</vt:lpstr>
      <vt:lpstr>SalihaPersonal</vt:lpstr>
      <vt:lpstr>RegMonthly</vt:lpstr>
      <vt:lpstr>BusTax-Bills</vt:lpstr>
      <vt:lpstr>Medical</vt:lpstr>
      <vt:lpstr>BusTax-TravelGasLodging</vt:lpstr>
      <vt:lpstr>Bills</vt:lpstr>
      <vt:lpstr>NotCategorizedExpenses</vt:lpstr>
      <vt:lpstr>Gas</vt:lpstr>
      <vt:lpstr>InvstHouse</vt:lpstr>
      <vt:lpstr>Mortgage</vt:lpstr>
      <vt:lpstr>AwaisPersonal</vt:lpstr>
      <vt:lpstr>MajorExpenses</vt:lpstr>
      <vt:lpstr>AwaisChicagoOffice</vt:lpstr>
      <vt:lpstr>Saliha-MonthlyPayments</vt:lpstr>
      <vt:lpstr>BusTax-OfficeExpLicTraining</vt:lpstr>
      <vt:lpstr>RegMonthly-MayNotBus</vt:lpstr>
      <vt:lpstr>Donation</vt:lpstr>
      <vt:lpstr>KidsSchool</vt:lpstr>
      <vt:lpstr>Shopping</vt:lpstr>
      <vt:lpstr>KidsDayCare</vt:lpstr>
      <vt:lpstr>RegMonthly-BusCommon</vt:lpstr>
      <vt:lpstr>MajorExpenses-MayNotBus</vt:lpstr>
      <vt:lpstr>SalihaPersonal-MayNotBus</vt:lpstr>
      <vt:lpstr>AwaisPersonal-MayNotBus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Sultan, Awais</cp:lastModifiedBy>
  <dcterms:created xsi:type="dcterms:W3CDTF">2020-02-29T11:05:47Z</dcterms:created>
  <dcterms:modified xsi:type="dcterms:W3CDTF">2020-02-29T11:54:13Z</dcterms:modified>
</cp:coreProperties>
</file>