
<file path=[Content_Types].xml><?xml version="1.0" encoding="utf-8"?>
<Types xmlns="http://schemas.openxmlformats.org/package/2006/content-types">
  <Default Extension="xml" ContentType="application/xml"/>
  <Default Extension="rels" ContentType="application/vnd.openxmlformats-package.relationships+xml"/>
  <Default Extension="bin" ContentType="application/vnd.openxmlformats-officedocument.spreadsheetml.printerSettings"/>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8209"/>
  <workbookPr/>
  <mc:AlternateContent xmlns:mc="http://schemas.openxmlformats.org/markup-compatibility/2006">
    <mc:Choice Requires="x15">
      <x15ac:absPath xmlns:x15ac="http://schemas.microsoft.com/office/spreadsheetml/2010/11/ac" url="/Users/awaishome/Documents/Personal/Budget/"/>
    </mc:Choice>
  </mc:AlternateContent>
  <bookViews>
    <workbookView xWindow="0" yWindow="460" windowWidth="28800" windowHeight="17460" activeTab="1"/>
  </bookViews>
  <sheets>
    <sheet name="111416" sheetId="1" r:id="rId1"/>
    <sheet name="081616" sheetId="2" r:id="rId2"/>
  </sheets>
  <calcPr calcId="150001" concurrentCalc="0"/>
  <extLst>
    <ext xmlns:x14="http://schemas.microsoft.com/office/spreadsheetml/2009/9/main" uri="{79F54976-1DA5-4618-B147-4CDE4B953A38}">
      <x14:workbookPr defaultImageDpi="32767"/>
    </ext>
    <ext xmlns:mx="http://schemas.microsoft.com/office/mac/excel/2008/main" uri="{7523E5D3-25F3-A5E0-1632-64F254C22452}">
      <mx:ArchID Flags="2"/>
    </ext>
    <ext uri="{140A7094-0E35-4892-8432-C4D2E57EDEB5}">
      <x15:workbookPr chartTrackingRefBase="1"/>
    </ext>
  </extLst>
</workbook>
</file>

<file path=xl/calcChain.xml><?xml version="1.0" encoding="utf-8"?>
<calcChain xmlns="http://schemas.openxmlformats.org/spreadsheetml/2006/main">
  <c r="B43" i="2" l="1"/>
  <c r="B45" i="2"/>
  <c r="B46" i="2"/>
  <c r="B12" i="2"/>
  <c r="B18" i="2"/>
  <c r="B17" i="2"/>
  <c r="B11" i="2"/>
  <c r="B25" i="2"/>
  <c r="B32" i="2"/>
  <c r="B15" i="2"/>
  <c r="B13" i="2"/>
  <c r="B38" i="2"/>
  <c r="B39" i="2"/>
  <c r="B36" i="2"/>
  <c r="B31" i="2"/>
  <c r="B29" i="2"/>
  <c r="B24" i="2"/>
  <c r="B22" i="2"/>
  <c r="B4" i="2"/>
  <c r="F63" i="1"/>
  <c r="E63" i="1"/>
  <c r="D63" i="1"/>
  <c r="F62" i="1"/>
  <c r="E62" i="1"/>
  <c r="D62" i="1"/>
  <c r="B77" i="1"/>
  <c r="B75" i="1"/>
  <c r="F10" i="1"/>
  <c r="E10" i="1"/>
  <c r="F6" i="1"/>
  <c r="F7" i="1"/>
  <c r="F14" i="1"/>
  <c r="E6" i="1"/>
  <c r="E7" i="1"/>
  <c r="E14" i="1"/>
  <c r="B74" i="1"/>
  <c r="D6" i="1"/>
  <c r="D7" i="1"/>
  <c r="D14" i="1"/>
  <c r="F8" i="1"/>
  <c r="E8" i="1"/>
  <c r="D8" i="1"/>
  <c r="B24" i="1"/>
  <c r="E15" i="1"/>
  <c r="F15" i="1"/>
  <c r="B25" i="1"/>
  <c r="B26" i="1"/>
  <c r="B28" i="1"/>
  <c r="F47" i="1"/>
  <c r="F37" i="1"/>
  <c r="F31" i="1"/>
  <c r="F52" i="1"/>
  <c r="F54" i="1"/>
  <c r="F55" i="1"/>
  <c r="F56" i="1"/>
  <c r="F42" i="1"/>
  <c r="E52" i="1"/>
  <c r="E47" i="1"/>
  <c r="E37" i="1"/>
  <c r="E42" i="1"/>
  <c r="E31" i="1"/>
  <c r="D52" i="1"/>
  <c r="D37" i="1"/>
  <c r="D47" i="1"/>
  <c r="D42" i="1"/>
  <c r="D31" i="1"/>
  <c r="F39" i="1"/>
  <c r="F40" i="1"/>
  <c r="E39" i="1"/>
  <c r="E40" i="1"/>
  <c r="E41" i="1"/>
  <c r="E49" i="1"/>
  <c r="E50" i="1"/>
  <c r="E51" i="1"/>
  <c r="E44" i="1"/>
  <c r="E45" i="1"/>
  <c r="E46" i="1"/>
  <c r="F44" i="1"/>
  <c r="F45" i="1"/>
  <c r="F46" i="1"/>
  <c r="F49" i="1"/>
  <c r="F50" i="1"/>
  <c r="F51" i="1"/>
  <c r="E54" i="1"/>
  <c r="E32" i="1"/>
  <c r="F32" i="1"/>
  <c r="D54" i="1"/>
  <c r="D55" i="1"/>
  <c r="D56" i="1"/>
  <c r="F53" i="1"/>
  <c r="E53" i="1"/>
  <c r="D44" i="1"/>
  <c r="D45" i="1"/>
  <c r="D46" i="1"/>
  <c r="F43" i="1"/>
  <c r="E43" i="1"/>
  <c r="D49" i="1"/>
  <c r="D50" i="1"/>
  <c r="D51" i="1"/>
  <c r="E48" i="1"/>
  <c r="F48" i="1"/>
  <c r="F38" i="1"/>
  <c r="E38" i="1"/>
  <c r="D39" i="1"/>
  <c r="D40" i="1"/>
  <c r="D41" i="1"/>
  <c r="D60" i="1"/>
  <c r="D66" i="1"/>
  <c r="D61" i="1"/>
  <c r="E66" i="1"/>
  <c r="E60" i="1"/>
  <c r="E61" i="1"/>
  <c r="F60" i="1"/>
  <c r="F61" i="1"/>
  <c r="F66" i="1"/>
  <c r="E55" i="1"/>
  <c r="E56" i="1"/>
  <c r="F41" i="1"/>
  <c r="E67" i="1"/>
  <c r="E68" i="1"/>
  <c r="E70" i="1"/>
  <c r="E71" i="1"/>
  <c r="D67" i="1"/>
  <c r="D68" i="1"/>
  <c r="D70" i="1"/>
  <c r="D71" i="1"/>
  <c r="F68" i="1"/>
  <c r="F70" i="1"/>
  <c r="F71" i="1"/>
  <c r="F67" i="1"/>
</calcChain>
</file>

<file path=xl/sharedStrings.xml><?xml version="1.0" encoding="utf-8"?>
<sst xmlns="http://schemas.openxmlformats.org/spreadsheetml/2006/main" count="95" uniqueCount="81">
  <si>
    <t>Monthly Tax Payment</t>
  </si>
  <si>
    <t>For yearly property tax of</t>
  </si>
  <si>
    <t>Home Insurance/month</t>
  </si>
  <si>
    <t>PMI/month</t>
  </si>
  <si>
    <t>P &amp; I</t>
  </si>
  <si>
    <t>Total Monthly Payment to Cenlar</t>
  </si>
  <si>
    <t>Diff from closing estimation</t>
  </si>
  <si>
    <t xml:space="preserve">Start up escrow from closing </t>
  </si>
  <si>
    <t>First Installment Payment Month</t>
  </si>
  <si>
    <t>February</t>
  </si>
  <si>
    <t>2nd Installment Payment Month</t>
  </si>
  <si>
    <t>July</t>
  </si>
  <si>
    <t>Months</t>
  </si>
  <si>
    <t>No of Months after July</t>
  </si>
  <si>
    <t>August</t>
  </si>
  <si>
    <t>Diff in cushion from closing estimation</t>
  </si>
  <si>
    <t>September</t>
  </si>
  <si>
    <t>October</t>
  </si>
  <si>
    <t>November</t>
  </si>
  <si>
    <t>Diff in yearly tax amount</t>
  </si>
  <si>
    <t>Property @ value 434,450
After Certificate of Error</t>
  </si>
  <si>
    <t>Property @ value 525,420
At 2nd Installment Payment for 2015</t>
  </si>
  <si>
    <t>Property @ value 389000
At Closing</t>
  </si>
  <si>
    <t>Closing happened in month</t>
  </si>
  <si>
    <t>First cenlar payment occurred</t>
  </si>
  <si>
    <t>March</t>
  </si>
  <si>
    <t>Total without PMI/Month</t>
  </si>
  <si>
    <t>Total/Month</t>
  </si>
  <si>
    <t>Collected total without PMI till July
using Closing Estimate. Including March till July is 5 months</t>
  </si>
  <si>
    <t>Tax taken in July 16</t>
  </si>
  <si>
    <t>Adding above and start up escrow from closing is total amount escrowed till July</t>
  </si>
  <si>
    <t>Diff in tax taken - amount escrowed till July is start up escrow after July</t>
  </si>
  <si>
    <t>Escrow Projected Amount after PMI deduction of 122.85 and without cushion</t>
  </si>
  <si>
    <t>Diff in projected escrow amount without cushion from closing estimation</t>
  </si>
  <si>
    <t>Adding cushion to escrow projected to get total projected escrow</t>
  </si>
  <si>
    <t>From total escrow projected removing actual escrowed amount which is projected amount after PMI deduction and without cushion, this will give shortage without including startup escrow balance after July</t>
  </si>
  <si>
    <t>Including startup escrow from july in above to come up with total shortage amount</t>
  </si>
  <si>
    <t>From here the monthly Cenlar payment was adjusted to 2,844.64</t>
  </si>
  <si>
    <t>Adding monthly PMI payment to above which was not taken in March.</t>
  </si>
  <si>
    <t>Escrow cushion of two months. Not including PMI monthly amount as its deduction happens monthly.</t>
  </si>
  <si>
    <t>Shortage/Month if adjustment 
happens in October. Considering shortage is to be recovered in 12 months after October.</t>
  </si>
  <si>
    <t>Shortage/Month if adjustment 
happens in October. Considering shortage is to be recovered in 24 months after October.</t>
  </si>
  <si>
    <t>Tax refund after certificate of error</t>
  </si>
  <si>
    <t>Removing refund from shortage 
calculated at October</t>
  </si>
  <si>
    <t>Shortage/Month if adjustment 
happens in October and considering tax refund. Considering shortage is to be recovered in 12 months after October.</t>
  </si>
  <si>
    <t>Diff from monthly cenlar payment estimated at closing</t>
  </si>
  <si>
    <t>Requested shortage to be collected in 24 months instead of 12 months in November. So they applied this to Dec 16 payments. However they already collected in November according to 12 months. The amount collected they applied all to shortage. That amount was</t>
  </si>
  <si>
    <t>11/14/16. Extra payment taken by Cenlar to be considered in budget</t>
  </si>
  <si>
    <t>Diff between cenlar monthly payment set using tax recently paid vs cenlar monthly payment after applying certificate of error. As they already collected in Nov acccording to recent tax payment</t>
  </si>
  <si>
    <t xml:space="preserve">So when you get tax refund remove the above two amounts from refund and pay rest to cenlar which will be </t>
  </si>
  <si>
    <t>Monthly Payment after adjustment and including shortage and tax refund</t>
  </si>
  <si>
    <t>Shortage/Month if adjustment 
happens in October and considering tax refund. Considering shortage is to be recovered in 24 months after October.</t>
  </si>
  <si>
    <t>Monthly cenlar payments including shortage if shortage to be convered in 12 months</t>
  </si>
  <si>
    <t>Monthly cenlar payments including shortage if shortage to be convered in 24 months</t>
  </si>
  <si>
    <t>HO Insu Paid on 01/09/17</t>
  </si>
  <si>
    <t>Tax Paid on 02/10/17</t>
  </si>
  <si>
    <t>Tax Paid on 07/12/17</t>
  </si>
  <si>
    <t>Total Tax</t>
  </si>
  <si>
    <t>Escrow Deficit Till 07/16 b4 08/01/16</t>
  </si>
  <si>
    <t>Installment taken using closing tax estimation</t>
  </si>
  <si>
    <t>Installment should have taking using closing tax estimation for  525,420 property value</t>
  </si>
  <si>
    <t>Diff</t>
  </si>
  <si>
    <t>This Diff was kept till Oct for months =</t>
  </si>
  <si>
    <t>Total Diff</t>
  </si>
  <si>
    <t>Escrow Deficit Till 10/16 b4 11/01/16</t>
  </si>
  <si>
    <t>Installment taken on 11/01/16 covering deficit and escrow cushion in 12 months</t>
  </si>
  <si>
    <t>Escrow cushion required using taxes for 525,420 property value</t>
  </si>
  <si>
    <t>Escrow Deficit Till 11/16 b4 12/01/16</t>
  </si>
  <si>
    <t>Escrow Deficit Till 07/17 b4 08/01/17</t>
  </si>
  <si>
    <t>Loosing HO Insurance per month till 07/16 b4 08/01/16 for months</t>
  </si>
  <si>
    <t>Start of Escrow Collection</t>
  </si>
  <si>
    <t>Total loss of Home Owners Insurance till 07/16 b4 08/01/16 as escrow balance was in deficit</t>
  </si>
  <si>
    <t>HO insurance per month</t>
  </si>
  <si>
    <t>Tax paid in year 17</t>
  </si>
  <si>
    <t>Projected tax for 17</t>
  </si>
  <si>
    <t>Diff between Actual vs Projected</t>
  </si>
  <si>
    <t>Starting Escrow Diff</t>
  </si>
  <si>
    <t>Extra project tax escrowed versus actual for months</t>
  </si>
  <si>
    <t>Extra tax collected till 07/16 b4 08/01/17</t>
  </si>
  <si>
    <t>Installment taken on 12/01/16 covering deficit and escrow cushion in 24 months and it is continuing like that today</t>
  </si>
  <si>
    <t>This Diff was kept till Nov/18 b4 12/01/18 for months =</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</si>
</sst>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u/>
      <sz val="11"/>
      <color theme="10"/>
      <name val="Calibri"/>
      <family val="2"/>
      <scheme val="minor"/>
    </font>
    <font>
      <u/>
      <sz val="11"/>
      <color theme="11"/>
      <name val="Calibri"/>
      <family val="2"/>
      <scheme val="minor"/>
    </font>
    <font>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0" fontId="1" fillId="0" borderId="0" applyNumberFormat="0" applyFill="0" applyBorder="0" applyAlignment="0" applyProtection="0"/>
    <xf numFmtId="0" fontId="2" fillId="0" borderId="0" applyNumberFormat="0" applyFill="0" applyBorder="0" applyAlignment="0" applyProtection="0"/>
  </cellStyleXfs>
  <cellXfs count="9">
    <xf numFmtId="0" fontId="0" fillId="0" borderId="0" xfId="0"/>
    <xf numFmtId="0" fontId="0" fillId="0" borderId="0" xfId="0" applyAlignment="1">
      <alignment wrapText="1"/>
    </xf>
    <xf numFmtId="2" fontId="0" fillId="0" borderId="0" xfId="0" applyNumberFormat="1"/>
    <xf numFmtId="0" fontId="0" fillId="2" borderId="0" xfId="0" applyFill="1"/>
    <xf numFmtId="2" fontId="0" fillId="2" borderId="0" xfId="0" applyNumberFormat="1" applyFill="1"/>
    <xf numFmtId="0" fontId="0" fillId="2" borderId="0" xfId="0" applyFill="1" applyAlignment="1">
      <alignment wrapText="1"/>
    </xf>
    <xf numFmtId="0" fontId="0" fillId="0" borderId="0" xfId="0" applyAlignment="1">
      <alignment horizontal="center"/>
    </xf>
    <xf numFmtId="0" fontId="3" fillId="0" borderId="0" xfId="0" applyFont="1"/>
    <xf numFmtId="16" fontId="0" fillId="0" borderId="0" xfId="0" applyNumberFormat="1"/>
  </cellXfs>
  <cellStyles count="3">
    <cellStyle name="Followed Hyperlink" xfId="2" builtinId="9" hidden="1"/>
    <cellStyle name="Hyperlink" xfId="1"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6"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7"/>
  <sheetViews>
    <sheetView workbookViewId="0">
      <selection activeCell="D14" sqref="D14"/>
    </sheetView>
  </sheetViews>
  <sheetFormatPr baseColWidth="10" defaultColWidth="8.83203125" defaultRowHeight="15" x14ac:dyDescent="0.2"/>
  <cols>
    <col min="1" max="1" width="33.83203125" bestFit="1" customWidth="1"/>
    <col min="2" max="3" width="35.1640625" customWidth="1"/>
    <col min="4" max="4" width="26.83203125" customWidth="1"/>
    <col min="5" max="5" width="33" customWidth="1"/>
    <col min="6" max="6" width="28.5" customWidth="1"/>
    <col min="7" max="7" width="29.5" customWidth="1"/>
  </cols>
  <sheetData>
    <row r="1" spans="1:6" x14ac:dyDescent="0.2">
      <c r="D1" s="6" t="s">
        <v>1</v>
      </c>
      <c r="E1" s="6"/>
      <c r="F1" s="6"/>
    </row>
    <row r="2" spans="1:6" ht="28.5" customHeight="1" x14ac:dyDescent="0.2">
      <c r="D2" s="1" t="s">
        <v>22</v>
      </c>
      <c r="E2" s="1" t="s">
        <v>21</v>
      </c>
      <c r="F2" s="1" t="s">
        <v>20</v>
      </c>
    </row>
    <row r="3" spans="1:6" ht="45.75" customHeight="1" x14ac:dyDescent="0.2">
      <c r="D3" s="1">
        <v>6328.8</v>
      </c>
      <c r="E3" s="1">
        <v>8804.0400000000009</v>
      </c>
      <c r="F3" s="1">
        <v>7137.08</v>
      </c>
    </row>
    <row r="4" spans="1:6" x14ac:dyDescent="0.2">
      <c r="A4" t="s">
        <v>2</v>
      </c>
      <c r="D4">
        <v>64.67</v>
      </c>
      <c r="E4">
        <v>64.67</v>
      </c>
      <c r="F4">
        <v>64.67</v>
      </c>
    </row>
    <row r="5" spans="1:6" x14ac:dyDescent="0.2">
      <c r="A5" t="s">
        <v>3</v>
      </c>
      <c r="D5">
        <v>122.85</v>
      </c>
      <c r="E5">
        <v>122.85</v>
      </c>
      <c r="F5">
        <v>122.85</v>
      </c>
    </row>
    <row r="6" spans="1:6" x14ac:dyDescent="0.2">
      <c r="A6" t="s">
        <v>0</v>
      </c>
      <c r="D6">
        <f>D3/12</f>
        <v>527.4</v>
      </c>
      <c r="E6">
        <f>E3/12</f>
        <v>733.67000000000007</v>
      </c>
      <c r="F6" s="2">
        <f>F3/12</f>
        <v>594.75666666666666</v>
      </c>
    </row>
    <row r="7" spans="1:6" x14ac:dyDescent="0.2">
      <c r="A7" t="s">
        <v>27</v>
      </c>
      <c r="D7">
        <f>SUM(D4:D6)</f>
        <v>714.92</v>
      </c>
      <c r="E7">
        <f>SUM(E4:E6)</f>
        <v>921.19</v>
      </c>
      <c r="F7" s="2">
        <f>SUM(F4:F6)</f>
        <v>782.27666666666664</v>
      </c>
    </row>
    <row r="8" spans="1:6" x14ac:dyDescent="0.2">
      <c r="A8" t="s">
        <v>26</v>
      </c>
      <c r="D8">
        <f>D7-D5</f>
        <v>592.06999999999994</v>
      </c>
      <c r="E8">
        <f>E7-E5</f>
        <v>798.34</v>
      </c>
      <c r="F8" s="2">
        <f>F7-F5</f>
        <v>659.42666666666662</v>
      </c>
    </row>
    <row r="10" spans="1:6" x14ac:dyDescent="0.2">
      <c r="A10" t="s">
        <v>19</v>
      </c>
      <c r="E10">
        <f>E3-D3</f>
        <v>2475.2400000000007</v>
      </c>
      <c r="F10">
        <f>F3-D3</f>
        <v>808.27999999999975</v>
      </c>
    </row>
    <row r="12" spans="1:6" x14ac:dyDescent="0.2">
      <c r="A12" t="s">
        <v>4</v>
      </c>
      <c r="D12">
        <v>1671.12</v>
      </c>
      <c r="E12">
        <v>1671.12</v>
      </c>
      <c r="F12">
        <v>1671.12</v>
      </c>
    </row>
    <row r="14" spans="1:6" x14ac:dyDescent="0.2">
      <c r="A14" t="s">
        <v>5</v>
      </c>
      <c r="D14" s="3">
        <f>SUM(D7,D12)</f>
        <v>2386.04</v>
      </c>
      <c r="E14" s="3">
        <f>SUM(E7,E12)</f>
        <v>2592.31</v>
      </c>
      <c r="F14" s="4">
        <f>SUM(F7,F12)</f>
        <v>2453.3966666666665</v>
      </c>
    </row>
    <row r="15" spans="1:6" x14ac:dyDescent="0.2">
      <c r="A15" t="s">
        <v>6</v>
      </c>
      <c r="E15" s="3">
        <f>E14-D14</f>
        <v>206.26999999999998</v>
      </c>
      <c r="F15" s="4">
        <f>F14-D14</f>
        <v>67.35666666666657</v>
      </c>
    </row>
    <row r="17" spans="1:6" x14ac:dyDescent="0.2">
      <c r="A17" t="s">
        <v>7</v>
      </c>
      <c r="B17">
        <v>1378.71</v>
      </c>
    </row>
    <row r="19" spans="1:6" x14ac:dyDescent="0.2">
      <c r="A19" t="s">
        <v>23</v>
      </c>
      <c r="B19" t="s">
        <v>9</v>
      </c>
    </row>
    <row r="20" spans="1:6" x14ac:dyDescent="0.2">
      <c r="A20" t="s">
        <v>24</v>
      </c>
      <c r="B20" t="s">
        <v>25</v>
      </c>
    </row>
    <row r="21" spans="1:6" x14ac:dyDescent="0.2">
      <c r="A21" t="s">
        <v>8</v>
      </c>
      <c r="B21" t="s">
        <v>9</v>
      </c>
    </row>
    <row r="22" spans="1:6" x14ac:dyDescent="0.2">
      <c r="A22" t="s">
        <v>10</v>
      </c>
      <c r="B22" t="s">
        <v>11</v>
      </c>
    </row>
    <row r="24" spans="1:6" ht="45" x14ac:dyDescent="0.2">
      <c r="A24" s="1" t="s">
        <v>28</v>
      </c>
      <c r="B24">
        <f>5*D8</f>
        <v>2960.3499999999995</v>
      </c>
    </row>
    <row r="25" spans="1:6" ht="30" x14ac:dyDescent="0.2">
      <c r="A25" s="1" t="s">
        <v>38</v>
      </c>
      <c r="B25">
        <f>B24+D5</f>
        <v>3083.1999999999994</v>
      </c>
    </row>
    <row r="26" spans="1:6" ht="30" x14ac:dyDescent="0.2">
      <c r="A26" s="1" t="s">
        <v>30</v>
      </c>
      <c r="B26">
        <f>B25+B17</f>
        <v>4461.91</v>
      </c>
    </row>
    <row r="27" spans="1:6" x14ac:dyDescent="0.2">
      <c r="A27" s="1" t="s">
        <v>29</v>
      </c>
      <c r="B27">
        <v>5274.38</v>
      </c>
    </row>
    <row r="28" spans="1:6" ht="30" x14ac:dyDescent="0.2">
      <c r="A28" s="1" t="s">
        <v>31</v>
      </c>
      <c r="B28">
        <f>B26-B27</f>
        <v>-812.47000000000025</v>
      </c>
    </row>
    <row r="29" spans="1:6" x14ac:dyDescent="0.2">
      <c r="A29" s="1"/>
    </row>
    <row r="31" spans="1:6" ht="45" x14ac:dyDescent="0.2">
      <c r="A31" s="1" t="s">
        <v>39</v>
      </c>
      <c r="D31" s="3">
        <f>D8*2</f>
        <v>1184.1399999999999</v>
      </c>
      <c r="E31" s="3">
        <f>E8*2</f>
        <v>1596.68</v>
      </c>
      <c r="F31" s="4">
        <f>F8*2</f>
        <v>1318.8533333333332</v>
      </c>
    </row>
    <row r="32" spans="1:6" x14ac:dyDescent="0.2">
      <c r="A32" s="1" t="s">
        <v>15</v>
      </c>
      <c r="D32" s="3"/>
      <c r="E32" s="3">
        <f>E31-D31</f>
        <v>412.54000000000019</v>
      </c>
      <c r="F32" s="4">
        <f>F31-D31</f>
        <v>134.71333333333337</v>
      </c>
    </row>
    <row r="33" spans="1:6" x14ac:dyDescent="0.2">
      <c r="A33" s="1"/>
      <c r="F33" s="2"/>
    </row>
    <row r="34" spans="1:6" x14ac:dyDescent="0.2">
      <c r="A34" s="1"/>
      <c r="F34" s="2"/>
    </row>
    <row r="35" spans="1:6" x14ac:dyDescent="0.2">
      <c r="A35" s="1"/>
    </row>
    <row r="36" spans="1:6" x14ac:dyDescent="0.2">
      <c r="B36" t="s">
        <v>12</v>
      </c>
      <c r="C36" t="s">
        <v>13</v>
      </c>
    </row>
    <row r="37" spans="1:6" ht="30" x14ac:dyDescent="0.2">
      <c r="A37" s="1" t="s">
        <v>32</v>
      </c>
      <c r="B37" t="s">
        <v>14</v>
      </c>
      <c r="C37">
        <v>1</v>
      </c>
      <c r="D37">
        <f>D8*C37</f>
        <v>592.06999999999994</v>
      </c>
      <c r="E37">
        <f>E8*C37</f>
        <v>798.34</v>
      </c>
      <c r="F37" s="2">
        <f>F8*C37</f>
        <v>659.42666666666662</v>
      </c>
    </row>
    <row r="38" spans="1:6" ht="30" x14ac:dyDescent="0.2">
      <c r="A38" s="1" t="s">
        <v>33</v>
      </c>
      <c r="E38">
        <f>E37-D37</f>
        <v>206.2700000000001</v>
      </c>
      <c r="F38" s="2">
        <f>F37-D37</f>
        <v>67.356666666666683</v>
      </c>
    </row>
    <row r="39" spans="1:6" ht="30" x14ac:dyDescent="0.2">
      <c r="A39" s="1" t="s">
        <v>34</v>
      </c>
      <c r="D39">
        <f>D37+D31</f>
        <v>1776.2099999999998</v>
      </c>
      <c r="E39">
        <f>E37+E31</f>
        <v>2395.02</v>
      </c>
      <c r="F39" s="2">
        <f>F37+F31</f>
        <v>1978.2799999999997</v>
      </c>
    </row>
    <row r="40" spans="1:6" ht="75" x14ac:dyDescent="0.2">
      <c r="A40" s="1" t="s">
        <v>35</v>
      </c>
      <c r="D40">
        <f>D39-D37</f>
        <v>1184.1399999999999</v>
      </c>
      <c r="E40">
        <f>E39-D37</f>
        <v>1802.95</v>
      </c>
      <c r="F40" s="2">
        <f>F39-D37</f>
        <v>1386.2099999999998</v>
      </c>
    </row>
    <row r="41" spans="1:6" ht="30" x14ac:dyDescent="0.2">
      <c r="A41" s="1" t="s">
        <v>36</v>
      </c>
      <c r="D41">
        <f>D40-B28</f>
        <v>1996.6100000000001</v>
      </c>
      <c r="E41">
        <f>E40-B28</f>
        <v>2615.42</v>
      </c>
      <c r="F41" s="2">
        <f>F40-B28</f>
        <v>2198.6800000000003</v>
      </c>
    </row>
    <row r="42" spans="1:6" x14ac:dyDescent="0.2">
      <c r="B42" t="s">
        <v>16</v>
      </c>
      <c r="C42">
        <v>2</v>
      </c>
      <c r="D42">
        <f>D8*C42</f>
        <v>1184.1399999999999</v>
      </c>
      <c r="E42">
        <f>E8*C42</f>
        <v>1596.68</v>
      </c>
      <c r="F42" s="2">
        <f>F8*C42</f>
        <v>1318.8533333333332</v>
      </c>
    </row>
    <row r="43" spans="1:6" x14ac:dyDescent="0.2">
      <c r="E43">
        <f>E42-D42</f>
        <v>412.54000000000019</v>
      </c>
      <c r="F43" s="2">
        <f>F42-D42</f>
        <v>134.71333333333337</v>
      </c>
    </row>
    <row r="44" spans="1:6" x14ac:dyDescent="0.2">
      <c r="D44">
        <f>D42+D31</f>
        <v>2368.2799999999997</v>
      </c>
      <c r="E44" s="2">
        <f>E42+E31</f>
        <v>3193.36</v>
      </c>
      <c r="F44" s="2">
        <f>F42+F31</f>
        <v>2637.7066666666665</v>
      </c>
    </row>
    <row r="45" spans="1:6" x14ac:dyDescent="0.2">
      <c r="D45">
        <f>D44-D42</f>
        <v>1184.1399999999999</v>
      </c>
      <c r="E45" s="2">
        <f>E44-D42</f>
        <v>2009.2200000000003</v>
      </c>
      <c r="F45" s="2">
        <f>F44-D42</f>
        <v>1453.5666666666666</v>
      </c>
    </row>
    <row r="46" spans="1:6" x14ac:dyDescent="0.2">
      <c r="D46">
        <f>D45-B28</f>
        <v>1996.6100000000001</v>
      </c>
      <c r="E46" s="2">
        <f>E45-B28</f>
        <v>2821.6900000000005</v>
      </c>
      <c r="F46" s="2">
        <f>F45-B28</f>
        <v>2266.0366666666669</v>
      </c>
    </row>
    <row r="47" spans="1:6" x14ac:dyDescent="0.2">
      <c r="B47" t="s">
        <v>17</v>
      </c>
      <c r="C47">
        <v>3</v>
      </c>
      <c r="D47">
        <f>D8*C47</f>
        <v>1776.2099999999998</v>
      </c>
      <c r="E47">
        <f>E8*C47</f>
        <v>2395.02</v>
      </c>
      <c r="F47" s="2">
        <f>F8*C47</f>
        <v>1978.2799999999997</v>
      </c>
    </row>
    <row r="48" spans="1:6" x14ac:dyDescent="0.2">
      <c r="E48">
        <f>E47-D47</f>
        <v>618.81000000000017</v>
      </c>
      <c r="F48" s="2">
        <f>F47-D47</f>
        <v>202.06999999999994</v>
      </c>
    </row>
    <row r="49" spans="1:7" x14ac:dyDescent="0.2">
      <c r="D49">
        <f>D47+D31</f>
        <v>2960.3499999999995</v>
      </c>
      <c r="E49">
        <f>E47+E31</f>
        <v>3991.7</v>
      </c>
      <c r="F49" s="2">
        <f>F47+F31</f>
        <v>3297.1333333333332</v>
      </c>
    </row>
    <row r="50" spans="1:7" x14ac:dyDescent="0.2">
      <c r="D50">
        <f>D49-D47</f>
        <v>1184.1399999999996</v>
      </c>
      <c r="E50">
        <f>E49-D47</f>
        <v>2215.4899999999998</v>
      </c>
      <c r="F50" s="2">
        <f>F49-D47</f>
        <v>1520.9233333333334</v>
      </c>
    </row>
    <row r="51" spans="1:7" ht="30" x14ac:dyDescent="0.2">
      <c r="D51" s="3">
        <f>D50-B28</f>
        <v>1996.61</v>
      </c>
      <c r="E51" s="3">
        <f>E50-B28</f>
        <v>3027.96</v>
      </c>
      <c r="F51" s="4">
        <f>F50-B28</f>
        <v>2333.3933333333334</v>
      </c>
      <c r="G51" s="1" t="s">
        <v>37</v>
      </c>
    </row>
    <row r="52" spans="1:7" x14ac:dyDescent="0.2">
      <c r="B52" t="s">
        <v>18</v>
      </c>
      <c r="C52">
        <v>4</v>
      </c>
      <c r="D52">
        <f>D8*C52</f>
        <v>2368.2799999999997</v>
      </c>
      <c r="E52">
        <f>E8*C52</f>
        <v>3193.36</v>
      </c>
      <c r="F52" s="2">
        <f>F8*C52</f>
        <v>2637.7066666666665</v>
      </c>
    </row>
    <row r="53" spans="1:7" x14ac:dyDescent="0.2">
      <c r="E53">
        <f>E52-D52</f>
        <v>825.08000000000038</v>
      </c>
      <c r="F53" s="2">
        <f>F52-D52</f>
        <v>269.42666666666673</v>
      </c>
    </row>
    <row r="54" spans="1:7" x14ac:dyDescent="0.2">
      <c r="D54">
        <f>D52+D31</f>
        <v>3552.4199999999996</v>
      </c>
      <c r="E54">
        <f>E52+E31</f>
        <v>4790.04</v>
      </c>
      <c r="F54" s="2">
        <f>F52+F31</f>
        <v>3956.5599999999995</v>
      </c>
    </row>
    <row r="55" spans="1:7" x14ac:dyDescent="0.2">
      <c r="D55">
        <f>D54-D52</f>
        <v>1184.1399999999999</v>
      </c>
      <c r="E55">
        <f>E54-D52</f>
        <v>2421.7600000000002</v>
      </c>
      <c r="F55" s="2">
        <f>F54-D52</f>
        <v>1588.2799999999997</v>
      </c>
    </row>
    <row r="56" spans="1:7" x14ac:dyDescent="0.2">
      <c r="D56">
        <f>D55-B28</f>
        <v>1996.6100000000001</v>
      </c>
      <c r="E56">
        <f>E55-B28</f>
        <v>3234.2300000000005</v>
      </c>
      <c r="F56" s="2">
        <f>F55-B28</f>
        <v>2400.75</v>
      </c>
    </row>
    <row r="60" spans="1:7" ht="60" x14ac:dyDescent="0.2">
      <c r="A60" s="1" t="s">
        <v>40</v>
      </c>
      <c r="D60" s="2">
        <f>D51/12</f>
        <v>166.38416666666666</v>
      </c>
      <c r="E60" s="2">
        <f>E51/12</f>
        <v>252.33</v>
      </c>
      <c r="F60" s="2">
        <f>F51/12</f>
        <v>194.44944444444445</v>
      </c>
    </row>
    <row r="61" spans="1:7" ht="60" x14ac:dyDescent="0.2">
      <c r="A61" s="1" t="s">
        <v>41</v>
      </c>
      <c r="D61" s="2">
        <f>D51/24</f>
        <v>83.192083333333329</v>
      </c>
      <c r="E61" s="2">
        <f>E51/24</f>
        <v>126.16500000000001</v>
      </c>
      <c r="F61" s="2">
        <f>F51/24</f>
        <v>97.224722222222226</v>
      </c>
    </row>
    <row r="62" spans="1:7" ht="45" x14ac:dyDescent="0.2">
      <c r="A62" s="1" t="s">
        <v>52</v>
      </c>
      <c r="D62" s="2">
        <f>D14+D60</f>
        <v>2552.4241666666667</v>
      </c>
      <c r="E62" s="2">
        <f>E14+E60</f>
        <v>2844.64</v>
      </c>
      <c r="F62" s="2">
        <f>F14+F60</f>
        <v>2647.846111111111</v>
      </c>
    </row>
    <row r="63" spans="1:7" ht="45" x14ac:dyDescent="0.2">
      <c r="A63" s="1" t="s">
        <v>53</v>
      </c>
      <c r="D63" s="2">
        <f>D14+D61</f>
        <v>2469.2320833333333</v>
      </c>
      <c r="E63" s="2">
        <f>E14+E61</f>
        <v>2718.4749999999999</v>
      </c>
      <c r="F63" s="2">
        <f>F14+F61</f>
        <v>2550.6213888888888</v>
      </c>
    </row>
    <row r="64" spans="1:7" x14ac:dyDescent="0.2">
      <c r="A64" s="1"/>
      <c r="D64" s="2"/>
      <c r="E64" s="2"/>
      <c r="F64" s="2"/>
    </row>
    <row r="65" spans="1:6" x14ac:dyDescent="0.2">
      <c r="A65" t="s">
        <v>42</v>
      </c>
      <c r="B65">
        <v>1666.96</v>
      </c>
    </row>
    <row r="66" spans="1:6" ht="30" x14ac:dyDescent="0.2">
      <c r="A66" s="1" t="s">
        <v>43</v>
      </c>
      <c r="D66">
        <f>D51-B65</f>
        <v>329.64999999999986</v>
      </c>
      <c r="E66">
        <f>E51-B65</f>
        <v>1361</v>
      </c>
      <c r="F66" s="2">
        <f>F51-B65</f>
        <v>666.43333333333339</v>
      </c>
    </row>
    <row r="67" spans="1:6" ht="60" x14ac:dyDescent="0.2">
      <c r="A67" s="1" t="s">
        <v>44</v>
      </c>
      <c r="D67" s="2">
        <f>D66/12</f>
        <v>27.470833333333321</v>
      </c>
      <c r="E67" s="2">
        <f>E66/12</f>
        <v>113.41666666666667</v>
      </c>
      <c r="F67" s="2">
        <f>F66/12</f>
        <v>55.536111111111119</v>
      </c>
    </row>
    <row r="68" spans="1:6" ht="60" x14ac:dyDescent="0.2">
      <c r="A68" s="1" t="s">
        <v>51</v>
      </c>
      <c r="D68" s="2">
        <f>D66/24</f>
        <v>13.73541666666666</v>
      </c>
      <c r="E68" s="2">
        <f>E66/24</f>
        <v>56.708333333333336</v>
      </c>
      <c r="F68" s="2">
        <f>F66/24</f>
        <v>27.768055555555559</v>
      </c>
    </row>
    <row r="70" spans="1:6" ht="30" x14ac:dyDescent="0.2">
      <c r="A70" s="1" t="s">
        <v>50</v>
      </c>
      <c r="D70" s="4">
        <f>D14+D68</f>
        <v>2399.7754166666668</v>
      </c>
      <c r="E70" s="4">
        <f>E14+E68</f>
        <v>2649.0183333333334</v>
      </c>
      <c r="F70" s="4">
        <f>F14+F68</f>
        <v>2481.1647222222223</v>
      </c>
    </row>
    <row r="71" spans="1:6" ht="30" x14ac:dyDescent="0.2">
      <c r="A71" s="1" t="s">
        <v>45</v>
      </c>
      <c r="D71" s="4">
        <f>D70-D14</f>
        <v>13.735416666666879</v>
      </c>
      <c r="E71" s="4">
        <f>E70-D14</f>
        <v>262.97833333333347</v>
      </c>
      <c r="F71" s="4">
        <f>F70-D14</f>
        <v>95.124722222222317</v>
      </c>
    </row>
    <row r="73" spans="1:6" ht="105" x14ac:dyDescent="0.2">
      <c r="A73" s="1" t="s">
        <v>46</v>
      </c>
      <c r="B73">
        <v>252.33</v>
      </c>
    </row>
    <row r="74" spans="1:6" ht="75" x14ac:dyDescent="0.2">
      <c r="A74" s="1" t="s">
        <v>48</v>
      </c>
      <c r="B74" s="2">
        <f>E14-F14</f>
        <v>138.91333333333341</v>
      </c>
    </row>
    <row r="75" spans="1:6" ht="45" x14ac:dyDescent="0.2">
      <c r="A75" s="1" t="s">
        <v>49</v>
      </c>
      <c r="B75" s="2">
        <f>B65-B73-B74</f>
        <v>1275.7166666666667</v>
      </c>
    </row>
    <row r="77" spans="1:6" ht="30" x14ac:dyDescent="0.2">
      <c r="A77" s="5" t="s">
        <v>47</v>
      </c>
      <c r="B77" s="4">
        <f>B73+B74</f>
        <v>391.24333333333345</v>
      </c>
    </row>
  </sheetData>
  <mergeCells count="1">
    <mergeCell ref="D1:F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6"/>
  <sheetViews>
    <sheetView tabSelected="1" topLeftCell="A17" workbookViewId="0">
      <selection activeCell="B52" sqref="B52"/>
    </sheetView>
  </sheetViews>
  <sheetFormatPr baseColWidth="10" defaultRowHeight="15" x14ac:dyDescent="0.2"/>
  <cols>
    <col min="1" max="1" width="86.83203125" bestFit="1" customWidth="1"/>
    <col min="2" max="2" width="21.6640625" customWidth="1"/>
  </cols>
  <sheetData>
    <row r="1" spans="1:2" x14ac:dyDescent="0.2">
      <c r="A1" t="s">
        <v>54</v>
      </c>
      <c r="B1">
        <v>771</v>
      </c>
    </row>
    <row r="2" spans="1:2" x14ac:dyDescent="0.2">
      <c r="A2" t="s">
        <v>55</v>
      </c>
      <c r="B2">
        <v>3925.39</v>
      </c>
    </row>
    <row r="3" spans="1:2" x14ac:dyDescent="0.2">
      <c r="A3" t="s">
        <v>56</v>
      </c>
      <c r="B3">
        <v>4486.7</v>
      </c>
    </row>
    <row r="4" spans="1:2" x14ac:dyDescent="0.2">
      <c r="A4" t="s">
        <v>57</v>
      </c>
      <c r="B4">
        <f>SUM(B2,B3)</f>
        <v>8412.09</v>
      </c>
    </row>
    <row r="6" spans="1:2" x14ac:dyDescent="0.2">
      <c r="A6" t="s">
        <v>66</v>
      </c>
      <c r="B6">
        <v>1596.68</v>
      </c>
    </row>
    <row r="8" spans="1:2" x14ac:dyDescent="0.2">
      <c r="A8" t="s">
        <v>70</v>
      </c>
      <c r="B8" s="8">
        <v>42795</v>
      </c>
    </row>
    <row r="9" spans="1:2" x14ac:dyDescent="0.2">
      <c r="A9" t="s">
        <v>58</v>
      </c>
      <c r="B9">
        <v>812.47</v>
      </c>
    </row>
    <row r="10" spans="1:2" x14ac:dyDescent="0.2">
      <c r="A10" t="s">
        <v>69</v>
      </c>
      <c r="B10">
        <v>5</v>
      </c>
    </row>
    <row r="11" spans="1:2" x14ac:dyDescent="0.2">
      <c r="A11" t="s">
        <v>72</v>
      </c>
      <c r="B11">
        <f>B1/12</f>
        <v>64.25</v>
      </c>
    </row>
    <row r="12" spans="1:2" x14ac:dyDescent="0.2">
      <c r="A12" t="s">
        <v>71</v>
      </c>
      <c r="B12">
        <f>B11*B10</f>
        <v>321.25</v>
      </c>
    </row>
    <row r="13" spans="1:2" x14ac:dyDescent="0.2">
      <c r="A13" t="s">
        <v>73</v>
      </c>
      <c r="B13">
        <f>B4</f>
        <v>8412.09</v>
      </c>
    </row>
    <row r="14" spans="1:2" x14ac:dyDescent="0.2">
      <c r="A14" t="s">
        <v>74</v>
      </c>
      <c r="B14">
        <v>8804.0400000000009</v>
      </c>
    </row>
    <row r="15" spans="1:2" x14ac:dyDescent="0.2">
      <c r="A15" t="s">
        <v>75</v>
      </c>
      <c r="B15">
        <f>B13-B14</f>
        <v>-391.95000000000073</v>
      </c>
    </row>
    <row r="16" spans="1:2" x14ac:dyDescent="0.2">
      <c r="A16" t="s">
        <v>77</v>
      </c>
      <c r="B16">
        <v>9</v>
      </c>
    </row>
    <row r="17" spans="1:2" x14ac:dyDescent="0.2">
      <c r="A17" t="s">
        <v>78</v>
      </c>
      <c r="B17">
        <f>B15/12*9</f>
        <v>-293.96250000000055</v>
      </c>
    </row>
    <row r="18" spans="1:2" x14ac:dyDescent="0.2">
      <c r="A18" t="s">
        <v>76</v>
      </c>
      <c r="B18">
        <f>B9+B12+B17</f>
        <v>839.75749999999948</v>
      </c>
    </row>
    <row r="20" spans="1:2" x14ac:dyDescent="0.2">
      <c r="A20" t="s">
        <v>59</v>
      </c>
      <c r="B20">
        <v>2386.04</v>
      </c>
    </row>
    <row r="21" spans="1:2" x14ac:dyDescent="0.2">
      <c r="A21" t="s">
        <v>60</v>
      </c>
      <c r="B21">
        <v>2592.31</v>
      </c>
    </row>
    <row r="22" spans="1:2" x14ac:dyDescent="0.2">
      <c r="A22" t="s">
        <v>61</v>
      </c>
      <c r="B22">
        <f xml:space="preserve"> B21-B20</f>
        <v>206.26999999999998</v>
      </c>
    </row>
    <row r="23" spans="1:2" x14ac:dyDescent="0.2">
      <c r="A23" t="s">
        <v>62</v>
      </c>
      <c r="B23">
        <v>3</v>
      </c>
    </row>
    <row r="24" spans="1:2" x14ac:dyDescent="0.2">
      <c r="A24" t="s">
        <v>63</v>
      </c>
      <c r="B24">
        <f>B23*B22</f>
        <v>618.80999999999995</v>
      </c>
    </row>
    <row r="25" spans="1:2" x14ac:dyDescent="0.2">
      <c r="A25" t="s">
        <v>64</v>
      </c>
      <c r="B25">
        <f>B18+B24</f>
        <v>1458.5674999999994</v>
      </c>
    </row>
    <row r="27" spans="1:2" x14ac:dyDescent="0.2">
      <c r="A27" t="s">
        <v>65</v>
      </c>
      <c r="B27">
        <v>2844.64</v>
      </c>
    </row>
    <row r="28" spans="1:2" x14ac:dyDescent="0.2">
      <c r="A28" t="s">
        <v>60</v>
      </c>
      <c r="B28">
        <v>2592.31</v>
      </c>
    </row>
    <row r="29" spans="1:2" x14ac:dyDescent="0.2">
      <c r="A29" t="s">
        <v>61</v>
      </c>
      <c r="B29">
        <f xml:space="preserve"> B28-B27</f>
        <v>-252.32999999999993</v>
      </c>
    </row>
    <row r="30" spans="1:2" x14ac:dyDescent="0.2">
      <c r="A30" t="s">
        <v>62</v>
      </c>
      <c r="B30">
        <v>1</v>
      </c>
    </row>
    <row r="31" spans="1:2" x14ac:dyDescent="0.2">
      <c r="A31" s="7" t="s">
        <v>63</v>
      </c>
      <c r="B31">
        <f>B30*B29</f>
        <v>-252.32999999999993</v>
      </c>
    </row>
    <row r="32" spans="1:2" x14ac:dyDescent="0.2">
      <c r="A32" t="s">
        <v>67</v>
      </c>
      <c r="B32">
        <f>B25+B31</f>
        <v>1206.2374999999995</v>
      </c>
    </row>
    <row r="34" spans="1:2" x14ac:dyDescent="0.2">
      <c r="A34" t="s">
        <v>79</v>
      </c>
      <c r="B34">
        <v>2707.96</v>
      </c>
    </row>
    <row r="35" spans="1:2" x14ac:dyDescent="0.2">
      <c r="A35" t="s">
        <v>60</v>
      </c>
      <c r="B35">
        <v>2592.31</v>
      </c>
    </row>
    <row r="36" spans="1:2" x14ac:dyDescent="0.2">
      <c r="A36" t="s">
        <v>61</v>
      </c>
      <c r="B36">
        <f xml:space="preserve"> B35-B34</f>
        <v>-115.65000000000009</v>
      </c>
    </row>
    <row r="37" spans="1:2" x14ac:dyDescent="0.2">
      <c r="A37" t="s">
        <v>62</v>
      </c>
      <c r="B37">
        <v>8</v>
      </c>
    </row>
    <row r="38" spans="1:2" x14ac:dyDescent="0.2">
      <c r="A38" s="7" t="s">
        <v>63</v>
      </c>
      <c r="B38">
        <f>B37*B36</f>
        <v>-925.20000000000073</v>
      </c>
    </row>
    <row r="39" spans="1:2" x14ac:dyDescent="0.2">
      <c r="A39" t="s">
        <v>68</v>
      </c>
      <c r="B39">
        <f>B32+B38</f>
        <v>281.03749999999877</v>
      </c>
    </row>
    <row r="41" spans="1:2" x14ac:dyDescent="0.2">
      <c r="A41" t="s">
        <v>79</v>
      </c>
      <c r="B41">
        <v>2707.96</v>
      </c>
    </row>
    <row r="42" spans="1:2" x14ac:dyDescent="0.2">
      <c r="A42" t="s">
        <v>60</v>
      </c>
      <c r="B42">
        <v>2592.31</v>
      </c>
    </row>
    <row r="43" spans="1:2" x14ac:dyDescent="0.2">
      <c r="A43" t="s">
        <v>61</v>
      </c>
      <c r="B43">
        <f xml:space="preserve"> B42-B41</f>
        <v>-115.65000000000009</v>
      </c>
    </row>
    <row r="44" spans="1:2" x14ac:dyDescent="0.2">
      <c r="A44" t="s">
        <v>80</v>
      </c>
      <c r="B44">
        <v>16</v>
      </c>
    </row>
    <row r="45" spans="1:2" x14ac:dyDescent="0.2">
      <c r="A45" s="7" t="s">
        <v>63</v>
      </c>
      <c r="B45">
        <f>B44*B43</f>
        <v>-1850.4000000000015</v>
      </c>
    </row>
    <row r="46" spans="1:2" x14ac:dyDescent="0.2">
      <c r="A46" t="s">
        <v>68</v>
      </c>
      <c r="B46">
        <f>B39+B45</f>
        <v>-1569.3625000000027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111416</vt:lpstr>
      <vt:lpstr>081616</vt:lpstr>
    </vt:vector>
  </TitlesOfParts>
  <Company>PNC Bank</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Awais Sultan</dc:creator>
  <cp:lastModifiedBy>Microsoft Office User</cp:lastModifiedBy>
  <dcterms:created xsi:type="dcterms:W3CDTF">2016-11-14T05:03:29Z</dcterms:created>
  <dcterms:modified xsi:type="dcterms:W3CDTF">2017-08-16T10:34:49Z</dcterms:modified>
</cp:coreProperties>
</file>