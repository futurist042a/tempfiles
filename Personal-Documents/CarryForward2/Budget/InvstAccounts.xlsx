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x22842\Documents\Personal\Budget\"/>
    </mc:Choice>
  </mc:AlternateContent>
  <bookViews>
    <workbookView minimized="1" xWindow="0" yWindow="0" windowWidth="15360" windowHeight="9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1" l="1"/>
  <c r="H71" i="1"/>
  <c r="D71" i="1"/>
  <c r="D68" i="1" l="1"/>
  <c r="H67" i="1"/>
  <c r="D67" i="1"/>
  <c r="D64" i="1" l="1"/>
  <c r="H63" i="1"/>
  <c r="D63" i="1"/>
  <c r="D60" i="1" l="1"/>
  <c r="H59" i="1"/>
  <c r="D59" i="1"/>
  <c r="D56" i="1" l="1"/>
  <c r="H55" i="1"/>
  <c r="D55" i="1"/>
  <c r="H51" i="1" l="1"/>
  <c r="H47" i="1"/>
  <c r="H43" i="1"/>
  <c r="D52" i="1"/>
  <c r="D51" i="1"/>
  <c r="D48" i="1"/>
  <c r="D47" i="1"/>
  <c r="D44" i="1" l="1"/>
  <c r="D43" i="1"/>
  <c r="D40" i="1" l="1"/>
  <c r="D39" i="1"/>
  <c r="D36" i="1" l="1"/>
  <c r="D35" i="1"/>
  <c r="D32" i="1" l="1"/>
  <c r="D31" i="1"/>
  <c r="D28" i="1"/>
  <c r="D27" i="1"/>
  <c r="D24" i="1" l="1"/>
  <c r="D23" i="1"/>
  <c r="D20" i="1" l="1"/>
  <c r="D19" i="1"/>
  <c r="D12" i="1" l="1"/>
  <c r="D16" i="1"/>
  <c r="D15" i="1"/>
</calcChain>
</file>

<file path=xl/sharedStrings.xml><?xml version="1.0" encoding="utf-8"?>
<sst xmlns="http://schemas.openxmlformats.org/spreadsheetml/2006/main" count="47" uniqueCount="6">
  <si>
    <t>Chase</t>
  </si>
  <si>
    <t>CharterOne</t>
  </si>
  <si>
    <t>SnP 500</t>
  </si>
  <si>
    <t xml:space="preserve">Note: </t>
  </si>
  <si>
    <t>On August 31st SNp 500 was 1972.18, account was 41,601.43, on Oct 9th SnP 500 is 2014.89 and account is 41,527.35. Account didn't recoverd as SnP 500 did.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</si>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</sst>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7.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2" borderId="0" xfId="0" applyFill="1" applyAlignment="1">
      <alignment wrapText="1"/>
    </xf>
    <xf numFmtId="4" fontId="0" fillId="0" borderId="0" xfId="0" applyNumberFormat="1"/>
    <xf numFmtId="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topLeftCell="A46" workbookViewId="0">
      <selection activeCell="G71" sqref="G71"/>
    </sheetView>
  </sheetViews>
  <sheetFormatPr defaultRowHeight="14.4" x14ac:dyDescent="0.3"/>
  <cols>
    <col min="1" max="1" width="11.33203125" customWidth="1"/>
    <col min="2" max="2" width="19.21875" customWidth="1"/>
    <col min="7" max="7" width="56.44140625" customWidth="1"/>
  </cols>
  <sheetData>
    <row r="1" spans="1:7" x14ac:dyDescent="0.3">
      <c r="A1" s="1">
        <v>42272</v>
      </c>
    </row>
    <row r="2" spans="1:7" ht="43.2" x14ac:dyDescent="0.3">
      <c r="A2" t="s">
        <v>0</v>
      </c>
      <c r="B2" s="2">
        <v>40599.86</v>
      </c>
      <c r="F2" t="s">
        <v>3</v>
      </c>
      <c r="G2" s="4" t="s">
        <v>4</v>
      </c>
    </row>
    <row r="3" spans="1:7" x14ac:dyDescent="0.3">
      <c r="A3" t="s">
        <v>1</v>
      </c>
      <c r="B3" s="2">
        <v>29763.14</v>
      </c>
    </row>
    <row r="4" spans="1:7" x14ac:dyDescent="0.3">
      <c r="A4" t="s">
        <v>2</v>
      </c>
      <c r="B4">
        <v>1931.34</v>
      </c>
    </row>
    <row r="6" spans="1:7" x14ac:dyDescent="0.3">
      <c r="A6" s="1">
        <v>42282</v>
      </c>
    </row>
    <row r="8" spans="1:7" x14ac:dyDescent="0.3">
      <c r="A8" t="s">
        <v>2</v>
      </c>
      <c r="B8">
        <v>1987.05</v>
      </c>
    </row>
    <row r="10" spans="1:7" x14ac:dyDescent="0.3">
      <c r="A10" s="1">
        <v>42283</v>
      </c>
    </row>
    <row r="11" spans="1:7" x14ac:dyDescent="0.3">
      <c r="A11" t="s">
        <v>0</v>
      </c>
      <c r="B11" s="2">
        <v>41015.5</v>
      </c>
      <c r="C11" s="3">
        <v>-2.0999999999999999E-3</v>
      </c>
    </row>
    <row r="12" spans="1:7" x14ac:dyDescent="0.3">
      <c r="A12" t="s">
        <v>2</v>
      </c>
      <c r="B12">
        <v>1979.92</v>
      </c>
      <c r="D12" s="3">
        <f>(B12-B8)/B8</f>
        <v>-3.5882338139452364E-3</v>
      </c>
    </row>
    <row r="14" spans="1:7" x14ac:dyDescent="0.3">
      <c r="A14" s="1">
        <v>42284</v>
      </c>
    </row>
    <row r="15" spans="1:7" x14ac:dyDescent="0.3">
      <c r="A15" t="s">
        <v>0</v>
      </c>
      <c r="B15" s="2">
        <v>41307.449999999997</v>
      </c>
      <c r="D15" s="3">
        <f>(B15-B11)/B11</f>
        <v>7.1180407406955196E-3</v>
      </c>
    </row>
    <row r="16" spans="1:7" x14ac:dyDescent="0.3">
      <c r="A16" t="s">
        <v>2</v>
      </c>
      <c r="B16">
        <v>1995.83</v>
      </c>
      <c r="D16" s="3">
        <f>(B16-B12)/B12</f>
        <v>8.0356782092205013E-3</v>
      </c>
    </row>
    <row r="18" spans="1:4" x14ac:dyDescent="0.3">
      <c r="A18" s="1">
        <v>42285</v>
      </c>
    </row>
    <row r="19" spans="1:4" x14ac:dyDescent="0.3">
      <c r="A19" t="s">
        <v>0</v>
      </c>
      <c r="B19" s="2">
        <v>41496.97</v>
      </c>
      <c r="C19" s="3">
        <v>4.4999999999999997E-3</v>
      </c>
      <c r="D19" s="3">
        <f>(B19-B15)/B15</f>
        <v>4.5880343618403966E-3</v>
      </c>
    </row>
    <row r="20" spans="1:4" x14ac:dyDescent="0.3">
      <c r="A20" t="s">
        <v>2</v>
      </c>
      <c r="B20">
        <v>2013.43</v>
      </c>
      <c r="D20" s="3">
        <f>(B20-B16)/B16</f>
        <v>8.8183863355096054E-3</v>
      </c>
    </row>
    <row r="22" spans="1:4" x14ac:dyDescent="0.3">
      <c r="A22" s="1">
        <v>42286</v>
      </c>
    </row>
    <row r="23" spans="1:4" x14ac:dyDescent="0.3">
      <c r="A23" t="s">
        <v>0</v>
      </c>
      <c r="B23" s="2">
        <v>41527.35</v>
      </c>
      <c r="C23" s="3"/>
      <c r="D23" s="3">
        <f>(B23-B19)/B19</f>
        <v>7.3210164501160877E-4</v>
      </c>
    </row>
    <row r="24" spans="1:4" x14ac:dyDescent="0.3">
      <c r="A24" t="s">
        <v>2</v>
      </c>
      <c r="B24">
        <v>2014.89</v>
      </c>
      <c r="D24" s="3">
        <f>(B24-B20)/B20</f>
        <v>7.2513074703368691E-4</v>
      </c>
    </row>
    <row r="26" spans="1:4" x14ac:dyDescent="0.3">
      <c r="A26" s="1">
        <v>42291</v>
      </c>
    </row>
    <row r="27" spans="1:4" x14ac:dyDescent="0.3">
      <c r="A27" t="s">
        <v>0</v>
      </c>
      <c r="B27" s="2">
        <v>41208.129999999997</v>
      </c>
      <c r="C27" s="3"/>
      <c r="D27" s="3">
        <f>(B27-B23)/B23</f>
        <v>-7.6869821936627588E-3</v>
      </c>
    </row>
    <row r="28" spans="1:4" x14ac:dyDescent="0.3">
      <c r="A28" t="s">
        <v>2</v>
      </c>
      <c r="B28">
        <v>1994.24</v>
      </c>
      <c r="D28" s="3">
        <f>(B28-B24)/B24</f>
        <v>-1.0248698440113401E-2</v>
      </c>
    </row>
    <row r="30" spans="1:4" x14ac:dyDescent="0.3">
      <c r="A30" s="1">
        <v>42292</v>
      </c>
    </row>
    <row r="31" spans="1:4" x14ac:dyDescent="0.3">
      <c r="A31" t="s">
        <v>0</v>
      </c>
      <c r="B31" s="2">
        <v>41621.760000000002</v>
      </c>
      <c r="C31" s="3"/>
      <c r="D31" s="3">
        <f>(B31-B27)/B27</f>
        <v>1.003758238968875E-2</v>
      </c>
    </row>
    <row r="32" spans="1:4" x14ac:dyDescent="0.3">
      <c r="A32" t="s">
        <v>2</v>
      </c>
      <c r="B32">
        <v>2023.86</v>
      </c>
      <c r="D32" s="3">
        <f>(B32-B28)/B28</f>
        <v>1.4852775994865158E-2</v>
      </c>
    </row>
    <row r="34" spans="1:8" x14ac:dyDescent="0.3">
      <c r="A34" s="1">
        <v>42293</v>
      </c>
    </row>
    <row r="35" spans="1:8" x14ac:dyDescent="0.3">
      <c r="A35" t="s">
        <v>0</v>
      </c>
      <c r="B35" s="2">
        <v>41721.93</v>
      </c>
      <c r="C35" s="3"/>
      <c r="D35" s="3">
        <f>(B35-B31)/B31</f>
        <v>2.406673816772723E-3</v>
      </c>
    </row>
    <row r="36" spans="1:8" x14ac:dyDescent="0.3">
      <c r="A36" t="s">
        <v>2</v>
      </c>
      <c r="B36">
        <v>2033.11</v>
      </c>
      <c r="D36" s="3">
        <f>(B36-B32)/B32</f>
        <v>4.5704742422894868E-3</v>
      </c>
    </row>
    <row r="38" spans="1:8" x14ac:dyDescent="0.3">
      <c r="A38" s="1">
        <v>42298</v>
      </c>
    </row>
    <row r="39" spans="1:8" x14ac:dyDescent="0.3">
      <c r="A39" t="s">
        <v>0</v>
      </c>
      <c r="B39" s="2">
        <v>41478.61</v>
      </c>
      <c r="C39" s="3"/>
      <c r="D39" s="3">
        <f>(B39-B35)/B35</f>
        <v>-5.8319449747410946E-3</v>
      </c>
      <c r="F39" t="s">
        <v>5</v>
      </c>
      <c r="G39" s="5">
        <v>30741.1</v>
      </c>
    </row>
    <row r="40" spans="1:8" x14ac:dyDescent="0.3">
      <c r="A40" t="s">
        <v>2</v>
      </c>
      <c r="B40">
        <v>2018.94</v>
      </c>
      <c r="D40" s="3">
        <f>(B40-B36)/B36</f>
        <v>-6.9696179744331817E-3</v>
      </c>
    </row>
    <row r="42" spans="1:8" x14ac:dyDescent="0.3">
      <c r="A42" s="1">
        <v>42299</v>
      </c>
    </row>
    <row r="43" spans="1:8" x14ac:dyDescent="0.3">
      <c r="A43" t="s">
        <v>0</v>
      </c>
      <c r="B43" s="2">
        <v>41718.94</v>
      </c>
      <c r="C43" s="3"/>
      <c r="D43" s="3">
        <f>(B43-B39)/B39</f>
        <v>5.7940707270567101E-3</v>
      </c>
      <c r="F43" t="s">
        <v>5</v>
      </c>
      <c r="G43" s="2">
        <v>31144.69</v>
      </c>
      <c r="H43" s="3">
        <f>(G43-G39)/G39</f>
        <v>1.312867789376438E-2</v>
      </c>
    </row>
    <row r="44" spans="1:8" x14ac:dyDescent="0.3">
      <c r="A44" t="s">
        <v>2</v>
      </c>
      <c r="B44">
        <v>2052.5100000000002</v>
      </c>
      <c r="D44" s="3">
        <f>(B44-B40)/B40</f>
        <v>1.6627537222502979E-2</v>
      </c>
    </row>
    <row r="46" spans="1:8" x14ac:dyDescent="0.3">
      <c r="A46" s="1">
        <v>42300</v>
      </c>
    </row>
    <row r="47" spans="1:8" x14ac:dyDescent="0.3">
      <c r="A47" t="s">
        <v>0</v>
      </c>
      <c r="B47" s="2">
        <v>42012.52</v>
      </c>
      <c r="C47" s="3"/>
      <c r="D47" s="3">
        <f>(B47-B43)/B43</f>
        <v>7.0370915464293788E-3</v>
      </c>
      <c r="F47" t="s">
        <v>5</v>
      </c>
      <c r="G47" s="2">
        <v>31144.69</v>
      </c>
      <c r="H47" s="3">
        <f>(G47-G43)/G43</f>
        <v>0</v>
      </c>
    </row>
    <row r="48" spans="1:8" x14ac:dyDescent="0.3">
      <c r="A48" t="s">
        <v>2</v>
      </c>
      <c r="B48">
        <v>2075.15</v>
      </c>
      <c r="D48" s="3">
        <f>(B48-B44)/B44</f>
        <v>1.103039692863853E-2</v>
      </c>
    </row>
    <row r="50" spans="1:8" x14ac:dyDescent="0.3">
      <c r="A50" s="1">
        <v>42304</v>
      </c>
    </row>
    <row r="51" spans="1:8" x14ac:dyDescent="0.3">
      <c r="A51" t="s">
        <v>0</v>
      </c>
      <c r="B51" s="2">
        <v>41871.26</v>
      </c>
      <c r="C51" s="3"/>
      <c r="D51" s="3">
        <f>(B51-B47)/B47</f>
        <v>-3.3623310384617434E-3</v>
      </c>
      <c r="F51" t="s">
        <v>5</v>
      </c>
      <c r="G51" s="2">
        <v>31017.95</v>
      </c>
      <c r="H51" s="3">
        <f>(G51-G47)/G47</f>
        <v>-4.0693935306467324E-3</v>
      </c>
    </row>
    <row r="52" spans="1:8" x14ac:dyDescent="0.3">
      <c r="A52" t="s">
        <v>2</v>
      </c>
      <c r="B52">
        <v>2065.89</v>
      </c>
      <c r="D52" s="3">
        <f>(B52-B48)/B48</f>
        <v>-4.4623280244802631E-3</v>
      </c>
    </row>
    <row r="54" spans="1:8" x14ac:dyDescent="0.3">
      <c r="A54" s="1">
        <v>42305</v>
      </c>
    </row>
    <row r="55" spans="1:8" x14ac:dyDescent="0.3">
      <c r="A55" t="s">
        <v>0</v>
      </c>
      <c r="B55" s="2">
        <v>42271.03</v>
      </c>
      <c r="C55" s="3"/>
      <c r="D55" s="3">
        <f>(B55-B51)/B51</f>
        <v>9.5475989974984458E-3</v>
      </c>
      <c r="F55" t="s">
        <v>5</v>
      </c>
      <c r="G55" s="2">
        <v>31428.05</v>
      </c>
      <c r="H55" s="3">
        <f>(G55-G51)/G51</f>
        <v>1.32213766544855E-2</v>
      </c>
    </row>
    <row r="56" spans="1:8" x14ac:dyDescent="0.3">
      <c r="A56" t="s">
        <v>2</v>
      </c>
      <c r="B56">
        <v>2090.35</v>
      </c>
      <c r="D56" s="3">
        <f>(B56-B52)/B52</f>
        <v>1.1839933394324015E-2</v>
      </c>
    </row>
    <row r="58" spans="1:8" x14ac:dyDescent="0.3">
      <c r="A58" s="1">
        <v>42307</v>
      </c>
    </row>
    <row r="59" spans="1:8" x14ac:dyDescent="0.3">
      <c r="A59" t="s">
        <v>0</v>
      </c>
      <c r="B59" s="2">
        <v>42062.43</v>
      </c>
      <c r="C59" s="3"/>
      <c r="D59" s="3">
        <f>(B59-B55)/B55</f>
        <v>-4.9348217916620092E-3</v>
      </c>
      <c r="F59" t="s">
        <v>5</v>
      </c>
      <c r="G59" s="2">
        <v>30648.21</v>
      </c>
      <c r="H59" s="3">
        <f>(G59-G55)/G55</f>
        <v>-2.4813502587656574E-2</v>
      </c>
    </row>
    <row r="60" spans="1:8" x14ac:dyDescent="0.3">
      <c r="A60" t="s">
        <v>2</v>
      </c>
      <c r="B60">
        <v>2079.36</v>
      </c>
      <c r="D60" s="3">
        <f>(B60-B56)/B56</f>
        <v>-5.257492764369499E-3</v>
      </c>
    </row>
    <row r="62" spans="1:8" x14ac:dyDescent="0.3">
      <c r="A62" s="1">
        <v>42310</v>
      </c>
    </row>
    <row r="63" spans="1:8" x14ac:dyDescent="0.3">
      <c r="A63" t="s">
        <v>0</v>
      </c>
      <c r="B63" s="6">
        <v>42455.74</v>
      </c>
      <c r="C63" s="7"/>
      <c r="D63" s="3">
        <f>(B63-B59)/B59</f>
        <v>9.3506247736994189E-3</v>
      </c>
      <c r="F63" t="s">
        <v>5</v>
      </c>
      <c r="G63" s="2">
        <v>31526.17</v>
      </c>
      <c r="H63" s="3">
        <f>(G63-G59)/G59</f>
        <v>2.8646371191009171E-2</v>
      </c>
    </row>
    <row r="64" spans="1:8" x14ac:dyDescent="0.3">
      <c r="A64" t="s">
        <v>2</v>
      </c>
      <c r="B64">
        <v>2104.5</v>
      </c>
      <c r="D64" s="3">
        <f>(B64-B60)/B60</f>
        <v>1.2090258541089504E-2</v>
      </c>
    </row>
    <row r="66" spans="1:8" x14ac:dyDescent="0.3">
      <c r="A66" s="1">
        <v>42311</v>
      </c>
    </row>
    <row r="67" spans="1:8" x14ac:dyDescent="0.3">
      <c r="A67" t="s">
        <v>0</v>
      </c>
      <c r="B67" s="6">
        <v>42461.25</v>
      </c>
      <c r="C67" s="7"/>
      <c r="D67" s="3">
        <f>(B67-B63)/B63</f>
        <v>1.297822155497004E-4</v>
      </c>
      <c r="F67" t="s">
        <v>5</v>
      </c>
      <c r="G67" s="2">
        <v>31580.44</v>
      </c>
      <c r="H67" s="3">
        <f>(G67-G63)/G63</f>
        <v>1.7214269922416975E-3</v>
      </c>
    </row>
    <row r="68" spans="1:8" x14ac:dyDescent="0.3">
      <c r="A68" t="s">
        <v>2</v>
      </c>
      <c r="B68">
        <v>2109.79</v>
      </c>
      <c r="D68" s="3">
        <f>(B68-B64)/B64</f>
        <v>2.513661202185775E-3</v>
      </c>
    </row>
    <row r="70" spans="1:8" x14ac:dyDescent="0.3">
      <c r="A70" s="1">
        <v>42314</v>
      </c>
    </row>
    <row r="71" spans="1:8" x14ac:dyDescent="0.3">
      <c r="A71" t="s">
        <v>0</v>
      </c>
      <c r="B71" s="6">
        <v>42280.14</v>
      </c>
      <c r="C71" s="7"/>
      <c r="D71" s="3">
        <f>(B71-B67)/B67</f>
        <v>-4.2653007153581344E-3</v>
      </c>
      <c r="F71" t="s">
        <v>5</v>
      </c>
      <c r="G71" s="2">
        <v>31335.96</v>
      </c>
      <c r="H71" s="3">
        <f>(G71-G67)/G67</f>
        <v>-7.741500751731121E-3</v>
      </c>
    </row>
    <row r="72" spans="1:8" x14ac:dyDescent="0.3">
      <c r="A72" t="s">
        <v>2</v>
      </c>
      <c r="B72">
        <v>2099.1999999999998</v>
      </c>
      <c r="D72" s="3">
        <f>(B72-B68)/B68</f>
        <v>-5.019456912773378E-3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PNC Bank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Sultan</dc:creator>
  <cp:lastModifiedBy>Awais Sultan</cp:lastModifiedBy>
  <dcterms:created xsi:type="dcterms:W3CDTF">2015-09-25T22:02:05Z</dcterms:created>
  <dcterms:modified xsi:type="dcterms:W3CDTF">2015-11-09T22:29:35Z</dcterms:modified>
</cp:coreProperties>
</file>