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XSULT1\Documents\AXSULT1-Workspace\Personal-Documents\CarryForward\Budget\"/>
    </mc:Choice>
  </mc:AlternateContent>
  <bookViews>
    <workbookView xWindow="0" yWindow="456" windowWidth="28800" windowHeight="17460" firstSheet="2" activeTab="9"/>
  </bookViews>
  <sheets>
    <sheet name="053015" sheetId="1" r:id="rId1"/>
    <sheet name="temp" sheetId="3" r:id="rId2"/>
    <sheet name="011116" sheetId="2" r:id="rId3"/>
    <sheet name="032116" sheetId="4" r:id="rId4"/>
    <sheet name="110716" sheetId="5" r:id="rId5"/>
    <sheet name="060117" sheetId="7" r:id="rId6"/>
    <sheet name="Sheet1" sheetId="8" r:id="rId7"/>
    <sheet name="081017" sheetId="6" r:id="rId8"/>
    <sheet name="010418" sheetId="9" r:id="rId9"/>
    <sheet name="Ref No" sheetId="10" r:id="rId10"/>
  </sheet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calcChain.xml><?xml version="1.0" encoding="utf-8"?>
<calcChain xmlns="http://schemas.openxmlformats.org/spreadsheetml/2006/main">
  <c r="B124" i="9" l="1"/>
  <c r="B114" i="9"/>
  <c r="B122" i="9"/>
  <c r="C112" i="9"/>
  <c r="B119" i="9" l="1"/>
  <c r="B118" i="9"/>
  <c r="B117" i="9"/>
  <c r="B116" i="9"/>
  <c r="H51" i="9"/>
  <c r="E60" i="9"/>
  <c r="E59" i="9"/>
  <c r="E58" i="9"/>
  <c r="E57" i="9"/>
  <c r="E55" i="9"/>
  <c r="E54" i="9"/>
  <c r="E53" i="9"/>
  <c r="E52" i="9"/>
  <c r="E51" i="9"/>
  <c r="H42" i="9"/>
  <c r="I42" i="9" s="1"/>
  <c r="H44" i="9"/>
  <c r="I44" i="9" s="1"/>
  <c r="H43" i="9"/>
  <c r="I43" i="9" s="1"/>
  <c r="E100" i="9" l="1"/>
  <c r="D100" i="9"/>
  <c r="G100" i="9"/>
  <c r="I100" i="9" l="1"/>
  <c r="H100" i="9"/>
  <c r="B78" i="9"/>
  <c r="E101" i="9"/>
  <c r="D101" i="9"/>
  <c r="E98" i="9"/>
  <c r="G99" i="9"/>
  <c r="E99" i="9"/>
  <c r="D99" i="9"/>
  <c r="D98" i="9"/>
  <c r="G98" i="9"/>
  <c r="I98" i="9" s="1"/>
  <c r="H13" i="9"/>
  <c r="H25" i="9" s="1"/>
  <c r="C102" i="9"/>
  <c r="D95" i="9"/>
  <c r="D96" i="9"/>
  <c r="D97" i="9"/>
  <c r="D102" i="9" s="1"/>
  <c r="G95" i="9"/>
  <c r="E95" i="9"/>
  <c r="G96" i="9"/>
  <c r="E96" i="9"/>
  <c r="E102" i="9" s="1"/>
  <c r="G97" i="9"/>
  <c r="E97" i="9"/>
  <c r="G101" i="9"/>
  <c r="H95" i="9"/>
  <c r="F102" i="9"/>
  <c r="E62" i="9"/>
  <c r="E63" i="9"/>
  <c r="E64" i="9"/>
  <c r="E65" i="9"/>
  <c r="B83" i="9"/>
  <c r="H45" i="9"/>
  <c r="H46" i="9"/>
  <c r="I46" i="9" s="1"/>
  <c r="H47" i="9"/>
  <c r="H48" i="9"/>
  <c r="I48" i="9" s="1"/>
  <c r="H49" i="9"/>
  <c r="H50" i="9"/>
  <c r="B82" i="9"/>
  <c r="B85" i="9"/>
  <c r="G51" i="9"/>
  <c r="I50" i="9"/>
  <c r="I49" i="9"/>
  <c r="I45" i="9"/>
  <c r="E37" i="9"/>
  <c r="E36" i="9"/>
  <c r="H17" i="9"/>
  <c r="H21" i="9"/>
  <c r="H24" i="9"/>
  <c r="E50" i="6"/>
  <c r="E55" i="6"/>
  <c r="E51" i="6"/>
  <c r="E56" i="6"/>
  <c r="E52" i="6"/>
  <c r="E57" i="6"/>
  <c r="E53" i="6"/>
  <c r="E58" i="6"/>
  <c r="E59" i="6"/>
  <c r="B74" i="6"/>
  <c r="B95" i="6"/>
  <c r="H38" i="6"/>
  <c r="H39" i="6"/>
  <c r="H40" i="6"/>
  <c r="H41" i="6"/>
  <c r="H42" i="6"/>
  <c r="H43" i="6"/>
  <c r="H44" i="6"/>
  <c r="B79" i="6"/>
  <c r="B80" i="6"/>
  <c r="B98" i="6"/>
  <c r="B100" i="6"/>
  <c r="C93" i="6"/>
  <c r="B101" i="6"/>
  <c r="B103" i="6"/>
  <c r="G85" i="6"/>
  <c r="H85" i="6"/>
  <c r="G86" i="6"/>
  <c r="F86" i="6"/>
  <c r="B76" i="6"/>
  <c r="E44" i="6"/>
  <c r="B73" i="6"/>
  <c r="B75" i="6"/>
  <c r="B78" i="6"/>
  <c r="B77" i="6"/>
  <c r="F242" i="7"/>
  <c r="D237" i="7"/>
  <c r="G237" i="7"/>
  <c r="H237" i="7"/>
  <c r="D238" i="7"/>
  <c r="G238" i="7"/>
  <c r="H238" i="7"/>
  <c r="D239" i="7"/>
  <c r="G239" i="7"/>
  <c r="H239" i="7"/>
  <c r="D240" i="7"/>
  <c r="G240" i="7"/>
  <c r="H240" i="7"/>
  <c r="D241" i="7"/>
  <c r="G241" i="7"/>
  <c r="H241" i="7"/>
  <c r="H242" i="7"/>
  <c r="F243" i="7"/>
  <c r="G242" i="7"/>
  <c r="G243" i="7"/>
  <c r="B222" i="7"/>
  <c r="E180" i="7"/>
  <c r="B219" i="7"/>
  <c r="B221" i="7"/>
  <c r="B224" i="7"/>
  <c r="B223" i="7"/>
  <c r="B97" i="6"/>
  <c r="E237" i="7"/>
  <c r="I237" i="7"/>
  <c r="E238" i="7"/>
  <c r="I238" i="7"/>
  <c r="E239" i="7"/>
  <c r="I239" i="7"/>
  <c r="E240" i="7"/>
  <c r="I240" i="7"/>
  <c r="E241" i="7"/>
  <c r="I241" i="7"/>
  <c r="I242" i="7"/>
  <c r="E161" i="7"/>
  <c r="B244" i="7"/>
  <c r="B248" i="7"/>
  <c r="I85" i="6"/>
  <c r="E85" i="6"/>
  <c r="D85" i="6"/>
  <c r="E33" i="6"/>
  <c r="B69" i="6"/>
  <c r="E54" i="6"/>
  <c r="E45" i="6"/>
  <c r="E46" i="6"/>
  <c r="E47" i="6"/>
  <c r="E48" i="6"/>
  <c r="E49" i="6"/>
  <c r="I44" i="6"/>
  <c r="G44" i="6"/>
  <c r="I43" i="6"/>
  <c r="I42" i="6"/>
  <c r="I41" i="6"/>
  <c r="I40" i="6"/>
  <c r="I39" i="6"/>
  <c r="I38" i="6"/>
  <c r="E32" i="6"/>
  <c r="H11" i="6"/>
  <c r="H14" i="6"/>
  <c r="H17" i="6"/>
  <c r="H20" i="6"/>
  <c r="H21" i="6"/>
  <c r="E160" i="7"/>
  <c r="D242" i="7"/>
  <c r="E242" i="7"/>
  <c r="E235" i="7"/>
  <c r="F235" i="7"/>
  <c r="E186" i="7"/>
  <c r="E191" i="7"/>
  <c r="E187" i="7"/>
  <c r="E192" i="7"/>
  <c r="E188" i="7"/>
  <c r="E193" i="7"/>
  <c r="E189" i="7"/>
  <c r="E194" i="7"/>
  <c r="E195" i="7"/>
  <c r="E184" i="7"/>
  <c r="E183" i="7"/>
  <c r="E182" i="7"/>
  <c r="E181" i="7"/>
  <c r="E190" i="7"/>
  <c r="E185" i="7"/>
  <c r="H52" i="7"/>
  <c r="H60" i="7"/>
  <c r="H68" i="7"/>
  <c r="H75" i="7"/>
  <c r="H76" i="7"/>
  <c r="B215" i="7"/>
  <c r="H174" i="7"/>
  <c r="H170" i="7"/>
  <c r="H171" i="7"/>
  <c r="H172" i="7"/>
  <c r="H173" i="7"/>
  <c r="H175" i="7"/>
  <c r="H176" i="7"/>
  <c r="H177" i="7"/>
  <c r="H178" i="7"/>
  <c r="H179" i="7"/>
  <c r="H180" i="7"/>
  <c r="I180" i="7"/>
  <c r="G180" i="7"/>
  <c r="I179" i="7"/>
  <c r="I178" i="7"/>
  <c r="I177" i="7"/>
  <c r="I176" i="7"/>
  <c r="I175" i="7"/>
  <c r="I174" i="7"/>
  <c r="I173" i="7"/>
  <c r="I172" i="7"/>
  <c r="I171" i="7"/>
  <c r="I170" i="7"/>
  <c r="H166" i="7"/>
  <c r="I166" i="7"/>
  <c r="H167" i="7"/>
  <c r="I167" i="7"/>
  <c r="H168" i="7"/>
  <c r="I168" i="7"/>
  <c r="H133" i="5"/>
  <c r="I133" i="5"/>
  <c r="H132" i="5"/>
  <c r="I132" i="5"/>
  <c r="H131" i="5"/>
  <c r="I131" i="5"/>
  <c r="H88" i="2"/>
  <c r="I88" i="2"/>
  <c r="H90" i="2"/>
  <c r="I90" i="2"/>
  <c r="H91" i="2"/>
  <c r="I91" i="2"/>
  <c r="E92" i="2"/>
  <c r="G92" i="2"/>
  <c r="H92" i="2"/>
  <c r="I92" i="2"/>
  <c r="H93" i="2"/>
  <c r="I93" i="2"/>
  <c r="H94" i="2"/>
  <c r="I94" i="2"/>
  <c r="E95" i="2"/>
  <c r="G95" i="2"/>
  <c r="H95" i="2"/>
  <c r="I95" i="2"/>
  <c r="H96" i="2"/>
  <c r="I96" i="2"/>
  <c r="H97" i="2"/>
  <c r="I97" i="2"/>
  <c r="H98" i="2"/>
  <c r="I98" i="2"/>
  <c r="E99" i="2"/>
  <c r="G99" i="2"/>
  <c r="H99" i="2"/>
  <c r="I99" i="2"/>
  <c r="H100" i="2"/>
  <c r="I100" i="2"/>
  <c r="H101" i="2"/>
  <c r="I101" i="2"/>
  <c r="E102" i="2"/>
  <c r="G102" i="2"/>
  <c r="H102" i="2"/>
  <c r="I102" i="2"/>
  <c r="H89" i="2"/>
  <c r="H87" i="2"/>
  <c r="I87" i="2"/>
  <c r="E62" i="1"/>
  <c r="G62" i="1"/>
  <c r="I62" i="1"/>
  <c r="I63" i="1"/>
  <c r="I64" i="1"/>
  <c r="I65" i="1"/>
  <c r="I66" i="1"/>
  <c r="I67" i="1"/>
  <c r="I68" i="1"/>
  <c r="I99" i="9" l="1"/>
  <c r="I97" i="9"/>
  <c r="I96" i="9"/>
  <c r="H96" i="9"/>
  <c r="I95" i="9"/>
  <c r="E66" i="9"/>
  <c r="E56" i="9"/>
  <c r="B84" i="9"/>
  <c r="B86" i="9"/>
  <c r="H97" i="9"/>
  <c r="H98" i="9"/>
  <c r="H99" i="9"/>
  <c r="E61" i="9"/>
  <c r="B88" i="9"/>
  <c r="B89" i="9" s="1"/>
  <c r="G102" i="9"/>
  <c r="I101" i="9"/>
  <c r="I102" i="9" s="1"/>
  <c r="I47" i="9"/>
  <c r="H101" i="9"/>
  <c r="I51" i="9" l="1"/>
  <c r="H102" i="9"/>
  <c r="F103" i="9" s="1"/>
  <c r="B87" i="9"/>
  <c r="G103" i="9" l="1"/>
</calcChain>
</file>

<file path=xl/comments1.xml><?xml version="1.0" encoding="utf-8"?>
<comments xmlns="http://schemas.openxmlformats.org/spreadsheetml/2006/main">
  <authors>
    <author>Awais Sultan</author>
  </authors>
  <commentList>
    <comment ref="D13" authorId="0" shapeId="0">
      <text>
        <r>
          <rPr>
            <b/>
            <sz val="9"/>
            <color indexed="81"/>
            <rFont val="Tahoma"/>
            <family val="2"/>
          </rPr>
          <t>Awais Sultan:</t>
        </r>
        <r>
          <rPr>
            <sz val="9"/>
            <color indexed="81"/>
            <rFont val="Tahoma"/>
            <family val="2"/>
          </rPr>
          <t xml:space="preserve">
Constituent Charges may have been:
15
206.1
103.24
1470.3
42.53
193.57
278.24
158.34
55.14
64.76</t>
        </r>
      </text>
    </comment>
    <comment ref="D14" authorId="0" shapeId="0">
      <text>
        <r>
          <rPr>
            <b/>
            <sz val="9"/>
            <color indexed="81"/>
            <rFont val="Tahoma"/>
            <family val="2"/>
          </rPr>
          <t>Awais Sultan:</t>
        </r>
        <r>
          <rPr>
            <sz val="9"/>
            <color indexed="81"/>
            <rFont val="Tahoma"/>
            <family val="2"/>
          </rPr>
          <t xml:space="preserve">
Constituent charges may have been:
994.95
903.6
55.37
35.98</t>
        </r>
      </text>
    </comment>
  </commentList>
</comments>
</file>

<file path=xl/comments2.xml><?xml version="1.0" encoding="utf-8"?>
<comments xmlns="http://schemas.openxmlformats.org/spreadsheetml/2006/main">
  <authors>
    <author>Awais Sultan</author>
  </authors>
  <commentList>
    <comment ref="D13" authorId="0" shapeId="0">
      <text>
        <r>
          <rPr>
            <b/>
            <sz val="9"/>
            <color indexed="81"/>
            <rFont val="Tahoma"/>
            <family val="2"/>
          </rPr>
          <t>Awais Sultan:</t>
        </r>
        <r>
          <rPr>
            <sz val="9"/>
            <color indexed="81"/>
            <rFont val="Tahoma"/>
            <family val="2"/>
          </rPr>
          <t xml:space="preserve">
Constituent Charges may have been:
15
206.1
103.24
1470.3
42.53
193.57
278.24
158.34
55.14
64.76</t>
        </r>
      </text>
    </comment>
    <comment ref="D14" authorId="0" shapeId="0">
      <text>
        <r>
          <rPr>
            <b/>
            <sz val="9"/>
            <color indexed="81"/>
            <rFont val="Tahoma"/>
            <family val="2"/>
          </rPr>
          <t>Awais Sultan:</t>
        </r>
        <r>
          <rPr>
            <sz val="9"/>
            <color indexed="81"/>
            <rFont val="Tahoma"/>
            <family val="2"/>
          </rPr>
          <t xml:space="preserve">
Constituent charges may have been:
994.95
903.6
55.37
35.98</t>
        </r>
      </text>
    </comment>
  </commentList>
</comments>
</file>

<file path=xl/sharedStrings.xml><?xml version="1.0" encoding="utf-8"?>
<sst xmlns="http://schemas.openxmlformats.org/spreadsheetml/2006/main" count="1892" uniqueCount="441">
  <si>
    <t>DOS</t>
  </si>
  <si>
    <t>Reason</t>
  </si>
  <si>
    <t>Awais Sultan</t>
  </si>
  <si>
    <t xml:space="preserve">Details from Clevelandclinic </t>
  </si>
  <si>
    <t>CC charges</t>
  </si>
  <si>
    <t>Billed to Insurance</t>
  </si>
  <si>
    <t>Billed to me</t>
  </si>
  <si>
    <t>Finger Injury</t>
  </si>
  <si>
    <t>Paid by Me (co pay)</t>
  </si>
  <si>
    <t>Payments History</t>
  </si>
  <si>
    <t>Date</t>
  </si>
  <si>
    <t>Paid to Cleveland</t>
  </si>
  <si>
    <t>Paid to revenue group</t>
  </si>
  <si>
    <t>$25 (by mail, not confirmed)</t>
  </si>
  <si>
    <t>Mekael J. Sultan</t>
  </si>
  <si>
    <t>Insurance Adjustment</t>
  </si>
  <si>
    <t>Saliha Awais</t>
  </si>
  <si>
    <t>Headache</t>
  </si>
  <si>
    <t>Dania A. Sultan</t>
  </si>
  <si>
    <t>Eye Infection</t>
  </si>
  <si>
    <t>Vomited several times and in school.</t>
  </si>
  <si>
    <t>Three year visit</t>
  </si>
  <si>
    <t>11/21/14 - 
11/25/14 (CT scan)</t>
  </si>
  <si>
    <t>To Collection Agency</t>
  </si>
  <si>
    <t>JP Recovery Services</t>
  </si>
  <si>
    <t>Contact Info:</t>
  </si>
  <si>
    <t>1,169 (JP Recovery Services
on 04/29/15. Now 324.03 CC rem)</t>
  </si>
  <si>
    <t> Apr 28, 2015</t>
  </si>
  <si>
    <t> Apr 13, 2015</t>
  </si>
  <si>
    <t>Date of Service</t>
  </si>
  <si>
    <t xml:space="preserve">Details from BCBS Medical Insurance </t>
  </si>
  <si>
    <t>Dania Sultan</t>
  </si>
  <si>
    <t> $95.00 </t>
  </si>
  <si>
    <t>  $0.00  </t>
  </si>
  <si>
    <t> Mar 21, 2015</t>
  </si>
  <si>
    <t> $213.00 </t>
  </si>
  <si>
    <t>  $79.76  </t>
  </si>
  <si>
    <t> Dec 19, 2014</t>
  </si>
  <si>
    <t> $78.00 </t>
  </si>
  <si>
    <t> $275.00 </t>
  </si>
  <si>
    <t>Patient Name</t>
  </si>
  <si>
    <t>Date of Birth</t>
  </si>
  <si>
    <t>Total Charge</t>
  </si>
  <si>
    <t>Subscriber Liability</t>
  </si>
  <si>
    <t>Provider Name</t>
  </si>
  <si>
    <t>Claim Number</t>
  </si>
  <si>
    <t> $368.00 </t>
  </si>
  <si>
    <t>  $158.34  </t>
  </si>
  <si>
    <t>Cleveland Clinic</t>
  </si>
  <si>
    <t>  20151281886800</t>
  </si>
  <si>
    <t>Cleveland Clinic Foundation</t>
  </si>
  <si>
    <t>  27151211092700</t>
  </si>
  <si>
    <t> $56.00 </t>
  </si>
  <si>
    <t>  $42.08  </t>
  </si>
  <si>
    <t>  27151253007400</t>
  </si>
  <si>
    <t>Mekael Sultan</t>
  </si>
  <si>
    <t> $232.00 </t>
  </si>
  <si>
    <t>  $55.14  </t>
  </si>
  <si>
    <t>  20151131388800</t>
  </si>
  <si>
    <t>  26151118964500</t>
  </si>
  <si>
    <t>  20150921492600</t>
  </si>
  <si>
    <t>  27150840596600</t>
  </si>
  <si>
    <t>  20143650731300</t>
  </si>
  <si>
    <t>  27143580617000</t>
  </si>
  <si>
    <t>Status*</t>
  </si>
  <si>
    <t>  Pending</t>
  </si>
  <si>
    <t>  Processed</t>
  </si>
  <si>
    <t> Nov 25, 2014</t>
  </si>
  <si>
    <t> $1,169.00 </t>
  </si>
  <si>
    <t>  $1,169.00  </t>
  </si>
  <si>
    <t>  20143390926400</t>
  </si>
  <si>
    <t> $281.00 </t>
  </si>
  <si>
    <t>  $206.10  </t>
  </si>
  <si>
    <t>  26143354760600</t>
  </si>
  <si>
    <t> Nov 21, 2014</t>
  </si>
  <si>
    <t> $91.00 </t>
  </si>
  <si>
    <t>  20143370802400</t>
  </si>
  <si>
    <t> $329.00 </t>
  </si>
  <si>
    <t>  $117.93  </t>
  </si>
  <si>
    <t>  26143307436500</t>
  </si>
  <si>
    <t xml:space="preserve">Details from HR Concepts </t>
  </si>
  <si>
    <t>Status</t>
  </si>
  <si>
    <t>Recipient</t>
  </si>
  <si>
    <t>Claim Amount</t>
  </si>
  <si>
    <t>Paid Amount</t>
  </si>
  <si>
    <t>Paid</t>
  </si>
  <si>
    <t>Total Claim</t>
  </si>
  <si>
    <t>Total Paid</t>
  </si>
  <si>
    <t>Charged to Me</t>
  </si>
  <si>
    <t>Bank Account Credits from HR</t>
  </si>
  <si>
    <t>Amount</t>
  </si>
  <si>
    <t>Paid 1110.55 for 1169 charge (5% discount)</t>
  </si>
  <si>
    <t>CT Scan for Headspins</t>
  </si>
  <si>
    <t>Doctor visit for Headspins</t>
  </si>
  <si>
    <t>Insurance Adjustment/Payment</t>
  </si>
  <si>
    <t>15 (Was check sent by CC on this? As this seems to be refunded. Confirm.</t>
  </si>
  <si>
    <t>ENT Doctor</t>
  </si>
  <si>
    <t>Audiology test in Strgvl</t>
  </si>
  <si>
    <t>Ear Balance Test</t>
  </si>
  <si>
    <t>Neurology</t>
  </si>
  <si>
    <t>Flu Shot</t>
  </si>
  <si>
    <t>Physical for 5 yrs and Flu Shot</t>
  </si>
  <si>
    <t>Blood test for UIC</t>
  </si>
  <si>
    <t>Four year physical</t>
  </si>
  <si>
    <t> Dec 09, 2015</t>
  </si>
  <si>
    <t> Dec 01, 2015</t>
  </si>
  <si>
    <t> $1,610.00 </t>
  </si>
  <si>
    <t> $1,596.00 </t>
  </si>
  <si>
    <t> Nov 04, 2015</t>
  </si>
  <si>
    <t> $111.00 </t>
  </si>
  <si>
    <t> $57.00 </t>
  </si>
  <si>
    <t>  20153553254600</t>
  </si>
  <si>
    <t>  26153497893200</t>
  </si>
  <si>
    <t>  $1,610.00  </t>
  </si>
  <si>
    <t>Ohio Anesthesia Group Inc</t>
  </si>
  <si>
    <t>  27153571680700</t>
  </si>
  <si>
    <t>  $1,596.00  </t>
  </si>
  <si>
    <t>  27153571680800</t>
  </si>
  <si>
    <t>  20153211590700</t>
  </si>
  <si>
    <t>  20153431874000</t>
  </si>
  <si>
    <t>  20153451711400</t>
  </si>
  <si>
    <t> $315.00 </t>
  </si>
  <si>
    <t>  27153141872800</t>
  </si>
  <si>
    <t> Aug 27, 2015</t>
  </si>
  <si>
    <t>  20152541313300</t>
  </si>
  <si>
    <t> $695.00 </t>
  </si>
  <si>
    <t>  $15.00  </t>
  </si>
  <si>
    <t>  27152470139900</t>
  </si>
  <si>
    <t> Aug 13, 2015</t>
  </si>
  <si>
    <t> $313.00 </t>
  </si>
  <si>
    <t>  20152371812200</t>
  </si>
  <si>
    <t>  26152308886200</t>
  </si>
  <si>
    <t> Jul 24, 2015</t>
  </si>
  <si>
    <t> $279.00 </t>
  </si>
  <si>
    <t>  20152171260400</t>
  </si>
  <si>
    <t> $291.00 </t>
  </si>
  <si>
    <t>  $176.46  </t>
  </si>
  <si>
    <t>  27152100319900</t>
  </si>
  <si>
    <t>  27152100320100</t>
  </si>
  <si>
    <t> Jul 23, 2015</t>
  </si>
  <si>
    <t> $840.00 </t>
  </si>
  <si>
    <t>  $147.00  </t>
  </si>
  <si>
    <t>  27152590610500</t>
  </si>
  <si>
    <t> Jul 16, 2015</t>
  </si>
  <si>
    <t> $2,535.00 </t>
  </si>
  <si>
    <t>  $1,470.30  </t>
  </si>
  <si>
    <t>  20152101656200</t>
  </si>
  <si>
    <t> Jul 09, 2015</t>
  </si>
  <si>
    <t> $178.00 </t>
  </si>
  <si>
    <t>  $103.24  </t>
  </si>
  <si>
    <t>  20152021176000</t>
  </si>
  <si>
    <t> $934.00 </t>
  </si>
  <si>
    <t>  $250.00  </t>
  </si>
  <si>
    <t>  27151950136900</t>
  </si>
  <si>
    <t> May 22, 2015</t>
  </si>
  <si>
    <t> $2,216.00 </t>
  </si>
  <si>
    <t>  $1,050.97  </t>
  </si>
  <si>
    <t>  20151531291300</t>
  </si>
  <si>
    <t>  27151494445000</t>
  </si>
  <si>
    <t> May 13, 2015</t>
  </si>
  <si>
    <t>  20151742196000</t>
  </si>
  <si>
    <t>  27151691552800</t>
  </si>
  <si>
    <t>  20153431875700</t>
  </si>
  <si>
    <t> Oct 27, 2015</t>
  </si>
  <si>
    <t> $456.00 </t>
  </si>
  <si>
    <t>  20153141871200</t>
  </si>
  <si>
    <t>Expense</t>
  </si>
  <si>
    <t>Recipient/Patient</t>
  </si>
  <si>
    <t>Merchant/Provider</t>
  </si>
  <si>
    <t>Submitted Amount</t>
  </si>
  <si>
    <t>Pay</t>
  </si>
  <si>
    <t>Medical</t>
  </si>
  <si>
    <t>CLEVELAND CLINIC FOUNDATION</t>
  </si>
  <si>
    <t>CLEVELAND CLINIC</t>
  </si>
  <si>
    <t>Partially Paid</t>
  </si>
  <si>
    <t>Charged To Me</t>
  </si>
  <si>
    <t>% on me</t>
  </si>
  <si>
    <t>$25 (by mail, confirmed)</t>
  </si>
  <si>
    <t>For 2029.64</t>
  </si>
  <si>
    <t>could be for 1157.91</t>
  </si>
  <si>
    <t>------</t>
  </si>
  <si>
    <t>21299728 ref #</t>
  </si>
  <si>
    <t>Confirmation number: 1089213453 Approved</t>
  </si>
  <si>
    <t>Paid to Debt Collector</t>
  </si>
  <si>
    <t>176.46 + 132 + 15=323.46</t>
  </si>
  <si>
    <t>Service date</t>
  </si>
  <si>
    <t>Patient name</t>
  </si>
  <si>
    <t>Provider/Pharmacy Name</t>
  </si>
  <si>
    <t>Service type</t>
  </si>
  <si>
    <t>What you owe</t>
  </si>
  <si>
    <t>Amount your health care provider charged</t>
  </si>
  <si>
    <t>Mekael</t>
  </si>
  <si>
    <t>SINDHU A KURIAN M.D.</t>
  </si>
  <si>
    <t>Complete</t>
  </si>
  <si>
    <t>VICKI R SAMUELS M.D.</t>
  </si>
  <si>
    <t>KINZY KANISHA FRIZZLE O.D.</t>
  </si>
  <si>
    <t>CATHERINE ANGLE APH</t>
  </si>
  <si>
    <t>SPECIALTY DENTAL PARTNERS OF OHIO IN</t>
  </si>
  <si>
    <t>Dental</t>
  </si>
  <si>
    <t>ROBERT PUJOLAS DO</t>
  </si>
  <si>
    <t>JAY R BLACKMUR AA</t>
  </si>
  <si>
    <t>ANNE KAESGEN MD</t>
  </si>
  <si>
    <t>COURTNEY NOLAN DO</t>
  </si>
  <si>
    <t>Dania</t>
  </si>
  <si>
    <t>CVS</t>
  </si>
  <si>
    <t>Pharmacy</t>
  </si>
  <si>
    <t>Awais</t>
  </si>
  <si>
    <t>TARGET PHARMACY</t>
  </si>
  <si>
    <t>CHRISTINA E MARSHALL PA-C</t>
  </si>
  <si>
    <t>WAL-MART</t>
  </si>
  <si>
    <t>ANDREY SASHA STOJIC M.D., PHD</t>
  </si>
  <si>
    <t>VALERIE PAVLOVICH-RUFF AUD</t>
  </si>
  <si>
    <t>STEVEN S BALL MD</t>
  </si>
  <si>
    <t>JUDITH A WHITE MD</t>
  </si>
  <si>
    <t>VIRGINIA BOYCE HILL MD</t>
  </si>
  <si>
    <t>KIM GLADDEN M.D.</t>
  </si>
  <si>
    <t>PATRICK J O'KEEFE MD</t>
  </si>
  <si>
    <t>Saliha</t>
  </si>
  <si>
    <t>JAWAD TSAY M.D.</t>
  </si>
  <si>
    <t>SATTI S REDDY MD</t>
  </si>
  <si>
    <t>In 162 Payment</t>
  </si>
  <si>
    <t>In 176.46 Payment</t>
  </si>
  <si>
    <t>NORTHWESTERN MEDICAL FAC FDN</t>
  </si>
  <si>
    <t>NWM, CoPay</t>
  </si>
  <si>
    <t>CoPay</t>
  </si>
  <si>
    <t>HR 7/12/2016</t>
  </si>
  <si>
    <t>HR 3/15/2016, 03/15/2016</t>
  </si>
  <si>
    <t>How tied to next section</t>
  </si>
  <si>
    <t>Revenue Group. For 265.18, 15, 1257.07, 338.34, 1470.3, 119.9</t>
  </si>
  <si>
    <t>Revenue Group. 
Original amount could be 1157.91. For 265.18, 15, 1257.07, 338.34, 1470.3, 119.9</t>
  </si>
  <si>
    <t>Revenue Group
Original Amount 2029.64 . For 265.18, 15, 1257.07, 338.34, 1470.3, 119.9</t>
  </si>
  <si>
    <t>Harris &amp; Harris Collection agency</t>
  </si>
  <si>
    <t>1-800-362-0097</t>
  </si>
  <si>
    <t>1-888-404-3721</t>
  </si>
  <si>
    <t>Paid to Cleveland/NWM</t>
  </si>
  <si>
    <t>Details from Clevelandclinic \NWM</t>
  </si>
  <si>
    <t>Flu picked from son. Went to NWM first time and it was the far clinic (Dr. Marshall)</t>
  </si>
  <si>
    <t>Charges</t>
  </si>
  <si>
    <t>15 but paid directly to hospital</t>
  </si>
  <si>
    <t>Stomach pinch. Dr. vicki</t>
  </si>
  <si>
    <t>Flu picked from mother. Went to NWM first time and it was the far clinic (Dr. Marshall)</t>
  </si>
  <si>
    <t>182.11
Should have been 162.11 (please see ins adj/paymt sec)
Asked NWM to fix this</t>
  </si>
  <si>
    <t>102.32 but paid directly to  hospital</t>
  </si>
  <si>
    <t>6 year physical</t>
  </si>
  <si>
    <t>357.89 
Should hv been 377.89. 313.96 was adj and 43.93 was payment. Adj should have been 333.96
As allowed amount by insurance was 221.04 but it was considered as 201.04</t>
  </si>
  <si>
    <t>463
Should hv been 483. 237.89 was adj and 225.11 was payment. Adj should have been 257.89
As allowed amount by insurance was 225.11 but it was considered as 205.11</t>
  </si>
  <si>
    <t>20
Should have been 0 (please see ins adj/paymt sec)
Asked NWM to fix this</t>
  </si>
  <si>
    <t>Flu. Went to NWM first time and it was the far clinic (Dr. Marshall)</t>
  </si>
  <si>
    <t>A1</t>
  </si>
  <si>
    <t>A2</t>
  </si>
  <si>
    <t>A3</t>
  </si>
  <si>
    <t>A4</t>
  </si>
  <si>
    <t>A5</t>
  </si>
  <si>
    <t>A6</t>
  </si>
  <si>
    <t>A7</t>
  </si>
  <si>
    <t>A8</t>
  </si>
  <si>
    <t>A9</t>
  </si>
  <si>
    <t>A10</t>
  </si>
  <si>
    <t>A11</t>
  </si>
  <si>
    <t>M1</t>
  </si>
  <si>
    <t>M2</t>
  </si>
  <si>
    <t>M3</t>
  </si>
  <si>
    <t>M4</t>
  </si>
  <si>
    <t>D1</t>
  </si>
  <si>
    <t>D2</t>
  </si>
  <si>
    <t>S1</t>
  </si>
  <si>
    <t>S2</t>
  </si>
  <si>
    <t>S3</t>
  </si>
  <si>
    <t>Harris &amp; Harris Collection agency
Conf number: T71807014
For S3</t>
  </si>
  <si>
    <t>In August</t>
  </si>
  <si>
    <t>NWM
Conf no: 01460b
For M3</t>
  </si>
  <si>
    <t>Medical Payments Made</t>
  </si>
  <si>
    <t>Evaluation Date</t>
  </si>
  <si>
    <t>A12</t>
  </si>
  <si>
    <t>Stomach pinch. Dr. vicki. Follow up</t>
  </si>
  <si>
    <t>NWM
Conf no: 02762b
15 For  A10
162.11 For A12
20 dollar discrepancy in A11 is notified to NWM on same call
20 dollar discrepancy in M4 is notified to NWM on same call</t>
  </si>
  <si>
    <t>Revenue Group for 07/23/15
07/23 and 07/24 are for same Dr. visit.</t>
  </si>
  <si>
    <r>
      <t xml:space="preserve">Revenue Group
conf number: 11940932 or 1232235221
Reference # 23904911    15   08/27/15
Reference # 25889727    15   07/23/15
Reference # 25889726   132   07/23/15
</t>
    </r>
    <r>
      <rPr>
        <sz val="11"/>
        <color rgb="FFFF0000"/>
        <rFont val="Calibri"/>
        <family val="2"/>
        <scheme val="minor"/>
      </rPr>
      <t>Check why it is not appearing in HR?</t>
    </r>
  </si>
  <si>
    <t>Hr should have covered 80% of 147 out of this amount</t>
  </si>
  <si>
    <t>NWM. 15 dollar CoPay and rest of it is in 177.11 payment.</t>
  </si>
  <si>
    <t>NWM, In 177.11 payment.</t>
  </si>
  <si>
    <t>NWM, In 173.81 payment.</t>
  </si>
  <si>
    <t>NWM. In 102.32 payment.</t>
  </si>
  <si>
    <t>Paid by Me on visit (co pay)</t>
  </si>
  <si>
    <t xml:space="preserve">Final Payment by Me </t>
  </si>
  <si>
    <t>A13</t>
  </si>
  <si>
    <t>1 yr Physical</t>
  </si>
  <si>
    <t>15 (Was check sent by CC on this? As this seems to be refunded)
Confirm.</t>
  </si>
  <si>
    <t>Flu picked up from sister.</t>
  </si>
  <si>
    <t>M5</t>
  </si>
  <si>
    <t>D3</t>
  </si>
  <si>
    <t>Flu Urgent Care</t>
  </si>
  <si>
    <t>D4</t>
  </si>
  <si>
    <t>D5</t>
  </si>
  <si>
    <t>Flu Hospital Emergency.</t>
  </si>
  <si>
    <t>Flu Hospital Emergency. Dr checkup.</t>
  </si>
  <si>
    <t>S4</t>
  </si>
  <si>
    <t>AWAIS, SULTAN</t>
  </si>
  <si>
    <t>DANIA, SULTAN</t>
  </si>
  <si>
    <t>MEKAEL, SULTAN</t>
  </si>
  <si>
    <t>PETER A LECHMAN M.D.</t>
  </si>
  <si>
    <t>ANN AND ROBERT H LURIE</t>
  </si>
  <si>
    <t>MICHAEL A. MALANDRA M.D.</t>
  </si>
  <si>
    <t>KIMBERLY ROSSIN PA</t>
  </si>
  <si>
    <t>Co-pay is part of deductible. BCBS confirms it.</t>
  </si>
  <si>
    <t>Should be 0 as this is 1 yr physical. BCBS record confirms it. BCBS covered all 605 as adjustment or payment.</t>
  </si>
  <si>
    <t>For M5. Co pay is part of deductible.</t>
  </si>
  <si>
    <t>X Ray</t>
  </si>
  <si>
    <t>For Teeth antiboitic.</t>
  </si>
  <si>
    <t>Dania antiboitic and nasal spray.</t>
  </si>
  <si>
    <t>For A 13. This shows amt charged to me should be 0.
Lab</t>
  </si>
  <si>
    <t>Integrated Medicine. 2nd Dr.</t>
  </si>
  <si>
    <t>Dania ear and nose infection.</t>
  </si>
  <si>
    <t>Awais sports medicine.</t>
  </si>
  <si>
    <t>Co pay is part of deductible.
Integrated Medicine 1st Dr.</t>
  </si>
  <si>
    <t>Dania 5 yr medical.</t>
  </si>
  <si>
    <t>THE PEDIATRIC FACULTY FOUND INC</t>
  </si>
  <si>
    <t>Missing in BCBS</t>
  </si>
  <si>
    <t>For D5</t>
  </si>
  <si>
    <t>For D4. Co pay is part of deductible.</t>
  </si>
  <si>
    <t>For D3. Co pay is part of deductible</t>
  </si>
  <si>
    <t>For A13. This shows amt charged to me should be 0.</t>
  </si>
  <si>
    <t>05/04 135.80, 05/04 56.90, 05/08 135.80, 05/09 206.68</t>
  </si>
  <si>
    <t>05/02 90.29</t>
  </si>
  <si>
    <t>01/30 90.29</t>
  </si>
  <si>
    <t>02/18 90.29, 02/12 155.84, 02/12 202.49, 02/12 45.69</t>
  </si>
  <si>
    <t>Total</t>
  </si>
  <si>
    <t>Total.
Paid 255 (Dania 35+150, Mekael 35, Awais 35).</t>
  </si>
  <si>
    <t>Total Amount already paid to NWM (co-pays etc.)</t>
  </si>
  <si>
    <t>Remaining balance for NWM</t>
  </si>
  <si>
    <t>HR Concepts shows it to be 20 dollar less. Missing in BCBS.
Should have been 0 as it is 1 yr physical.</t>
  </si>
  <si>
    <t>Resolved</t>
  </si>
  <si>
    <t>Dania Total</t>
  </si>
  <si>
    <t>Awais Total</t>
  </si>
  <si>
    <t>Saliha Total</t>
  </si>
  <si>
    <t>Mekael Total</t>
  </si>
  <si>
    <t>NOT BILLED</t>
  </si>
  <si>
    <t>BILLED</t>
  </si>
  <si>
    <t>Awais billed Total</t>
  </si>
  <si>
    <t>Saliha billed Total</t>
  </si>
  <si>
    <t>Dania billed Total</t>
  </si>
  <si>
    <t>Mekael billed Total</t>
  </si>
  <si>
    <t>Total billed</t>
  </si>
  <si>
    <t>Awais Rem billed Inc Discrepancy Total</t>
  </si>
  <si>
    <t>Saliha Rem billed Inc Discrepancy Total</t>
  </si>
  <si>
    <t>Dania Rem billed Inc Discrepancy Total</t>
  </si>
  <si>
    <t>Mekael Rem billed Inc Discrepancy Total</t>
  </si>
  <si>
    <t>Total billed Inc Discrepancy</t>
  </si>
  <si>
    <t>$ 20 discrepancy</t>
  </si>
  <si>
    <t>$ 150 copay + $ 35 copay</t>
  </si>
  <si>
    <t>$35 copay</t>
  </si>
  <si>
    <t>Payments</t>
  </si>
  <si>
    <t>Co Payments Made</t>
  </si>
  <si>
    <t>What I paid Other than Copay</t>
  </si>
  <si>
    <t>Total I paid</t>
  </si>
  <si>
    <t>E173</t>
  </si>
  <si>
    <t>Medical Payments Submitted</t>
  </si>
  <si>
    <t>Discount I got</t>
  </si>
  <si>
    <t>I paid out of the pocket</t>
  </si>
  <si>
    <t>S4, 175 (Saliha 140.39)</t>
  </si>
  <si>
    <t xml:space="preserve">SUM(E169,E174), Payment Conf no. ACEA864BB </t>
  </si>
  <si>
    <t>SUM(E166,E168,E169,E170), Payment conf no. DAAB33943</t>
  </si>
  <si>
    <t>E171, Payment Conf no. 6A08CD351</t>
  </si>
  <si>
    <t>E172, Payment Conf no. 047236</t>
  </si>
  <si>
    <t>SALIHA, AWAIS</t>
  </si>
  <si>
    <t>Pharmacy Total Paid</t>
  </si>
  <si>
    <t>Total I Paid inc pharmacy</t>
  </si>
  <si>
    <t>LESLIE JAY BLOCK MD</t>
  </si>
  <si>
    <t>NORTHWESTERN LAKE FOREST HOSPIT</t>
  </si>
  <si>
    <t>NORTHWESTERN MEMORIAL HOSPITAL</t>
  </si>
  <si>
    <t>HR Concepts 38</t>
  </si>
  <si>
    <t>HR Concepts 41</t>
  </si>
  <si>
    <t>HR Concepts 43</t>
  </si>
  <si>
    <t>HR Concepts 42</t>
  </si>
  <si>
    <t>HR Concepts 39,40</t>
  </si>
  <si>
    <t>Any Payment Left</t>
  </si>
  <si>
    <t>Any Discrepancy</t>
  </si>
  <si>
    <t>Prev sheet (Saliha 140.39)</t>
  </si>
  <si>
    <t>Total for Budget</t>
  </si>
  <si>
    <t>Prev Sheet Total For Budget</t>
  </si>
  <si>
    <t>Parking Tickets</t>
  </si>
  <si>
    <t>2, 11, 2, 11, 6, 6, 6</t>
  </si>
  <si>
    <t>On the counter Medicine</t>
  </si>
  <si>
    <t>13.28, 12.99</t>
  </si>
  <si>
    <t>Dentist Total</t>
  </si>
  <si>
    <t>Dental Expenses</t>
  </si>
  <si>
    <t>Paitent</t>
  </si>
  <si>
    <t>Amount Paid By Me</t>
  </si>
  <si>
    <t>35,75,35</t>
  </si>
  <si>
    <t>Remaining balance out of My Pcket</t>
  </si>
  <si>
    <t>Any Payment Left out of my pocket</t>
  </si>
  <si>
    <t>$75 co pay paid.</t>
  </si>
  <si>
    <t>$35 co pay paid</t>
  </si>
  <si>
    <t>$35, $35, $75 = $145 co pay paid total.</t>
  </si>
  <si>
    <t>copays 35,75,35</t>
  </si>
  <si>
    <t>This was Medical Should not have been charged</t>
  </si>
  <si>
    <t>Invalid Charge to Insurance</t>
  </si>
  <si>
    <t>Total Amount to be paid to NWM . This is as charged to insurance so 20 dollars discrepancy is not part of this amount.</t>
  </si>
  <si>
    <t>120.39 (Saliha's medical charged)</t>
  </si>
  <si>
    <t>Total I would have paid if I hadn't got any discount =</t>
  </si>
  <si>
    <t>Total Amount to be paid to NWM excluding invalid charges</t>
  </si>
  <si>
    <t>Remaining balance for NWM excluding invalid charges</t>
  </si>
  <si>
    <t>Total Amount to be paid to NWM . This is as charged to insurance so any 20 dollars discrepancy is not part of this amount.</t>
  </si>
  <si>
    <t>Remaining balance out of My Pcket excluding copay payments</t>
  </si>
  <si>
    <t>Medical Payments Made (HR concepts)</t>
  </si>
  <si>
    <t>What I paid Other than Copay (actual CC payment to bill)</t>
  </si>
  <si>
    <t>PAID (A29)</t>
  </si>
  <si>
    <t>PAID (A32)</t>
  </si>
  <si>
    <t>Knee Injection</t>
  </si>
  <si>
    <t>MRI Dr. Examination Left elbow.</t>
  </si>
  <si>
    <t>Green is added in this sheet.</t>
  </si>
  <si>
    <t>Payment Date</t>
  </si>
  <si>
    <t>PAID(A28)</t>
  </si>
  <si>
    <t>PAID(A31)</t>
  </si>
  <si>
    <t>PAID (A30)</t>
  </si>
  <si>
    <t>PAID (A33)</t>
  </si>
  <si>
    <t>Record that is not in BCBS or HR concepts below as online accounts were closed due to job transfer.</t>
  </si>
  <si>
    <t>No Medical bill found</t>
  </si>
  <si>
    <t>Record A11</t>
  </si>
  <si>
    <t>MiraMed. conf no: 0028205</t>
  </si>
  <si>
    <t>MiraMed</t>
  </si>
  <si>
    <r>
      <t xml:space="preserve">Seems like payment for eye check up bills 
for Dania/ Mekael. 118.12 and 78.62 charged. By Target Optics. 60% of total is 118.04 which was paid by HR concepts. See highlighted in screen shot. </t>
    </r>
    <r>
      <rPr>
        <sz val="11"/>
        <color rgb="FFFF0000"/>
        <rFont val="Calibri"/>
        <family val="2"/>
        <scheme val="minor"/>
      </rPr>
      <t>But why BCBS didn't paid for them?</t>
    </r>
  </si>
  <si>
    <t>Eye Examination</t>
  </si>
  <si>
    <t>Could be Mekael's. Don’t have BCBC medical claim record to find out what actually medical facility charged before being adjused by insurance. This was eye examination. Should have been 0.</t>
  </si>
  <si>
    <t>Could be Danias. Don’t have BCBC medical claim record to find out what actually medical facility charged before being adjused by insurance. This was eye examination. Should have been 0.</t>
  </si>
  <si>
    <t>Target Optical.</t>
  </si>
  <si>
    <t>PAID</t>
  </si>
  <si>
    <t>Total Amount charged by NWM . This is as charged to insurance so any 20 dollars discrepancy is not part of this amount.</t>
  </si>
  <si>
    <t>Total Amount charged by NWM excluding invalid charges</t>
  </si>
  <si>
    <t xml:space="preserve">Total charged out of My Pcket </t>
  </si>
  <si>
    <t>Remaining balance out of My Pcket (removing copays)</t>
  </si>
  <si>
    <t>Any payment left + previous paymens left since previous sheets</t>
  </si>
  <si>
    <t>Any payment left out of my pocket + any payment left out of my pocket since previous sheets</t>
  </si>
  <si>
    <t xml:space="preserve">Prev sheet (Saliha 140.39), have to pay but should ask for $20 discrepancy
Dania+Mekaels eye exam = 196.74 </t>
  </si>
  <si>
    <t>Adding out of pocket for 140.39 as 25% of 120.39 + $20 discrepancy. HR paid 75% of 120.39. $20 discrepancy as BCBS  charged to me 120.39 and not $140.39</t>
  </si>
  <si>
    <t>(Using budget seet of 060117 instead of 081017 as payments/balance due are duplicate in that sheet and this sheet.)</t>
  </si>
  <si>
    <t>Dania Awais</t>
  </si>
  <si>
    <t>2, 11, 2, 11, 6, 6, 6, 3, 3, 3, 3, 11</t>
  </si>
  <si>
    <t>58.28, 12.99, 5.92</t>
  </si>
  <si>
    <t>Added pharmacy. Knee Inj = 150</t>
  </si>
  <si>
    <t>CCB8E6FF9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</si>
</sst>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0.00_);[Red]\(&quot;$&quot;#,##0.00\)"/>
  </numFmts>
  <fonts count="40">
    <font>
      <sz val="11"/>
      <color theme="1"/>
      <name val="Calibri"/>
      <family val="2"/>
      <scheme val="minor"/>
    </font>
    <font>
      <sz val="8"/>
      <color theme="1"/>
      <name val="Calibri"/>
      <family val="2"/>
      <scheme val="minor"/>
    </font>
    <font>
      <sz val="11"/>
      <color rgb="FF0070C0"/>
      <name val="Calibri"/>
      <family val="2"/>
      <scheme val="minor"/>
    </font>
    <font>
      <sz val="10"/>
      <color theme="1"/>
      <name val="Calibri"/>
      <family val="2"/>
      <scheme val="minor"/>
    </font>
    <font>
      <sz val="9"/>
      <color rgb="FF000000"/>
      <name val="Arial"/>
      <family val="2"/>
    </font>
    <font>
      <u/>
      <sz val="11"/>
      <color theme="10"/>
      <name val="Calibri"/>
      <family val="2"/>
      <scheme val="minor"/>
    </font>
    <font>
      <b/>
      <sz val="8"/>
      <color rgb="FFFFFFFF"/>
      <name val="Arial"/>
      <family val="2"/>
    </font>
    <font>
      <sz val="10"/>
      <color rgb="FF000000"/>
      <name val="Calibri"/>
      <family val="2"/>
      <scheme val="minor"/>
    </font>
    <font>
      <b/>
      <sz val="8"/>
      <color theme="1"/>
      <name val="Arial"/>
      <family val="2"/>
    </font>
    <font>
      <b/>
      <sz val="8"/>
      <color rgb="FF333333"/>
      <name val="Arial"/>
      <family val="2"/>
    </font>
    <font>
      <sz val="8"/>
      <color theme="1"/>
      <name val="Arial"/>
      <family val="2"/>
    </font>
    <font>
      <sz val="9"/>
      <color indexed="81"/>
      <name val="Tahoma"/>
      <family val="2"/>
    </font>
    <font>
      <b/>
      <sz val="9"/>
      <color indexed="81"/>
      <name val="Tahoma"/>
      <family val="2"/>
    </font>
    <font>
      <sz val="11"/>
      <color theme="1"/>
      <name val="Arial"/>
      <family val="2"/>
    </font>
    <font>
      <b/>
      <sz val="11"/>
      <color theme="1"/>
      <name val="Arial"/>
      <family val="2"/>
    </font>
    <font>
      <sz val="11"/>
      <color rgb="FFFF0000"/>
      <name val="Calibri"/>
      <family val="2"/>
      <scheme val="minor"/>
    </font>
    <font>
      <sz val="10"/>
      <color rgb="FFFF0000"/>
      <name val="Calibri"/>
      <family val="2"/>
      <scheme val="minor"/>
    </font>
    <font>
      <sz val="8"/>
      <color rgb="FFFF0000"/>
      <name val="Calibri"/>
      <family val="2"/>
      <scheme val="minor"/>
    </font>
    <font>
      <sz val="12"/>
      <color theme="1"/>
      <name val="Arial"/>
      <family val="2"/>
    </font>
    <font>
      <sz val="12"/>
      <color rgb="FF000000"/>
      <name val="Arial"/>
      <family val="2"/>
    </font>
    <font>
      <sz val="11"/>
      <color theme="5"/>
      <name val="Calibri"/>
      <family val="2"/>
      <scheme val="minor"/>
    </font>
    <font>
      <sz val="8"/>
      <color theme="5"/>
      <name val="Calibri"/>
      <family val="2"/>
      <scheme val="minor"/>
    </font>
    <font>
      <sz val="10"/>
      <color theme="5"/>
      <name val="Calibri"/>
      <family val="2"/>
      <scheme val="minor"/>
    </font>
    <font>
      <sz val="11"/>
      <color theme="5"/>
      <name val="Arial"/>
      <family val="2"/>
    </font>
    <font>
      <sz val="12"/>
      <color theme="5"/>
      <name val="Arial"/>
      <family val="2"/>
    </font>
    <font>
      <u/>
      <sz val="11"/>
      <color theme="11"/>
      <name val="Calibri"/>
      <family val="2"/>
      <scheme val="minor"/>
    </font>
    <font>
      <sz val="11"/>
      <color rgb="FF000000"/>
      <name val="Arial"/>
      <family val="2"/>
    </font>
    <font>
      <sz val="11"/>
      <name val="Arial"/>
      <family val="2"/>
    </font>
    <font>
      <sz val="8"/>
      <name val="Arial"/>
      <family val="2"/>
    </font>
    <font>
      <sz val="11"/>
      <name val="Calibri"/>
      <family val="2"/>
      <scheme val="minor"/>
    </font>
    <font>
      <sz val="11"/>
      <color theme="8"/>
      <name val="Calibri"/>
      <family val="2"/>
      <scheme val="minor"/>
    </font>
    <font>
      <b/>
      <sz val="16.5"/>
      <color rgb="FF1176C0"/>
      <name val="Inherit"/>
    </font>
    <font>
      <b/>
      <sz val="13"/>
      <color rgb="FF000000"/>
      <name val="Inherit"/>
    </font>
    <font>
      <sz val="14"/>
      <color rgb="FF333333"/>
      <name val="Helvetica Neue"/>
    </font>
    <font>
      <sz val="8"/>
      <color rgb="FFFF0000"/>
      <name val="Arial"/>
      <family val="2"/>
    </font>
    <font>
      <sz val="11"/>
      <color theme="9"/>
      <name val="Calibri"/>
      <family val="2"/>
      <scheme val="minor"/>
    </font>
    <font>
      <sz val="8"/>
      <color theme="9"/>
      <name val="Calibri"/>
      <family val="2"/>
      <scheme val="minor"/>
    </font>
    <font>
      <sz val="10"/>
      <color theme="9"/>
      <name val="Calibri"/>
      <family val="2"/>
      <scheme val="minor"/>
    </font>
    <font>
      <sz val="12"/>
      <color theme="1"/>
      <name val="Times New Roman"/>
      <family val="1"/>
    </font>
    <font>
      <sz val="11"/>
      <color rgb="FFFFC0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7291AA"/>
        <bgColor indexed="64"/>
      </patternFill>
    </fill>
    <fill>
      <patternFill patternType="solid">
        <fgColor rgb="FFD9E2EA"/>
        <bgColor indexed="64"/>
      </patternFill>
    </fill>
    <fill>
      <patternFill patternType="solid">
        <fgColor rgb="FFF2F3F3"/>
        <bgColor indexed="64"/>
      </patternFill>
    </fill>
    <fill>
      <patternFill patternType="solid">
        <fgColor rgb="FF456279"/>
        <bgColor indexed="64"/>
      </patternFill>
    </fill>
    <fill>
      <patternFill patternType="solid">
        <fgColor theme="4" tint="0.79998168889431442"/>
        <bgColor indexed="64"/>
      </patternFill>
    </fill>
    <fill>
      <patternFill patternType="solid">
        <fgColor rgb="FFDFE4E6"/>
        <bgColor indexed="64"/>
      </patternFill>
    </fill>
    <fill>
      <patternFill patternType="solid">
        <fgColor rgb="FFA2D1E7"/>
        <bgColor indexed="64"/>
      </patternFill>
    </fill>
  </fills>
  <borders count="10">
    <border>
      <left/>
      <right/>
      <top/>
      <bottom/>
      <diagonal/>
    </border>
    <border>
      <left style="medium">
        <color rgb="FFDFE4E6"/>
      </left>
      <right style="medium">
        <color rgb="FFDFE4E6"/>
      </right>
      <top style="medium">
        <color rgb="FFDFE4E6"/>
      </top>
      <bottom style="medium">
        <color rgb="FFDFE4E6"/>
      </bottom>
      <diagonal/>
    </border>
    <border>
      <left/>
      <right style="medium">
        <color rgb="FFDFE4E6"/>
      </right>
      <top/>
      <bottom style="medium">
        <color rgb="FFDFE4E6"/>
      </bottom>
      <diagonal/>
    </border>
    <border>
      <left style="medium">
        <color rgb="FFDFE4E6"/>
      </left>
      <right style="medium">
        <color rgb="FFDFE4E6"/>
      </right>
      <top/>
      <bottom style="medium">
        <color rgb="FFDFE4E6"/>
      </bottom>
      <diagonal/>
    </border>
    <border>
      <left style="medium">
        <color rgb="FFDFE4E6"/>
      </left>
      <right/>
      <top/>
      <bottom style="medium">
        <color rgb="FFDFE4E6"/>
      </bottom>
      <diagonal/>
    </border>
    <border>
      <left style="medium">
        <color rgb="FFDFE4E6"/>
      </left>
      <right style="medium">
        <color rgb="FFDFE4E6"/>
      </right>
      <top style="medium">
        <color rgb="FFDFE4E6"/>
      </top>
      <bottom/>
      <diagonal/>
    </border>
    <border>
      <left/>
      <right style="medium">
        <color rgb="FFD3D3D3"/>
      </right>
      <top/>
      <bottom style="medium">
        <color rgb="FFD3D3D3"/>
      </bottom>
      <diagonal/>
    </border>
    <border>
      <left/>
      <right style="medium">
        <color rgb="FFD3D3D3"/>
      </right>
      <top/>
      <bottom/>
      <diagonal/>
    </border>
    <border>
      <left style="medium">
        <color rgb="FFDFE4E6"/>
      </left>
      <right/>
      <top style="medium">
        <color rgb="FFDFE4E6"/>
      </top>
      <bottom style="medium">
        <color rgb="FFDFE4E6"/>
      </bottom>
      <diagonal/>
    </border>
    <border>
      <left style="medium">
        <color rgb="FFDFE4E6"/>
      </left>
      <right/>
      <top style="medium">
        <color rgb="FFDFE4E6"/>
      </top>
      <bottom/>
      <diagonal/>
    </border>
  </borders>
  <cellStyleXfs count="12">
    <xf numFmtId="0" fontId="0" fillId="0" borderId="0"/>
    <xf numFmtId="0" fontId="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cellStyleXfs>
  <cellXfs count="161">
    <xf numFmtId="0" fontId="0" fillId="0" borderId="0" xfId="0"/>
    <xf numFmtId="14" fontId="0" fillId="0" borderId="0" xfId="0" applyNumberFormat="1"/>
    <xf numFmtId="14" fontId="1" fillId="0" borderId="0" xfId="0" applyNumberFormat="1" applyFont="1"/>
    <xf numFmtId="8" fontId="0" fillId="0" borderId="0" xfId="0" applyNumberFormat="1"/>
    <xf numFmtId="8" fontId="1" fillId="0" borderId="0" xfId="0" applyNumberFormat="1" applyFont="1"/>
    <xf numFmtId="4" fontId="1" fillId="0" borderId="0" xfId="0" applyNumberFormat="1" applyFont="1"/>
    <xf numFmtId="0" fontId="0" fillId="0" borderId="0" xfId="0" applyAlignment="1">
      <alignment wrapText="1"/>
    </xf>
    <xf numFmtId="0" fontId="0" fillId="0" borderId="0" xfId="0" applyFill="1" applyAlignment="1"/>
    <xf numFmtId="0" fontId="2" fillId="0" borderId="0" xfId="0" applyFont="1"/>
    <xf numFmtId="0" fontId="0" fillId="3" borderId="0" xfId="0" applyFill="1" applyAlignment="1">
      <alignment horizontal="center"/>
    </xf>
    <xf numFmtId="14" fontId="1" fillId="0" borderId="0" xfId="0" applyNumberFormat="1" applyFont="1" applyAlignment="1">
      <alignment wrapText="1"/>
    </xf>
    <xf numFmtId="0" fontId="3" fillId="0" borderId="0" xfId="0" applyFont="1"/>
    <xf numFmtId="0" fontId="3" fillId="0" borderId="0" xfId="0" applyFont="1" applyAlignment="1">
      <alignment wrapText="1"/>
    </xf>
    <xf numFmtId="0" fontId="5" fillId="5" borderId="0" xfId="1" applyFill="1" applyAlignment="1">
      <alignment horizontal="center" vertical="center" wrapText="1"/>
    </xf>
    <xf numFmtId="0" fontId="5" fillId="6" borderId="0" xfId="1" applyFill="1" applyAlignment="1">
      <alignment horizontal="center" vertical="center" wrapText="1"/>
    </xf>
    <xf numFmtId="0" fontId="4" fillId="6" borderId="0" xfId="0" applyFont="1" applyFill="1" applyAlignment="1">
      <alignment horizontal="center" vertical="center" wrapText="1"/>
    </xf>
    <xf numFmtId="14" fontId="4" fillId="6" borderId="0" xfId="0" applyNumberFormat="1" applyFont="1" applyFill="1" applyAlignment="1">
      <alignment horizontal="center" vertical="center" wrapText="1"/>
    </xf>
    <xf numFmtId="0" fontId="4" fillId="6" borderId="0" xfId="0" applyFont="1" applyFill="1" applyAlignment="1">
      <alignment horizontal="right" vertical="center" wrapText="1"/>
    </xf>
    <xf numFmtId="0" fontId="4" fillId="5" borderId="0" xfId="0" applyFont="1" applyFill="1" applyAlignment="1">
      <alignment horizontal="center" vertical="center"/>
    </xf>
    <xf numFmtId="0" fontId="4" fillId="5" borderId="0" xfId="0" applyFont="1" applyFill="1" applyAlignment="1">
      <alignment horizontal="center" vertical="center" wrapText="1"/>
    </xf>
    <xf numFmtId="14" fontId="4" fillId="5" borderId="0" xfId="0" applyNumberFormat="1" applyFont="1" applyFill="1" applyAlignment="1">
      <alignment horizontal="center" vertical="center" wrapText="1"/>
    </xf>
    <xf numFmtId="0" fontId="4" fillId="5" borderId="0" xfId="0" applyFont="1" applyFill="1" applyAlignment="1">
      <alignment horizontal="right" vertical="center" wrapText="1"/>
    </xf>
    <xf numFmtId="0" fontId="4" fillId="6" borderId="0" xfId="0" applyFont="1" applyFill="1" applyAlignment="1">
      <alignment horizontal="center" vertical="center"/>
    </xf>
    <xf numFmtId="0" fontId="6" fillId="7" borderId="0" xfId="0" applyFont="1" applyFill="1" applyAlignment="1">
      <alignment horizontal="center" vertical="center" wrapText="1"/>
    </xf>
    <xf numFmtId="0" fontId="5" fillId="4" borderId="0" xfId="1" applyFill="1" applyAlignment="1">
      <alignment horizontal="center" vertical="center" wrapText="1"/>
    </xf>
    <xf numFmtId="14" fontId="0" fillId="8" borderId="0" xfId="0" applyNumberFormat="1" applyFill="1"/>
    <xf numFmtId="8" fontId="0" fillId="8" borderId="0" xfId="0" applyNumberFormat="1" applyFill="1"/>
    <xf numFmtId="0" fontId="0" fillId="8" borderId="0" xfId="0" applyFill="1"/>
    <xf numFmtId="0" fontId="4" fillId="8" borderId="0" xfId="0" applyFont="1" applyFill="1" applyAlignment="1">
      <alignment horizontal="center" vertical="center"/>
    </xf>
    <xf numFmtId="0" fontId="4" fillId="8" borderId="0" xfId="0" applyFont="1" applyFill="1" applyAlignment="1">
      <alignment horizontal="center" vertical="center" wrapText="1"/>
    </xf>
    <xf numFmtId="14" fontId="4" fillId="8" borderId="0" xfId="0" applyNumberFormat="1" applyFont="1" applyFill="1" applyAlignment="1">
      <alignment horizontal="center" vertical="center" wrapText="1"/>
    </xf>
    <xf numFmtId="0" fontId="4" fillId="8" borderId="0" xfId="0" applyFont="1" applyFill="1" applyAlignment="1">
      <alignment horizontal="right" vertical="center" wrapText="1"/>
    </xf>
    <xf numFmtId="0" fontId="5" fillId="8" borderId="0" xfId="1" applyFill="1" applyAlignment="1">
      <alignment horizontal="center" vertical="center" wrapText="1"/>
    </xf>
    <xf numFmtId="14" fontId="1" fillId="8" borderId="0" xfId="0" applyNumberFormat="1" applyFont="1" applyFill="1" applyAlignment="1">
      <alignment wrapText="1"/>
    </xf>
    <xf numFmtId="0" fontId="3" fillId="8" borderId="0" xfId="0" applyFont="1" applyFill="1"/>
    <xf numFmtId="0" fontId="0" fillId="8" borderId="0" xfId="0" applyFill="1" applyAlignment="1">
      <alignment wrapText="1"/>
    </xf>
    <xf numFmtId="14" fontId="1" fillId="8" borderId="0" xfId="0" applyNumberFormat="1" applyFont="1" applyFill="1"/>
    <xf numFmtId="0" fontId="7" fillId="5" borderId="0" xfId="0" applyFont="1" applyFill="1" applyAlignment="1">
      <alignment horizontal="right" vertical="center" wrapText="1"/>
    </xf>
    <xf numFmtId="0" fontId="7" fillId="6" borderId="0" xfId="0" applyFont="1" applyFill="1" applyAlignment="1">
      <alignment horizontal="right" vertical="center" wrapText="1"/>
    </xf>
    <xf numFmtId="0" fontId="10" fillId="0" borderId="0" xfId="0" applyFont="1" applyAlignment="1">
      <alignment horizontal="center" vertical="center" wrapText="1"/>
    </xf>
    <xf numFmtId="14" fontId="10" fillId="0" borderId="0" xfId="0" applyNumberFormat="1" applyFont="1" applyAlignment="1">
      <alignment horizontal="left" vertical="center" wrapText="1"/>
    </xf>
    <xf numFmtId="0" fontId="10" fillId="0" borderId="0" xfId="0" applyFont="1" applyAlignment="1">
      <alignment horizontal="left" vertical="center" wrapText="1"/>
    </xf>
    <xf numFmtId="0" fontId="10" fillId="0" borderId="1" xfId="0" applyFont="1" applyBorder="1" applyAlignment="1">
      <alignment horizontal="left" vertical="center" wrapText="1"/>
    </xf>
    <xf numFmtId="8" fontId="10" fillId="0" borderId="0" xfId="0" applyNumberFormat="1" applyFont="1" applyAlignment="1">
      <alignment horizontal="right" vertical="center" wrapText="1"/>
    </xf>
    <xf numFmtId="0" fontId="9" fillId="9" borderId="2" xfId="0" applyFont="1" applyFill="1" applyBorder="1" applyAlignment="1">
      <alignment horizontal="left" vertical="center" wrapText="1"/>
    </xf>
    <xf numFmtId="0" fontId="9" fillId="9" borderId="3" xfId="0" applyFont="1" applyFill="1" applyBorder="1" applyAlignment="1">
      <alignment horizontal="left" vertical="center" wrapText="1"/>
    </xf>
    <xf numFmtId="0" fontId="9" fillId="9" borderId="3" xfId="0" applyFont="1" applyFill="1" applyBorder="1" applyAlignment="1">
      <alignment horizontal="right" vertical="center" wrapText="1"/>
    </xf>
    <xf numFmtId="0" fontId="9" fillId="9" borderId="3"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10" fillId="0" borderId="5" xfId="0" applyFont="1" applyBorder="1" applyAlignment="1">
      <alignment horizontal="left" vertical="center" wrapText="1"/>
    </xf>
    <xf numFmtId="8" fontId="10" fillId="0" borderId="0" xfId="0" applyNumberFormat="1" applyFont="1" applyFill="1" applyBorder="1" applyAlignment="1">
      <alignment horizontal="right" vertical="center" wrapText="1"/>
    </xf>
    <xf numFmtId="2" fontId="0" fillId="0" borderId="0" xfId="0" applyNumberFormat="1"/>
    <xf numFmtId="0" fontId="0" fillId="0" borderId="0" xfId="0" applyAlignment="1"/>
    <xf numFmtId="0" fontId="14" fillId="10" borderId="6" xfId="0" applyFont="1" applyFill="1" applyBorder="1" applyAlignment="1">
      <alignment horizontal="left" vertical="center" wrapText="1" indent="1"/>
    </xf>
    <xf numFmtId="0" fontId="13" fillId="0" borderId="6" xfId="0" applyFont="1" applyBorder="1" applyAlignment="1">
      <alignment horizontal="left" vertical="center" wrapText="1" indent="1"/>
    </xf>
    <xf numFmtId="14" fontId="13" fillId="0" borderId="6" xfId="0" applyNumberFormat="1" applyFont="1" applyBorder="1" applyAlignment="1">
      <alignment horizontal="left" vertical="center" wrapText="1" indent="1"/>
    </xf>
    <xf numFmtId="8" fontId="13" fillId="0" borderId="6" xfId="0" applyNumberFormat="1" applyFont="1" applyBorder="1" applyAlignment="1">
      <alignment horizontal="left" vertical="center" wrapText="1" indent="1"/>
    </xf>
    <xf numFmtId="14" fontId="13" fillId="0" borderId="0" xfId="0" applyNumberFormat="1" applyFont="1" applyBorder="1" applyAlignment="1">
      <alignment horizontal="left" vertical="center" wrapText="1" indent="1"/>
    </xf>
    <xf numFmtId="0" fontId="13" fillId="0" borderId="0" xfId="0" applyFont="1" applyBorder="1" applyAlignment="1">
      <alignment horizontal="left" vertical="center" wrapText="1" indent="1"/>
    </xf>
    <xf numFmtId="8" fontId="13" fillId="0" borderId="0" xfId="0" applyNumberFormat="1" applyFont="1" applyBorder="1" applyAlignment="1">
      <alignment horizontal="left" vertical="center" wrapText="1" indent="1"/>
    </xf>
    <xf numFmtId="14" fontId="1" fillId="0" borderId="0" xfId="0" applyNumberFormat="1" applyFont="1" applyFill="1"/>
    <xf numFmtId="0" fontId="3" fillId="0" borderId="0" xfId="0" applyFont="1" applyFill="1"/>
    <xf numFmtId="0" fontId="0" fillId="0" borderId="0" xfId="0" applyFill="1"/>
    <xf numFmtId="14" fontId="1" fillId="0" borderId="0" xfId="0" applyNumberFormat="1" applyFont="1" applyFill="1" applyAlignment="1">
      <alignment wrapText="1"/>
    </xf>
    <xf numFmtId="0" fontId="0" fillId="0" borderId="0" xfId="0" applyFill="1" applyAlignment="1">
      <alignment wrapText="1"/>
    </xf>
    <xf numFmtId="14" fontId="0" fillId="0" borderId="0" xfId="0" applyNumberFormat="1" applyFill="1"/>
    <xf numFmtId="0" fontId="13" fillId="0" borderId="7" xfId="0" applyFont="1" applyFill="1" applyBorder="1" applyAlignment="1">
      <alignment horizontal="left" vertical="center" wrapText="1" indent="1"/>
    </xf>
    <xf numFmtId="14" fontId="13" fillId="0" borderId="0" xfId="0" applyNumberFormat="1" applyFont="1" applyAlignment="1">
      <alignment horizontal="left" vertical="center" wrapText="1"/>
    </xf>
    <xf numFmtId="0" fontId="13" fillId="0" borderId="0" xfId="0" applyFont="1" applyAlignment="1">
      <alignment horizontal="left" vertical="center" wrapText="1"/>
    </xf>
    <xf numFmtId="0" fontId="13" fillId="0" borderId="1" xfId="0" applyFont="1" applyBorder="1" applyAlignment="1">
      <alignment horizontal="left" vertical="center" wrapText="1"/>
    </xf>
    <xf numFmtId="8" fontId="13" fillId="0" borderId="0" xfId="0" applyNumberFormat="1" applyFont="1" applyAlignment="1">
      <alignment horizontal="right" vertical="center" wrapText="1"/>
    </xf>
    <xf numFmtId="0" fontId="13" fillId="0" borderId="5" xfId="0" applyFont="1" applyBorder="1" applyAlignment="1">
      <alignment horizontal="left" vertical="center" wrapText="1"/>
    </xf>
    <xf numFmtId="8" fontId="13" fillId="0" borderId="8" xfId="0" applyNumberFormat="1" applyFont="1" applyBorder="1" applyAlignment="1">
      <alignment horizontal="center" vertical="center" wrapText="1"/>
    </xf>
    <xf numFmtId="8" fontId="13" fillId="0" borderId="9" xfId="0" applyNumberFormat="1" applyFont="1" applyBorder="1" applyAlignment="1">
      <alignment horizontal="center" vertical="center" wrapText="1"/>
    </xf>
    <xf numFmtId="0" fontId="13" fillId="0" borderId="0" xfId="0" applyFont="1" applyBorder="1" applyAlignment="1">
      <alignment horizontal="left" vertical="center" wrapText="1"/>
    </xf>
    <xf numFmtId="8" fontId="13" fillId="0" borderId="0" xfId="0" applyNumberFormat="1" applyFont="1" applyBorder="1" applyAlignment="1">
      <alignment horizontal="center" vertical="center" wrapText="1"/>
    </xf>
    <xf numFmtId="0" fontId="13" fillId="0" borderId="0" xfId="0" applyFont="1" applyFill="1" applyBorder="1" applyAlignment="1">
      <alignment horizontal="left" vertical="center" wrapText="1" indent="1"/>
    </xf>
    <xf numFmtId="15" fontId="0" fillId="0" borderId="0" xfId="0" applyNumberFormat="1" applyAlignment="1">
      <alignment vertical="center" wrapText="1"/>
    </xf>
    <xf numFmtId="8" fontId="0" fillId="0" borderId="0" xfId="0" applyNumberFormat="1" applyAlignment="1">
      <alignment vertical="center" wrapText="1"/>
    </xf>
    <xf numFmtId="0" fontId="15" fillId="0" borderId="0" xfId="0" applyFont="1"/>
    <xf numFmtId="0" fontId="0" fillId="0" borderId="0" xfId="0" applyAlignment="1"/>
    <xf numFmtId="0" fontId="0" fillId="0" borderId="0" xfId="0" applyAlignment="1"/>
    <xf numFmtId="0" fontId="16" fillId="0" borderId="0" xfId="0" applyFont="1" applyAlignment="1">
      <alignment wrapText="1"/>
    </xf>
    <xf numFmtId="14" fontId="17" fillId="0" borderId="0" xfId="0" applyNumberFormat="1" applyFont="1"/>
    <xf numFmtId="0" fontId="16" fillId="0" borderId="0" xfId="0" applyFont="1"/>
    <xf numFmtId="0" fontId="18" fillId="0" borderId="0" xfId="0" applyFont="1"/>
    <xf numFmtId="8" fontId="18" fillId="0" borderId="0" xfId="0" applyNumberFormat="1" applyFont="1"/>
    <xf numFmtId="0" fontId="19" fillId="0" borderId="0" xfId="0" applyFont="1"/>
    <xf numFmtId="8" fontId="19" fillId="0" borderId="0" xfId="0" applyNumberFormat="1" applyFont="1"/>
    <xf numFmtId="0" fontId="20" fillId="0" borderId="0" xfId="0" applyFont="1"/>
    <xf numFmtId="14" fontId="21" fillId="0" borderId="0" xfId="0" applyNumberFormat="1" applyFont="1" applyFill="1"/>
    <xf numFmtId="0" fontId="22" fillId="0" borderId="0" xfId="0" applyFont="1" applyFill="1"/>
    <xf numFmtId="0" fontId="22" fillId="0" borderId="0" xfId="0" applyFont="1" applyAlignment="1">
      <alignment wrapText="1"/>
    </xf>
    <xf numFmtId="0" fontId="15" fillId="0" borderId="0" xfId="0" applyFont="1" applyAlignment="1">
      <alignment wrapText="1"/>
    </xf>
    <xf numFmtId="14" fontId="21" fillId="0" borderId="0" xfId="0" applyNumberFormat="1" applyFont="1"/>
    <xf numFmtId="0" fontId="22" fillId="0" borderId="0" xfId="0" applyFont="1"/>
    <xf numFmtId="14" fontId="23" fillId="0" borderId="6" xfId="0" applyNumberFormat="1" applyFont="1" applyBorder="1" applyAlignment="1">
      <alignment horizontal="left" vertical="center" wrapText="1" indent="1"/>
    </xf>
    <xf numFmtId="0" fontId="24" fillId="0" borderId="0" xfId="0" applyFont="1"/>
    <xf numFmtId="0" fontId="23" fillId="0" borderId="6" xfId="0" applyFont="1" applyBorder="1" applyAlignment="1">
      <alignment horizontal="left" vertical="center" wrapText="1" indent="1"/>
    </xf>
    <xf numFmtId="8" fontId="24" fillId="0" borderId="0" xfId="0" applyNumberFormat="1" applyFont="1"/>
    <xf numFmtId="14" fontId="26" fillId="0" borderId="0" xfId="0" applyNumberFormat="1" applyFont="1" applyAlignment="1">
      <alignment horizontal="left" vertical="center" wrapText="1"/>
    </xf>
    <xf numFmtId="14" fontId="17" fillId="0" borderId="0" xfId="0" applyNumberFormat="1" applyFont="1" applyFill="1" applyAlignment="1">
      <alignment wrapText="1"/>
    </xf>
    <xf numFmtId="0" fontId="16" fillId="0" borderId="0" xfId="0" applyFont="1" applyFill="1"/>
    <xf numFmtId="0" fontId="15" fillId="0" borderId="0" xfId="0" applyFont="1" applyFill="1"/>
    <xf numFmtId="14" fontId="27" fillId="0" borderId="0" xfId="0" applyNumberFormat="1" applyFont="1" applyAlignment="1">
      <alignment horizontal="left" vertical="center" wrapText="1"/>
    </xf>
    <xf numFmtId="0" fontId="27" fillId="0" borderId="0" xfId="0" applyFont="1" applyAlignment="1">
      <alignment horizontal="left" vertical="center" wrapText="1"/>
    </xf>
    <xf numFmtId="0" fontId="27" fillId="0" borderId="5" xfId="0" applyFont="1" applyBorder="1" applyAlignment="1">
      <alignment horizontal="left" vertical="center" wrapText="1"/>
    </xf>
    <xf numFmtId="8" fontId="27" fillId="0" borderId="0" xfId="0" applyNumberFormat="1" applyFont="1" applyAlignment="1">
      <alignment horizontal="right" vertical="center" wrapText="1"/>
    </xf>
    <xf numFmtId="0" fontId="28" fillId="0" borderId="0" xfId="0" applyFont="1" applyAlignment="1">
      <alignment horizontal="center" vertical="center" wrapText="1"/>
    </xf>
    <xf numFmtId="8" fontId="29" fillId="0" borderId="0" xfId="0" applyNumberFormat="1" applyFont="1"/>
    <xf numFmtId="2" fontId="29" fillId="0" borderId="0" xfId="0" applyNumberFormat="1" applyFont="1"/>
    <xf numFmtId="0" fontId="29" fillId="0" borderId="0" xfId="0" applyFont="1"/>
    <xf numFmtId="2" fontId="29" fillId="0" borderId="0" xfId="0" applyNumberFormat="1" applyFont="1" applyAlignment="1">
      <alignment vertical="center"/>
    </xf>
    <xf numFmtId="15" fontId="30" fillId="0" borderId="0" xfId="0" applyNumberFormat="1" applyFont="1" applyAlignment="1">
      <alignment vertical="center" wrapText="1"/>
    </xf>
    <xf numFmtId="8" fontId="30" fillId="0" borderId="0" xfId="0" applyNumberFormat="1" applyFont="1"/>
    <xf numFmtId="0" fontId="30" fillId="0" borderId="0" xfId="0" applyFont="1"/>
    <xf numFmtId="0" fontId="16" fillId="2" borderId="0" xfId="0" applyFont="1" applyFill="1" applyAlignment="1">
      <alignment wrapText="1"/>
    </xf>
    <xf numFmtId="0" fontId="22" fillId="2" borderId="0" xfId="0" applyFont="1" applyFill="1" applyAlignment="1">
      <alignment wrapText="1"/>
    </xf>
    <xf numFmtId="0" fontId="3" fillId="2" borderId="0" xfId="0" applyFont="1" applyFill="1"/>
    <xf numFmtId="0" fontId="16" fillId="2" borderId="0" xfId="0" applyFont="1" applyFill="1"/>
    <xf numFmtId="8" fontId="13" fillId="0" borderId="0" xfId="0" applyNumberFormat="1" applyFont="1" applyBorder="1" applyAlignment="1">
      <alignment vertical="center" wrapText="1"/>
    </xf>
    <xf numFmtId="8" fontId="13" fillId="2" borderId="0" xfId="0" applyNumberFormat="1" applyFont="1" applyFill="1" applyAlignment="1">
      <alignment horizontal="right" vertical="center" wrapText="1"/>
    </xf>
    <xf numFmtId="15" fontId="0" fillId="2" borderId="0" xfId="0" applyNumberFormat="1" applyFill="1" applyAlignment="1">
      <alignment vertical="center" wrapText="1"/>
    </xf>
    <xf numFmtId="8" fontId="13" fillId="0" borderId="0" xfId="0" applyNumberFormat="1" applyFont="1" applyFill="1" applyAlignment="1">
      <alignment horizontal="right" vertical="center" wrapText="1"/>
    </xf>
    <xf numFmtId="8" fontId="29" fillId="2" borderId="0" xfId="0" applyNumberFormat="1" applyFont="1" applyFill="1"/>
    <xf numFmtId="15" fontId="30" fillId="2" borderId="0" xfId="0" applyNumberFormat="1" applyFont="1" applyFill="1" applyAlignment="1">
      <alignment vertical="center" wrapText="1"/>
    </xf>
    <xf numFmtId="8" fontId="30" fillId="2" borderId="0" xfId="0" applyNumberFormat="1" applyFont="1" applyFill="1"/>
    <xf numFmtId="0" fontId="0" fillId="2" borderId="0" xfId="0" applyFill="1"/>
    <xf numFmtId="8" fontId="30" fillId="2" borderId="0" xfId="0" applyNumberFormat="1" applyFont="1" applyFill="1" applyAlignment="1">
      <alignment horizontal="right"/>
    </xf>
    <xf numFmtId="0" fontId="31" fillId="0" borderId="0" xfId="0" applyFont="1"/>
    <xf numFmtId="14" fontId="18" fillId="0" borderId="0" xfId="0" applyNumberFormat="1" applyFont="1"/>
    <xf numFmtId="8" fontId="19" fillId="2" borderId="0" xfId="0" applyNumberFormat="1" applyFont="1" applyFill="1"/>
    <xf numFmtId="14" fontId="19" fillId="0" borderId="0" xfId="0" applyNumberFormat="1" applyFont="1"/>
    <xf numFmtId="0" fontId="32" fillId="0" borderId="0" xfId="0" applyFont="1"/>
    <xf numFmtId="14" fontId="33" fillId="0" borderId="0" xfId="0" applyNumberFormat="1" applyFont="1"/>
    <xf numFmtId="0" fontId="33" fillId="0" borderId="0" xfId="0" applyFont="1"/>
    <xf numFmtId="8" fontId="33" fillId="0" borderId="0" xfId="0" applyNumberFormat="1" applyFont="1"/>
    <xf numFmtId="0" fontId="5" fillId="0" borderId="0" xfId="1"/>
    <xf numFmtId="8" fontId="29" fillId="0" borderId="0" xfId="0" applyNumberFormat="1" applyFont="1" applyFill="1"/>
    <xf numFmtId="0" fontId="0" fillId="0" borderId="0" xfId="0" applyAlignment="1"/>
    <xf numFmtId="0" fontId="34" fillId="0" borderId="0" xfId="0" applyFont="1" applyAlignment="1">
      <alignment horizontal="center" vertical="center" wrapText="1"/>
    </xf>
    <xf numFmtId="18" fontId="0" fillId="0" borderId="0" xfId="0" applyNumberFormat="1"/>
    <xf numFmtId="8" fontId="0" fillId="2" borderId="0" xfId="0" applyNumberFormat="1" applyFill="1"/>
    <xf numFmtId="0" fontId="35" fillId="0" borderId="0" xfId="0" applyFont="1"/>
    <xf numFmtId="14" fontId="36" fillId="0" borderId="0" xfId="0" applyNumberFormat="1" applyFont="1"/>
    <xf numFmtId="0" fontId="37" fillId="0" borderId="0" xfId="0" applyFont="1"/>
    <xf numFmtId="0" fontId="37" fillId="0" borderId="0" xfId="0" applyFont="1" applyAlignment="1">
      <alignment wrapText="1"/>
    </xf>
    <xf numFmtId="0" fontId="35" fillId="0" borderId="0" xfId="0" applyFont="1" applyAlignment="1">
      <alignment wrapText="1"/>
    </xf>
    <xf numFmtId="0" fontId="0" fillId="0" borderId="0" xfId="0" applyFont="1"/>
    <xf numFmtId="0" fontId="0" fillId="0" borderId="0" xfId="0" applyFont="1" applyAlignment="1">
      <alignment wrapText="1"/>
    </xf>
    <xf numFmtId="15" fontId="35" fillId="0" borderId="0" xfId="0" applyNumberFormat="1" applyFont="1" applyAlignment="1">
      <alignment vertical="center" wrapText="1"/>
    </xf>
    <xf numFmtId="8" fontId="35" fillId="0" borderId="0" xfId="0" applyNumberFormat="1" applyFont="1" applyAlignment="1">
      <alignment vertical="center" wrapText="1"/>
    </xf>
    <xf numFmtId="15" fontId="15" fillId="0" borderId="0" xfId="0" applyNumberFormat="1" applyFont="1" applyAlignment="1">
      <alignment vertical="center" wrapText="1"/>
    </xf>
    <xf numFmtId="8" fontId="15" fillId="0" borderId="0" xfId="0" applyNumberFormat="1" applyFont="1" applyAlignment="1">
      <alignment vertical="center" wrapText="1"/>
    </xf>
    <xf numFmtId="14" fontId="15" fillId="0" borderId="0" xfId="0" applyNumberFormat="1" applyFont="1"/>
    <xf numFmtId="8" fontId="30" fillId="2" borderId="0" xfId="0" applyNumberFormat="1" applyFont="1" applyFill="1" applyAlignment="1">
      <alignment horizontal="right" wrapText="1"/>
    </xf>
    <xf numFmtId="0" fontId="38" fillId="0" borderId="0" xfId="0" applyFont="1"/>
    <xf numFmtId="8" fontId="39" fillId="2" borderId="0" xfId="0" applyNumberFormat="1" applyFont="1" applyFill="1"/>
    <xf numFmtId="15" fontId="30" fillId="2" borderId="0" xfId="0" applyNumberFormat="1" applyFont="1" applyFill="1" applyAlignment="1">
      <alignment wrapText="1"/>
    </xf>
    <xf numFmtId="0" fontId="0" fillId="0" borderId="0" xfId="0" applyAlignment="1"/>
    <xf numFmtId="0" fontId="0" fillId="2" borderId="0" xfId="0" applyFill="1" applyAlignment="1"/>
  </cellXfs>
  <cellStyles count="12">
    <cellStyle name="Followed Hyperlink" xfId="2" builtinId="9" hidden="1"/>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Hyperlink" xfId="1" builtinId="8"/>
    <cellStyle name="Normal" xfId="0" builtinId="0"/>
  </cellStyles>
  <dxfs count="0"/>
  <tableStyles count="0" defaultTableStyle="TableStyleMedium2" defaultPivotStyle="PivotStyleLight16"/>
  <colors>
    <mruColors>
      <color rgb="FFF2F3F3"/>
      <color rgb="FFD9E2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1</xdr:col>
      <xdr:colOff>9525</xdr:colOff>
      <xdr:row>43</xdr:row>
      <xdr:rowOff>9525</xdr:rowOff>
    </xdr:to>
    <xdr:pic>
      <xdr:nvPicPr>
        <xdr:cNvPr id="2" name="Picture 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3" name="Picture 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4" name="Picture 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5" name="Picture 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6" name="Picture 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7" name="Picture 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8" name="Picture 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9" name="Picture 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448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0" name="Picture 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1" name="Picture 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2" name="Picture 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3" name="Picture 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14" name="Picture 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15" name="Picture 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16" name="Picture 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17" name="Picture 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8" name="Picture 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9" name="Picture 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20" name="Picture 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21" name="Picture 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22" name="Picture 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23" name="Picture 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24" name="Picture 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25" name="Picture 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0210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26" name="Picture 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27" name="Picture 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28" name="Picture 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29" name="Picture 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30" name="Picture 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31" name="Picture 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32" name="Picture 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33" name="Picture 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0591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34" name="Picture 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35" name="Picture 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36" name="Picture 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37" name="Picture 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38" name="Picture 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39" name="Picture 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40" name="Picture 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41" name="Picture 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42" name="Picture 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43" name="Picture 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44" name="Picture 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45" name="Picture 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46" name="Picture 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47" name="Picture 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48" name="Picture 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49" name="Picture 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50" name="Picture 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51" name="Picture 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52" name="Picture 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53" name="Picture 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54" name="Picture 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55" name="Picture 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56" name="Picture 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57" name="Picture 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58" name="Picture 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59" name="Picture 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60" name="Picture 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61" name="Picture 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62" name="Picture 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63" name="Picture 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64" name="Picture 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65" name="Picture 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66" name="Picture 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67" name="Picture 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68" name="Picture 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69" name="Picture 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70" name="Picture 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71" name="Picture 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72" name="Picture 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73" name="Picture 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74" name="Picture 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75" name="Picture 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76" name="Picture 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77" name="Picture 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78" name="Picture 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79" name="Picture 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80" name="Picture 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81" name="Picture 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82" name="Picture 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83" name="Picture 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84" name="Picture 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85" name="Picture 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86" name="Picture 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87" name="Picture 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88" name="Picture 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89" name="Picture 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90" name="Picture 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91" name="Picture 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92" name="Picture 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93" name="Picture 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94" name="Picture 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95" name="Picture 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96" name="Picture 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97" name="Picture 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98" name="Picture 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99" name="Picture 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100" name="Picture 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101" name="Picture 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102" name="Picture 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103" name="Picture 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104" name="Picture 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05" name="Picture 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06" name="Picture 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107" name="Picture 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108" name="Picture 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109" name="Picture 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110" name="Picture 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111" name="Picture 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112" name="Picture 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13" name="Picture 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14" name="Picture 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115" name="Picture 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116" name="Picture 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117" name="Picture 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118" name="Picture 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119" name="Picture 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120" name="Picture 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43</xdr:row>
      <xdr:rowOff>0</xdr:rowOff>
    </xdr:from>
    <xdr:to>
      <xdr:col>1</xdr:col>
      <xdr:colOff>9525</xdr:colOff>
      <xdr:row>43</xdr:row>
      <xdr:rowOff>9525</xdr:rowOff>
    </xdr:to>
    <xdr:pic>
      <xdr:nvPicPr>
        <xdr:cNvPr id="121" name="Picture 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43</xdr:row>
      <xdr:rowOff>0</xdr:rowOff>
    </xdr:from>
    <xdr:to>
      <xdr:col>2</xdr:col>
      <xdr:colOff>9525</xdr:colOff>
      <xdr:row>43</xdr:row>
      <xdr:rowOff>9525</xdr:rowOff>
    </xdr:to>
    <xdr:pic>
      <xdr:nvPicPr>
        <xdr:cNvPr id="122" name="Picture 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43</xdr:row>
      <xdr:rowOff>0</xdr:rowOff>
    </xdr:from>
    <xdr:to>
      <xdr:col>3</xdr:col>
      <xdr:colOff>9525</xdr:colOff>
      <xdr:row>43</xdr:row>
      <xdr:rowOff>9525</xdr:rowOff>
    </xdr:to>
    <xdr:pic>
      <xdr:nvPicPr>
        <xdr:cNvPr id="123" name="Picture 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43</xdr:row>
      <xdr:rowOff>0</xdr:rowOff>
    </xdr:from>
    <xdr:to>
      <xdr:col>4</xdr:col>
      <xdr:colOff>9525</xdr:colOff>
      <xdr:row>43</xdr:row>
      <xdr:rowOff>9525</xdr:rowOff>
    </xdr:to>
    <xdr:pic>
      <xdr:nvPicPr>
        <xdr:cNvPr id="124" name="Picture 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43</xdr:row>
      <xdr:rowOff>0</xdr:rowOff>
    </xdr:from>
    <xdr:to>
      <xdr:col>5</xdr:col>
      <xdr:colOff>9525</xdr:colOff>
      <xdr:row>43</xdr:row>
      <xdr:rowOff>9525</xdr:rowOff>
    </xdr:to>
    <xdr:pic>
      <xdr:nvPicPr>
        <xdr:cNvPr id="125" name="Picture 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43</xdr:row>
      <xdr:rowOff>0</xdr:rowOff>
    </xdr:from>
    <xdr:to>
      <xdr:col>6</xdr:col>
      <xdr:colOff>9525</xdr:colOff>
      <xdr:row>43</xdr:row>
      <xdr:rowOff>9525</xdr:rowOff>
    </xdr:to>
    <xdr:pic>
      <xdr:nvPicPr>
        <xdr:cNvPr id="126" name="Picture 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43</xdr:row>
      <xdr:rowOff>0</xdr:rowOff>
    </xdr:from>
    <xdr:to>
      <xdr:col>7</xdr:col>
      <xdr:colOff>9525</xdr:colOff>
      <xdr:row>43</xdr:row>
      <xdr:rowOff>9525</xdr:rowOff>
    </xdr:to>
    <xdr:pic>
      <xdr:nvPicPr>
        <xdr:cNvPr id="127" name="Picture 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8305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xdr:row>
      <xdr:rowOff>0</xdr:rowOff>
    </xdr:from>
    <xdr:to>
      <xdr:col>1</xdr:col>
      <xdr:colOff>9525</xdr:colOff>
      <xdr:row>44</xdr:row>
      <xdr:rowOff>9525</xdr:rowOff>
    </xdr:to>
    <xdr:pic>
      <xdr:nvPicPr>
        <xdr:cNvPr id="128" name="Picture 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44</xdr:row>
      <xdr:rowOff>0</xdr:rowOff>
    </xdr:from>
    <xdr:to>
      <xdr:col>1</xdr:col>
      <xdr:colOff>9525</xdr:colOff>
      <xdr:row>44</xdr:row>
      <xdr:rowOff>9525</xdr:rowOff>
    </xdr:to>
    <xdr:pic>
      <xdr:nvPicPr>
        <xdr:cNvPr id="129" name="Picture 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44</xdr:row>
      <xdr:rowOff>0</xdr:rowOff>
    </xdr:from>
    <xdr:to>
      <xdr:col>2</xdr:col>
      <xdr:colOff>9525</xdr:colOff>
      <xdr:row>44</xdr:row>
      <xdr:rowOff>9525</xdr:rowOff>
    </xdr:to>
    <xdr:pic>
      <xdr:nvPicPr>
        <xdr:cNvPr id="130" name="Picture 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44</xdr:row>
      <xdr:rowOff>0</xdr:rowOff>
    </xdr:from>
    <xdr:to>
      <xdr:col>3</xdr:col>
      <xdr:colOff>9525</xdr:colOff>
      <xdr:row>44</xdr:row>
      <xdr:rowOff>9525</xdr:rowOff>
    </xdr:to>
    <xdr:pic>
      <xdr:nvPicPr>
        <xdr:cNvPr id="131" name="Picture 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44</xdr:row>
      <xdr:rowOff>0</xdr:rowOff>
    </xdr:from>
    <xdr:to>
      <xdr:col>4</xdr:col>
      <xdr:colOff>9525</xdr:colOff>
      <xdr:row>44</xdr:row>
      <xdr:rowOff>9525</xdr:rowOff>
    </xdr:to>
    <xdr:pic>
      <xdr:nvPicPr>
        <xdr:cNvPr id="132" name="Picture 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44</xdr:row>
      <xdr:rowOff>0</xdr:rowOff>
    </xdr:from>
    <xdr:to>
      <xdr:col>5</xdr:col>
      <xdr:colOff>9525</xdr:colOff>
      <xdr:row>44</xdr:row>
      <xdr:rowOff>9525</xdr:rowOff>
    </xdr:to>
    <xdr:pic>
      <xdr:nvPicPr>
        <xdr:cNvPr id="133" name="Picture 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44</xdr:row>
      <xdr:rowOff>0</xdr:rowOff>
    </xdr:from>
    <xdr:to>
      <xdr:col>6</xdr:col>
      <xdr:colOff>9525</xdr:colOff>
      <xdr:row>44</xdr:row>
      <xdr:rowOff>9525</xdr:rowOff>
    </xdr:to>
    <xdr:pic>
      <xdr:nvPicPr>
        <xdr:cNvPr id="134" name="Picture 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44</xdr:row>
      <xdr:rowOff>0</xdr:rowOff>
    </xdr:from>
    <xdr:to>
      <xdr:col>7</xdr:col>
      <xdr:colOff>9525</xdr:colOff>
      <xdr:row>44</xdr:row>
      <xdr:rowOff>9525</xdr:rowOff>
    </xdr:to>
    <xdr:pic>
      <xdr:nvPicPr>
        <xdr:cNvPr id="135" name="Picture 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067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9525</xdr:colOff>
      <xdr:row>45</xdr:row>
      <xdr:rowOff>9525</xdr:rowOff>
    </xdr:to>
    <xdr:pic>
      <xdr:nvPicPr>
        <xdr:cNvPr id="136" name="Picture 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45</xdr:row>
      <xdr:rowOff>0</xdr:rowOff>
    </xdr:from>
    <xdr:to>
      <xdr:col>1</xdr:col>
      <xdr:colOff>9525</xdr:colOff>
      <xdr:row>45</xdr:row>
      <xdr:rowOff>9525</xdr:rowOff>
    </xdr:to>
    <xdr:pic>
      <xdr:nvPicPr>
        <xdr:cNvPr id="137" name="Picture 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45</xdr:row>
      <xdr:rowOff>0</xdr:rowOff>
    </xdr:from>
    <xdr:to>
      <xdr:col>2</xdr:col>
      <xdr:colOff>9525</xdr:colOff>
      <xdr:row>45</xdr:row>
      <xdr:rowOff>9525</xdr:rowOff>
    </xdr:to>
    <xdr:pic>
      <xdr:nvPicPr>
        <xdr:cNvPr id="138" name="Picture 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45</xdr:row>
      <xdr:rowOff>0</xdr:rowOff>
    </xdr:from>
    <xdr:to>
      <xdr:col>3</xdr:col>
      <xdr:colOff>9525</xdr:colOff>
      <xdr:row>45</xdr:row>
      <xdr:rowOff>9525</xdr:rowOff>
    </xdr:to>
    <xdr:pic>
      <xdr:nvPicPr>
        <xdr:cNvPr id="139" name="Picture 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45</xdr:row>
      <xdr:rowOff>0</xdr:rowOff>
    </xdr:from>
    <xdr:to>
      <xdr:col>4</xdr:col>
      <xdr:colOff>9525</xdr:colOff>
      <xdr:row>45</xdr:row>
      <xdr:rowOff>9525</xdr:rowOff>
    </xdr:to>
    <xdr:pic>
      <xdr:nvPicPr>
        <xdr:cNvPr id="140" name="Picture 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45</xdr:row>
      <xdr:rowOff>0</xdr:rowOff>
    </xdr:from>
    <xdr:to>
      <xdr:col>5</xdr:col>
      <xdr:colOff>9525</xdr:colOff>
      <xdr:row>45</xdr:row>
      <xdr:rowOff>9525</xdr:rowOff>
    </xdr:to>
    <xdr:pic>
      <xdr:nvPicPr>
        <xdr:cNvPr id="141" name="Picture 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45</xdr:row>
      <xdr:rowOff>0</xdr:rowOff>
    </xdr:from>
    <xdr:to>
      <xdr:col>6</xdr:col>
      <xdr:colOff>9525</xdr:colOff>
      <xdr:row>45</xdr:row>
      <xdr:rowOff>9525</xdr:rowOff>
    </xdr:to>
    <xdr:pic>
      <xdr:nvPicPr>
        <xdr:cNvPr id="142" name="Picture 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45</xdr:row>
      <xdr:rowOff>0</xdr:rowOff>
    </xdr:from>
    <xdr:to>
      <xdr:col>7</xdr:col>
      <xdr:colOff>9525</xdr:colOff>
      <xdr:row>45</xdr:row>
      <xdr:rowOff>9525</xdr:rowOff>
    </xdr:to>
    <xdr:pic>
      <xdr:nvPicPr>
        <xdr:cNvPr id="143" name="Picture 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9829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xdr:row>
      <xdr:rowOff>0</xdr:rowOff>
    </xdr:from>
    <xdr:to>
      <xdr:col>1</xdr:col>
      <xdr:colOff>9525</xdr:colOff>
      <xdr:row>46</xdr:row>
      <xdr:rowOff>9525</xdr:rowOff>
    </xdr:to>
    <xdr:pic>
      <xdr:nvPicPr>
        <xdr:cNvPr id="144" name="Picture 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46</xdr:row>
      <xdr:rowOff>0</xdr:rowOff>
    </xdr:from>
    <xdr:to>
      <xdr:col>1</xdr:col>
      <xdr:colOff>9525</xdr:colOff>
      <xdr:row>46</xdr:row>
      <xdr:rowOff>9525</xdr:rowOff>
    </xdr:to>
    <xdr:pic>
      <xdr:nvPicPr>
        <xdr:cNvPr id="145" name="Picture 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46</xdr:row>
      <xdr:rowOff>0</xdr:rowOff>
    </xdr:from>
    <xdr:to>
      <xdr:col>2</xdr:col>
      <xdr:colOff>9525</xdr:colOff>
      <xdr:row>46</xdr:row>
      <xdr:rowOff>9525</xdr:rowOff>
    </xdr:to>
    <xdr:pic>
      <xdr:nvPicPr>
        <xdr:cNvPr id="146" name="Picture 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46</xdr:row>
      <xdr:rowOff>0</xdr:rowOff>
    </xdr:from>
    <xdr:to>
      <xdr:col>3</xdr:col>
      <xdr:colOff>9525</xdr:colOff>
      <xdr:row>46</xdr:row>
      <xdr:rowOff>9525</xdr:rowOff>
    </xdr:to>
    <xdr:pic>
      <xdr:nvPicPr>
        <xdr:cNvPr id="147" name="Picture 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46</xdr:row>
      <xdr:rowOff>0</xdr:rowOff>
    </xdr:from>
    <xdr:to>
      <xdr:col>4</xdr:col>
      <xdr:colOff>9525</xdr:colOff>
      <xdr:row>46</xdr:row>
      <xdr:rowOff>9525</xdr:rowOff>
    </xdr:to>
    <xdr:pic>
      <xdr:nvPicPr>
        <xdr:cNvPr id="148" name="Picture 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46</xdr:row>
      <xdr:rowOff>0</xdr:rowOff>
    </xdr:from>
    <xdr:to>
      <xdr:col>5</xdr:col>
      <xdr:colOff>9525</xdr:colOff>
      <xdr:row>46</xdr:row>
      <xdr:rowOff>9525</xdr:rowOff>
    </xdr:to>
    <xdr:pic>
      <xdr:nvPicPr>
        <xdr:cNvPr id="149" name="Picture 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46</xdr:row>
      <xdr:rowOff>0</xdr:rowOff>
    </xdr:from>
    <xdr:to>
      <xdr:col>6</xdr:col>
      <xdr:colOff>9525</xdr:colOff>
      <xdr:row>46</xdr:row>
      <xdr:rowOff>9525</xdr:rowOff>
    </xdr:to>
    <xdr:pic>
      <xdr:nvPicPr>
        <xdr:cNvPr id="150" name="Picture 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46</xdr:row>
      <xdr:rowOff>0</xdr:rowOff>
    </xdr:from>
    <xdr:to>
      <xdr:col>7</xdr:col>
      <xdr:colOff>9525</xdr:colOff>
      <xdr:row>46</xdr:row>
      <xdr:rowOff>9525</xdr:rowOff>
    </xdr:to>
    <xdr:pic>
      <xdr:nvPicPr>
        <xdr:cNvPr id="151" name="Picture 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0629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9525</xdr:colOff>
      <xdr:row>47</xdr:row>
      <xdr:rowOff>9525</xdr:rowOff>
    </xdr:to>
    <xdr:pic>
      <xdr:nvPicPr>
        <xdr:cNvPr id="152" name="Picture 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47</xdr:row>
      <xdr:rowOff>0</xdr:rowOff>
    </xdr:from>
    <xdr:to>
      <xdr:col>1</xdr:col>
      <xdr:colOff>9525</xdr:colOff>
      <xdr:row>47</xdr:row>
      <xdr:rowOff>9525</xdr:rowOff>
    </xdr:to>
    <xdr:pic>
      <xdr:nvPicPr>
        <xdr:cNvPr id="153" name="Picture 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47</xdr:row>
      <xdr:rowOff>0</xdr:rowOff>
    </xdr:from>
    <xdr:to>
      <xdr:col>2</xdr:col>
      <xdr:colOff>9525</xdr:colOff>
      <xdr:row>47</xdr:row>
      <xdr:rowOff>9525</xdr:rowOff>
    </xdr:to>
    <xdr:pic>
      <xdr:nvPicPr>
        <xdr:cNvPr id="154" name="Picture 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47</xdr:row>
      <xdr:rowOff>0</xdr:rowOff>
    </xdr:from>
    <xdr:to>
      <xdr:col>3</xdr:col>
      <xdr:colOff>9525</xdr:colOff>
      <xdr:row>47</xdr:row>
      <xdr:rowOff>9525</xdr:rowOff>
    </xdr:to>
    <xdr:pic>
      <xdr:nvPicPr>
        <xdr:cNvPr id="155" name="Picture 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46</xdr:row>
      <xdr:rowOff>276225</xdr:rowOff>
    </xdr:from>
    <xdr:to>
      <xdr:col>4</xdr:col>
      <xdr:colOff>38100</xdr:colOff>
      <xdr:row>46</xdr:row>
      <xdr:rowOff>285750</xdr:rowOff>
    </xdr:to>
    <xdr:pic>
      <xdr:nvPicPr>
        <xdr:cNvPr id="156" name="Picture 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48225" y="94583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47</xdr:row>
      <xdr:rowOff>0</xdr:rowOff>
    </xdr:from>
    <xdr:to>
      <xdr:col>5</xdr:col>
      <xdr:colOff>9525</xdr:colOff>
      <xdr:row>47</xdr:row>
      <xdr:rowOff>9525</xdr:rowOff>
    </xdr:to>
    <xdr:pic>
      <xdr:nvPicPr>
        <xdr:cNvPr id="157" name="Picture 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47</xdr:row>
      <xdr:rowOff>0</xdr:rowOff>
    </xdr:from>
    <xdr:to>
      <xdr:col>6</xdr:col>
      <xdr:colOff>9525</xdr:colOff>
      <xdr:row>47</xdr:row>
      <xdr:rowOff>9525</xdr:rowOff>
    </xdr:to>
    <xdr:pic>
      <xdr:nvPicPr>
        <xdr:cNvPr id="158" name="Picture 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47</xdr:row>
      <xdr:rowOff>0</xdr:rowOff>
    </xdr:from>
    <xdr:to>
      <xdr:col>7</xdr:col>
      <xdr:colOff>9525</xdr:colOff>
      <xdr:row>47</xdr:row>
      <xdr:rowOff>9525</xdr:rowOff>
    </xdr:to>
    <xdr:pic>
      <xdr:nvPicPr>
        <xdr:cNvPr id="159" name="Picture 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14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xdr:row>
      <xdr:rowOff>0</xdr:rowOff>
    </xdr:from>
    <xdr:to>
      <xdr:col>1</xdr:col>
      <xdr:colOff>9525</xdr:colOff>
      <xdr:row>48</xdr:row>
      <xdr:rowOff>9525</xdr:rowOff>
    </xdr:to>
    <xdr:pic>
      <xdr:nvPicPr>
        <xdr:cNvPr id="160" name="Picture 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48</xdr:row>
      <xdr:rowOff>0</xdr:rowOff>
    </xdr:from>
    <xdr:to>
      <xdr:col>1</xdr:col>
      <xdr:colOff>9525</xdr:colOff>
      <xdr:row>48</xdr:row>
      <xdr:rowOff>9525</xdr:rowOff>
    </xdr:to>
    <xdr:pic>
      <xdr:nvPicPr>
        <xdr:cNvPr id="161" name="Picture 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48</xdr:row>
      <xdr:rowOff>0</xdr:rowOff>
    </xdr:from>
    <xdr:to>
      <xdr:col>2</xdr:col>
      <xdr:colOff>9525</xdr:colOff>
      <xdr:row>48</xdr:row>
      <xdr:rowOff>9525</xdr:rowOff>
    </xdr:to>
    <xdr:pic>
      <xdr:nvPicPr>
        <xdr:cNvPr id="162" name="Picture 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48</xdr:row>
      <xdr:rowOff>0</xdr:rowOff>
    </xdr:from>
    <xdr:to>
      <xdr:col>3</xdr:col>
      <xdr:colOff>9525</xdr:colOff>
      <xdr:row>48</xdr:row>
      <xdr:rowOff>9525</xdr:rowOff>
    </xdr:to>
    <xdr:pic>
      <xdr:nvPicPr>
        <xdr:cNvPr id="163" name="Picture 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48</xdr:row>
      <xdr:rowOff>0</xdr:rowOff>
    </xdr:from>
    <xdr:to>
      <xdr:col>4</xdr:col>
      <xdr:colOff>9525</xdr:colOff>
      <xdr:row>48</xdr:row>
      <xdr:rowOff>9525</xdr:rowOff>
    </xdr:to>
    <xdr:pic>
      <xdr:nvPicPr>
        <xdr:cNvPr id="164" name="Picture 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48</xdr:row>
      <xdr:rowOff>0</xdr:rowOff>
    </xdr:from>
    <xdr:to>
      <xdr:col>5</xdr:col>
      <xdr:colOff>9525</xdr:colOff>
      <xdr:row>48</xdr:row>
      <xdr:rowOff>9525</xdr:rowOff>
    </xdr:to>
    <xdr:pic>
      <xdr:nvPicPr>
        <xdr:cNvPr id="165" name="Picture 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48</xdr:row>
      <xdr:rowOff>0</xdr:rowOff>
    </xdr:from>
    <xdr:to>
      <xdr:col>6</xdr:col>
      <xdr:colOff>9525</xdr:colOff>
      <xdr:row>48</xdr:row>
      <xdr:rowOff>9525</xdr:rowOff>
    </xdr:to>
    <xdr:pic>
      <xdr:nvPicPr>
        <xdr:cNvPr id="166" name="Picture 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48</xdr:row>
      <xdr:rowOff>0</xdr:rowOff>
    </xdr:from>
    <xdr:to>
      <xdr:col>7</xdr:col>
      <xdr:colOff>9525</xdr:colOff>
      <xdr:row>48</xdr:row>
      <xdr:rowOff>9525</xdr:rowOff>
    </xdr:to>
    <xdr:pic>
      <xdr:nvPicPr>
        <xdr:cNvPr id="167" name="Picture 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2192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9525</xdr:colOff>
      <xdr:row>49</xdr:row>
      <xdr:rowOff>9525</xdr:rowOff>
    </xdr:to>
    <xdr:pic>
      <xdr:nvPicPr>
        <xdr:cNvPr id="168" name="Picture 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49</xdr:row>
      <xdr:rowOff>0</xdr:rowOff>
    </xdr:from>
    <xdr:to>
      <xdr:col>1</xdr:col>
      <xdr:colOff>9525</xdr:colOff>
      <xdr:row>49</xdr:row>
      <xdr:rowOff>9525</xdr:rowOff>
    </xdr:to>
    <xdr:pic>
      <xdr:nvPicPr>
        <xdr:cNvPr id="169" name="Picture 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2</xdr:col>
      <xdr:colOff>9525</xdr:colOff>
      <xdr:row>49</xdr:row>
      <xdr:rowOff>9525</xdr:rowOff>
    </xdr:to>
    <xdr:pic>
      <xdr:nvPicPr>
        <xdr:cNvPr id="170" name="Picture 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49</xdr:row>
      <xdr:rowOff>0</xdr:rowOff>
    </xdr:from>
    <xdr:to>
      <xdr:col>3</xdr:col>
      <xdr:colOff>9525</xdr:colOff>
      <xdr:row>49</xdr:row>
      <xdr:rowOff>9525</xdr:rowOff>
    </xdr:to>
    <xdr:pic>
      <xdr:nvPicPr>
        <xdr:cNvPr id="171" name="Picture 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49</xdr:row>
      <xdr:rowOff>0</xdr:rowOff>
    </xdr:from>
    <xdr:to>
      <xdr:col>4</xdr:col>
      <xdr:colOff>9525</xdr:colOff>
      <xdr:row>49</xdr:row>
      <xdr:rowOff>9525</xdr:rowOff>
    </xdr:to>
    <xdr:pic>
      <xdr:nvPicPr>
        <xdr:cNvPr id="172" name="Picture 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49</xdr:row>
      <xdr:rowOff>0</xdr:rowOff>
    </xdr:from>
    <xdr:to>
      <xdr:col>5</xdr:col>
      <xdr:colOff>9525</xdr:colOff>
      <xdr:row>49</xdr:row>
      <xdr:rowOff>9525</xdr:rowOff>
    </xdr:to>
    <xdr:pic>
      <xdr:nvPicPr>
        <xdr:cNvPr id="173" name="Picture 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49</xdr:row>
      <xdr:rowOff>0</xdr:rowOff>
    </xdr:from>
    <xdr:to>
      <xdr:col>6</xdr:col>
      <xdr:colOff>9525</xdr:colOff>
      <xdr:row>49</xdr:row>
      <xdr:rowOff>9525</xdr:rowOff>
    </xdr:to>
    <xdr:pic>
      <xdr:nvPicPr>
        <xdr:cNvPr id="174" name="Picture 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49</xdr:row>
      <xdr:rowOff>0</xdr:rowOff>
    </xdr:from>
    <xdr:to>
      <xdr:col>7</xdr:col>
      <xdr:colOff>9525</xdr:colOff>
      <xdr:row>49</xdr:row>
      <xdr:rowOff>9525</xdr:rowOff>
    </xdr:to>
    <xdr:pic>
      <xdr:nvPicPr>
        <xdr:cNvPr id="175" name="Picture 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2992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9525</xdr:colOff>
      <xdr:row>50</xdr:row>
      <xdr:rowOff>9525</xdr:rowOff>
    </xdr:to>
    <xdr:pic>
      <xdr:nvPicPr>
        <xdr:cNvPr id="176" name="Picture 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50</xdr:row>
      <xdr:rowOff>0</xdr:rowOff>
    </xdr:from>
    <xdr:to>
      <xdr:col>1</xdr:col>
      <xdr:colOff>9525</xdr:colOff>
      <xdr:row>50</xdr:row>
      <xdr:rowOff>9525</xdr:rowOff>
    </xdr:to>
    <xdr:pic>
      <xdr:nvPicPr>
        <xdr:cNvPr id="177" name="Picture 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50</xdr:row>
      <xdr:rowOff>0</xdr:rowOff>
    </xdr:from>
    <xdr:to>
      <xdr:col>2</xdr:col>
      <xdr:colOff>9525</xdr:colOff>
      <xdr:row>50</xdr:row>
      <xdr:rowOff>9525</xdr:rowOff>
    </xdr:to>
    <xdr:pic>
      <xdr:nvPicPr>
        <xdr:cNvPr id="178" name="Picture 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50</xdr:row>
      <xdr:rowOff>0</xdr:rowOff>
    </xdr:from>
    <xdr:to>
      <xdr:col>3</xdr:col>
      <xdr:colOff>9525</xdr:colOff>
      <xdr:row>50</xdr:row>
      <xdr:rowOff>9525</xdr:rowOff>
    </xdr:to>
    <xdr:pic>
      <xdr:nvPicPr>
        <xdr:cNvPr id="179" name="Picture 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50</xdr:row>
      <xdr:rowOff>0</xdr:rowOff>
    </xdr:from>
    <xdr:to>
      <xdr:col>4</xdr:col>
      <xdr:colOff>9525</xdr:colOff>
      <xdr:row>50</xdr:row>
      <xdr:rowOff>9525</xdr:rowOff>
    </xdr:to>
    <xdr:pic>
      <xdr:nvPicPr>
        <xdr:cNvPr id="180" name="Picture 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50</xdr:row>
      <xdr:rowOff>0</xdr:rowOff>
    </xdr:from>
    <xdr:to>
      <xdr:col>5</xdr:col>
      <xdr:colOff>9525</xdr:colOff>
      <xdr:row>50</xdr:row>
      <xdr:rowOff>9525</xdr:rowOff>
    </xdr:to>
    <xdr:pic>
      <xdr:nvPicPr>
        <xdr:cNvPr id="181" name="Picture 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50</xdr:row>
      <xdr:rowOff>0</xdr:rowOff>
    </xdr:from>
    <xdr:to>
      <xdr:col>6</xdr:col>
      <xdr:colOff>9525</xdr:colOff>
      <xdr:row>50</xdr:row>
      <xdr:rowOff>9525</xdr:rowOff>
    </xdr:to>
    <xdr:pic>
      <xdr:nvPicPr>
        <xdr:cNvPr id="182" name="Picture 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50</xdr:row>
      <xdr:rowOff>0</xdr:rowOff>
    </xdr:from>
    <xdr:to>
      <xdr:col>7</xdr:col>
      <xdr:colOff>9525</xdr:colOff>
      <xdr:row>50</xdr:row>
      <xdr:rowOff>9525</xdr:rowOff>
    </xdr:to>
    <xdr:pic>
      <xdr:nvPicPr>
        <xdr:cNvPr id="183" name="Picture 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37541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xdr:row>
      <xdr:rowOff>0</xdr:rowOff>
    </xdr:from>
    <xdr:to>
      <xdr:col>1</xdr:col>
      <xdr:colOff>9525</xdr:colOff>
      <xdr:row>51</xdr:row>
      <xdr:rowOff>9525</xdr:rowOff>
    </xdr:to>
    <xdr:pic>
      <xdr:nvPicPr>
        <xdr:cNvPr id="184" name="Picture 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51</xdr:row>
      <xdr:rowOff>0</xdr:rowOff>
    </xdr:from>
    <xdr:to>
      <xdr:col>1</xdr:col>
      <xdr:colOff>9525</xdr:colOff>
      <xdr:row>51</xdr:row>
      <xdr:rowOff>9525</xdr:rowOff>
    </xdr:to>
    <xdr:pic>
      <xdr:nvPicPr>
        <xdr:cNvPr id="185" name="Picture 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51</xdr:row>
      <xdr:rowOff>0</xdr:rowOff>
    </xdr:from>
    <xdr:to>
      <xdr:col>2</xdr:col>
      <xdr:colOff>9525</xdr:colOff>
      <xdr:row>51</xdr:row>
      <xdr:rowOff>9525</xdr:rowOff>
    </xdr:to>
    <xdr:pic>
      <xdr:nvPicPr>
        <xdr:cNvPr id="186" name="Picture 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xdr:row>
      <xdr:rowOff>0</xdr:rowOff>
    </xdr:from>
    <xdr:to>
      <xdr:col>3</xdr:col>
      <xdr:colOff>9525</xdr:colOff>
      <xdr:row>51</xdr:row>
      <xdr:rowOff>9525</xdr:rowOff>
    </xdr:to>
    <xdr:pic>
      <xdr:nvPicPr>
        <xdr:cNvPr id="187" name="Picture 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51</xdr:row>
      <xdr:rowOff>0</xdr:rowOff>
    </xdr:from>
    <xdr:to>
      <xdr:col>4</xdr:col>
      <xdr:colOff>9525</xdr:colOff>
      <xdr:row>51</xdr:row>
      <xdr:rowOff>9525</xdr:rowOff>
    </xdr:to>
    <xdr:pic>
      <xdr:nvPicPr>
        <xdr:cNvPr id="188" name="Picture 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51</xdr:row>
      <xdr:rowOff>0</xdr:rowOff>
    </xdr:from>
    <xdr:to>
      <xdr:col>5</xdr:col>
      <xdr:colOff>9525</xdr:colOff>
      <xdr:row>51</xdr:row>
      <xdr:rowOff>9525</xdr:rowOff>
    </xdr:to>
    <xdr:pic>
      <xdr:nvPicPr>
        <xdr:cNvPr id="189" name="Picture 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51</xdr:row>
      <xdr:rowOff>0</xdr:rowOff>
    </xdr:from>
    <xdr:to>
      <xdr:col>6</xdr:col>
      <xdr:colOff>9525</xdr:colOff>
      <xdr:row>51</xdr:row>
      <xdr:rowOff>9525</xdr:rowOff>
    </xdr:to>
    <xdr:pic>
      <xdr:nvPicPr>
        <xdr:cNvPr id="190" name="Picture 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51</xdr:row>
      <xdr:rowOff>0</xdr:rowOff>
    </xdr:from>
    <xdr:to>
      <xdr:col>7</xdr:col>
      <xdr:colOff>9525</xdr:colOff>
      <xdr:row>51</xdr:row>
      <xdr:rowOff>9525</xdr:rowOff>
    </xdr:to>
    <xdr:pic>
      <xdr:nvPicPr>
        <xdr:cNvPr id="191" name="Picture 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4554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1</xdr:col>
      <xdr:colOff>9525</xdr:colOff>
      <xdr:row>52</xdr:row>
      <xdr:rowOff>9525</xdr:rowOff>
    </xdr:to>
    <xdr:pic>
      <xdr:nvPicPr>
        <xdr:cNvPr id="192" name="Picture 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52</xdr:row>
      <xdr:rowOff>0</xdr:rowOff>
    </xdr:from>
    <xdr:to>
      <xdr:col>1</xdr:col>
      <xdr:colOff>9525</xdr:colOff>
      <xdr:row>52</xdr:row>
      <xdr:rowOff>9525</xdr:rowOff>
    </xdr:to>
    <xdr:pic>
      <xdr:nvPicPr>
        <xdr:cNvPr id="193" name="Picture 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xdr:row>
      <xdr:rowOff>0</xdr:rowOff>
    </xdr:from>
    <xdr:to>
      <xdr:col>2</xdr:col>
      <xdr:colOff>9525</xdr:colOff>
      <xdr:row>52</xdr:row>
      <xdr:rowOff>9525</xdr:rowOff>
    </xdr:to>
    <xdr:pic>
      <xdr:nvPicPr>
        <xdr:cNvPr id="194" name="Picture 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52</xdr:row>
      <xdr:rowOff>0</xdr:rowOff>
    </xdr:from>
    <xdr:to>
      <xdr:col>3</xdr:col>
      <xdr:colOff>9525</xdr:colOff>
      <xdr:row>52</xdr:row>
      <xdr:rowOff>9525</xdr:rowOff>
    </xdr:to>
    <xdr:pic>
      <xdr:nvPicPr>
        <xdr:cNvPr id="195" name="Picture 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52</xdr:row>
      <xdr:rowOff>0</xdr:rowOff>
    </xdr:from>
    <xdr:to>
      <xdr:col>4</xdr:col>
      <xdr:colOff>9525</xdr:colOff>
      <xdr:row>52</xdr:row>
      <xdr:rowOff>9525</xdr:rowOff>
    </xdr:to>
    <xdr:pic>
      <xdr:nvPicPr>
        <xdr:cNvPr id="196" name="Picture 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52</xdr:row>
      <xdr:rowOff>0</xdr:rowOff>
    </xdr:from>
    <xdr:to>
      <xdr:col>5</xdr:col>
      <xdr:colOff>9525</xdr:colOff>
      <xdr:row>52</xdr:row>
      <xdr:rowOff>9525</xdr:rowOff>
    </xdr:to>
    <xdr:pic>
      <xdr:nvPicPr>
        <xdr:cNvPr id="197" name="Picture 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52</xdr:row>
      <xdr:rowOff>0</xdr:rowOff>
    </xdr:from>
    <xdr:to>
      <xdr:col>6</xdr:col>
      <xdr:colOff>9525</xdr:colOff>
      <xdr:row>52</xdr:row>
      <xdr:rowOff>9525</xdr:rowOff>
    </xdr:to>
    <xdr:pic>
      <xdr:nvPicPr>
        <xdr:cNvPr id="198" name="Picture 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52</xdr:row>
      <xdr:rowOff>0</xdr:rowOff>
    </xdr:from>
    <xdr:to>
      <xdr:col>7</xdr:col>
      <xdr:colOff>9525</xdr:colOff>
      <xdr:row>52</xdr:row>
      <xdr:rowOff>9525</xdr:rowOff>
    </xdr:to>
    <xdr:pic>
      <xdr:nvPicPr>
        <xdr:cNvPr id="199" name="Picture 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5316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9525</xdr:colOff>
      <xdr:row>53</xdr:row>
      <xdr:rowOff>9525</xdr:rowOff>
    </xdr:to>
    <xdr:pic>
      <xdr:nvPicPr>
        <xdr:cNvPr id="200" name="Picture 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9525</xdr:colOff>
      <xdr:row>53</xdr:row>
      <xdr:rowOff>9525</xdr:rowOff>
    </xdr:to>
    <xdr:pic>
      <xdr:nvPicPr>
        <xdr:cNvPr id="201" name="Picture 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53</xdr:row>
      <xdr:rowOff>0</xdr:rowOff>
    </xdr:from>
    <xdr:to>
      <xdr:col>2</xdr:col>
      <xdr:colOff>9525</xdr:colOff>
      <xdr:row>53</xdr:row>
      <xdr:rowOff>9525</xdr:rowOff>
    </xdr:to>
    <xdr:pic>
      <xdr:nvPicPr>
        <xdr:cNvPr id="202" name="Picture 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xdr:row>
      <xdr:rowOff>0</xdr:rowOff>
    </xdr:from>
    <xdr:to>
      <xdr:col>3</xdr:col>
      <xdr:colOff>9525</xdr:colOff>
      <xdr:row>53</xdr:row>
      <xdr:rowOff>9525</xdr:rowOff>
    </xdr:to>
    <xdr:pic>
      <xdr:nvPicPr>
        <xdr:cNvPr id="203" name="Picture 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53</xdr:row>
      <xdr:rowOff>0</xdr:rowOff>
    </xdr:from>
    <xdr:to>
      <xdr:col>4</xdr:col>
      <xdr:colOff>9525</xdr:colOff>
      <xdr:row>53</xdr:row>
      <xdr:rowOff>9525</xdr:rowOff>
    </xdr:to>
    <xdr:pic>
      <xdr:nvPicPr>
        <xdr:cNvPr id="204" name="Picture 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9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53</xdr:row>
      <xdr:rowOff>0</xdr:rowOff>
    </xdr:from>
    <xdr:to>
      <xdr:col>5</xdr:col>
      <xdr:colOff>9525</xdr:colOff>
      <xdr:row>53</xdr:row>
      <xdr:rowOff>9525</xdr:rowOff>
    </xdr:to>
    <xdr:pic>
      <xdr:nvPicPr>
        <xdr:cNvPr id="205" name="Picture 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681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xdr:row>
      <xdr:rowOff>0</xdr:rowOff>
    </xdr:from>
    <xdr:to>
      <xdr:col>6</xdr:col>
      <xdr:colOff>9525</xdr:colOff>
      <xdr:row>53</xdr:row>
      <xdr:rowOff>9525</xdr:rowOff>
    </xdr:to>
    <xdr:pic>
      <xdr:nvPicPr>
        <xdr:cNvPr id="206" name="Picture 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69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53</xdr:row>
      <xdr:rowOff>0</xdr:rowOff>
    </xdr:from>
    <xdr:to>
      <xdr:col>7</xdr:col>
      <xdr:colOff>9525</xdr:colOff>
      <xdr:row>53</xdr:row>
      <xdr:rowOff>9525</xdr:rowOff>
    </xdr:to>
    <xdr:pic>
      <xdr:nvPicPr>
        <xdr:cNvPr id="207" name="Picture 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516100" y="16116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9525</xdr:colOff>
      <xdr:row>53</xdr:row>
      <xdr:rowOff>9525</xdr:rowOff>
    </xdr:to>
    <xdr:pic>
      <xdr:nvPicPr>
        <xdr:cNvPr id="208" name="Picture 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53</xdr:row>
      <xdr:rowOff>0</xdr:rowOff>
    </xdr:from>
    <xdr:to>
      <xdr:col>1</xdr:col>
      <xdr:colOff>9525</xdr:colOff>
      <xdr:row>53</xdr:row>
      <xdr:rowOff>9525</xdr:rowOff>
    </xdr:to>
    <xdr:pic>
      <xdr:nvPicPr>
        <xdr:cNvPr id="209" name="Picture 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53</xdr:row>
      <xdr:rowOff>0</xdr:rowOff>
    </xdr:from>
    <xdr:to>
      <xdr:col>2</xdr:col>
      <xdr:colOff>9525</xdr:colOff>
      <xdr:row>53</xdr:row>
      <xdr:rowOff>9525</xdr:rowOff>
    </xdr:to>
    <xdr:pic>
      <xdr:nvPicPr>
        <xdr:cNvPr id="210" name="Picture 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53</xdr:row>
      <xdr:rowOff>0</xdr:rowOff>
    </xdr:from>
    <xdr:to>
      <xdr:col>3</xdr:col>
      <xdr:colOff>9525</xdr:colOff>
      <xdr:row>53</xdr:row>
      <xdr:rowOff>9525</xdr:rowOff>
    </xdr:to>
    <xdr:pic>
      <xdr:nvPicPr>
        <xdr:cNvPr id="211" name="Picture 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53</xdr:row>
      <xdr:rowOff>0</xdr:rowOff>
    </xdr:from>
    <xdr:to>
      <xdr:col>4</xdr:col>
      <xdr:colOff>9525</xdr:colOff>
      <xdr:row>53</xdr:row>
      <xdr:rowOff>9525</xdr:rowOff>
    </xdr:to>
    <xdr:pic>
      <xdr:nvPicPr>
        <xdr:cNvPr id="212" name="Picture 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1800"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53</xdr:row>
      <xdr:rowOff>0</xdr:rowOff>
    </xdr:from>
    <xdr:to>
      <xdr:col>5</xdr:col>
      <xdr:colOff>9525</xdr:colOff>
      <xdr:row>53</xdr:row>
      <xdr:rowOff>9525</xdr:rowOff>
    </xdr:to>
    <xdr:pic>
      <xdr:nvPicPr>
        <xdr:cNvPr id="213" name="Picture 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0"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53</xdr:row>
      <xdr:rowOff>0</xdr:rowOff>
    </xdr:from>
    <xdr:to>
      <xdr:col>6</xdr:col>
      <xdr:colOff>9525</xdr:colOff>
      <xdr:row>53</xdr:row>
      <xdr:rowOff>9525</xdr:rowOff>
    </xdr:to>
    <xdr:pic>
      <xdr:nvPicPr>
        <xdr:cNvPr id="214" name="Picture 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53</xdr:row>
      <xdr:rowOff>0</xdr:rowOff>
    </xdr:from>
    <xdr:to>
      <xdr:col>7</xdr:col>
      <xdr:colOff>9525</xdr:colOff>
      <xdr:row>53</xdr:row>
      <xdr:rowOff>9525</xdr:rowOff>
    </xdr:to>
    <xdr:pic>
      <xdr:nvPicPr>
        <xdr:cNvPr id="215" name="Picture 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0" y="11163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9525</xdr:colOff>
      <xdr:row>54</xdr:row>
      <xdr:rowOff>9525</xdr:rowOff>
    </xdr:to>
    <xdr:pic>
      <xdr:nvPicPr>
        <xdr:cNvPr id="216" name="Picture 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54</xdr:row>
      <xdr:rowOff>0</xdr:rowOff>
    </xdr:from>
    <xdr:to>
      <xdr:col>1</xdr:col>
      <xdr:colOff>9525</xdr:colOff>
      <xdr:row>54</xdr:row>
      <xdr:rowOff>9525</xdr:rowOff>
    </xdr:to>
    <xdr:pic>
      <xdr:nvPicPr>
        <xdr:cNvPr id="217" name="Picture 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54</xdr:row>
      <xdr:rowOff>0</xdr:rowOff>
    </xdr:from>
    <xdr:to>
      <xdr:col>2</xdr:col>
      <xdr:colOff>9525</xdr:colOff>
      <xdr:row>54</xdr:row>
      <xdr:rowOff>9525</xdr:rowOff>
    </xdr:to>
    <xdr:pic>
      <xdr:nvPicPr>
        <xdr:cNvPr id="218" name="Picture 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54</xdr:row>
      <xdr:rowOff>0</xdr:rowOff>
    </xdr:from>
    <xdr:to>
      <xdr:col>3</xdr:col>
      <xdr:colOff>9525</xdr:colOff>
      <xdr:row>54</xdr:row>
      <xdr:rowOff>9525</xdr:rowOff>
    </xdr:to>
    <xdr:pic>
      <xdr:nvPicPr>
        <xdr:cNvPr id="219" name="Picture 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54</xdr:row>
      <xdr:rowOff>0</xdr:rowOff>
    </xdr:from>
    <xdr:to>
      <xdr:col>4</xdr:col>
      <xdr:colOff>9525</xdr:colOff>
      <xdr:row>54</xdr:row>
      <xdr:rowOff>9525</xdr:rowOff>
    </xdr:to>
    <xdr:pic>
      <xdr:nvPicPr>
        <xdr:cNvPr id="220" name="Picture 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1800"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54</xdr:row>
      <xdr:rowOff>0</xdr:rowOff>
    </xdr:from>
    <xdr:to>
      <xdr:col>5</xdr:col>
      <xdr:colOff>9525</xdr:colOff>
      <xdr:row>54</xdr:row>
      <xdr:rowOff>9525</xdr:rowOff>
    </xdr:to>
    <xdr:pic>
      <xdr:nvPicPr>
        <xdr:cNvPr id="221" name="Picture 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0"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54</xdr:row>
      <xdr:rowOff>0</xdr:rowOff>
    </xdr:from>
    <xdr:to>
      <xdr:col>6</xdr:col>
      <xdr:colOff>9525</xdr:colOff>
      <xdr:row>54</xdr:row>
      <xdr:rowOff>9525</xdr:rowOff>
    </xdr:to>
    <xdr:pic>
      <xdr:nvPicPr>
        <xdr:cNvPr id="222" name="Picture 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0</xdr:rowOff>
    </xdr:from>
    <xdr:to>
      <xdr:col>7</xdr:col>
      <xdr:colOff>9525</xdr:colOff>
      <xdr:row>54</xdr:row>
      <xdr:rowOff>9525</xdr:rowOff>
    </xdr:to>
    <xdr:pic>
      <xdr:nvPicPr>
        <xdr:cNvPr id="223" name="Picture 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0" y="11925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0</xdr:rowOff>
    </xdr:from>
    <xdr:to>
      <xdr:col>1</xdr:col>
      <xdr:colOff>9525</xdr:colOff>
      <xdr:row>55</xdr:row>
      <xdr:rowOff>9525</xdr:rowOff>
    </xdr:to>
    <xdr:pic>
      <xdr:nvPicPr>
        <xdr:cNvPr id="224" name="Picture 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55</xdr:row>
      <xdr:rowOff>0</xdr:rowOff>
    </xdr:from>
    <xdr:to>
      <xdr:col>1</xdr:col>
      <xdr:colOff>9525</xdr:colOff>
      <xdr:row>55</xdr:row>
      <xdr:rowOff>9525</xdr:rowOff>
    </xdr:to>
    <xdr:pic>
      <xdr:nvPicPr>
        <xdr:cNvPr id="225" name="Picture 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55</xdr:row>
      <xdr:rowOff>0</xdr:rowOff>
    </xdr:from>
    <xdr:to>
      <xdr:col>2</xdr:col>
      <xdr:colOff>9525</xdr:colOff>
      <xdr:row>55</xdr:row>
      <xdr:rowOff>9525</xdr:rowOff>
    </xdr:to>
    <xdr:pic>
      <xdr:nvPicPr>
        <xdr:cNvPr id="226" name="Picture 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3</xdr:col>
      <xdr:colOff>9525</xdr:colOff>
      <xdr:row>55</xdr:row>
      <xdr:rowOff>9525</xdr:rowOff>
    </xdr:to>
    <xdr:pic>
      <xdr:nvPicPr>
        <xdr:cNvPr id="227" name="Picture 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55</xdr:row>
      <xdr:rowOff>0</xdr:rowOff>
    </xdr:from>
    <xdr:to>
      <xdr:col>4</xdr:col>
      <xdr:colOff>9525</xdr:colOff>
      <xdr:row>55</xdr:row>
      <xdr:rowOff>9525</xdr:rowOff>
    </xdr:to>
    <xdr:pic>
      <xdr:nvPicPr>
        <xdr:cNvPr id="228" name="Picture 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1800"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55</xdr:row>
      <xdr:rowOff>0</xdr:rowOff>
    </xdr:from>
    <xdr:to>
      <xdr:col>5</xdr:col>
      <xdr:colOff>9525</xdr:colOff>
      <xdr:row>55</xdr:row>
      <xdr:rowOff>9525</xdr:rowOff>
    </xdr:to>
    <xdr:pic>
      <xdr:nvPicPr>
        <xdr:cNvPr id="229" name="Picture 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0"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55</xdr:row>
      <xdr:rowOff>0</xdr:rowOff>
    </xdr:from>
    <xdr:to>
      <xdr:col>6</xdr:col>
      <xdr:colOff>9525</xdr:colOff>
      <xdr:row>55</xdr:row>
      <xdr:rowOff>9525</xdr:rowOff>
    </xdr:to>
    <xdr:pic>
      <xdr:nvPicPr>
        <xdr:cNvPr id="230" name="Picture 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55</xdr:row>
      <xdr:rowOff>0</xdr:rowOff>
    </xdr:from>
    <xdr:to>
      <xdr:col>7</xdr:col>
      <xdr:colOff>9525</xdr:colOff>
      <xdr:row>55</xdr:row>
      <xdr:rowOff>9525</xdr:rowOff>
    </xdr:to>
    <xdr:pic>
      <xdr:nvPicPr>
        <xdr:cNvPr id="231" name="Picture 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0" y="12725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32" name="Picture 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33" name="Picture 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34" name="Picture 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19650"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235" name="Picture 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29475"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36" name="Picture 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1800"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37" name="Picture 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11000"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238" name="Picture 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639800"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239" name="Picture 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59000" y="134874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57</xdr:row>
      <xdr:rowOff>0</xdr:rowOff>
    </xdr:from>
    <xdr:ext cx="7620" cy="7620"/>
    <xdr:pic>
      <xdr:nvPicPr>
        <xdr:cNvPr id="2" name="Picture 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57</xdr:row>
      <xdr:rowOff>0</xdr:rowOff>
    </xdr:from>
    <xdr:ext cx="7620" cy="7620"/>
    <xdr:pic>
      <xdr:nvPicPr>
        <xdr:cNvPr id="3" name="Picture 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57</xdr:row>
      <xdr:rowOff>0</xdr:rowOff>
    </xdr:from>
    <xdr:ext cx="7620" cy="7620"/>
    <xdr:pic>
      <xdr:nvPicPr>
        <xdr:cNvPr id="4" name="Picture 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57</xdr:row>
      <xdr:rowOff>0</xdr:rowOff>
    </xdr:from>
    <xdr:ext cx="7620" cy="7620"/>
    <xdr:pic>
      <xdr:nvPicPr>
        <xdr:cNvPr id="5" name="Picture 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57</xdr:row>
      <xdr:rowOff>0</xdr:rowOff>
    </xdr:from>
    <xdr:ext cx="7620" cy="7620"/>
    <xdr:pic>
      <xdr:nvPicPr>
        <xdr:cNvPr id="6" name="Picture 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57</xdr:row>
      <xdr:rowOff>0</xdr:rowOff>
    </xdr:from>
    <xdr:ext cx="7620" cy="7620"/>
    <xdr:pic>
      <xdr:nvPicPr>
        <xdr:cNvPr id="7" name="Picture 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57</xdr:row>
      <xdr:rowOff>0</xdr:rowOff>
    </xdr:from>
    <xdr:ext cx="7620" cy="7620"/>
    <xdr:pic>
      <xdr:nvPicPr>
        <xdr:cNvPr id="8" name="Picture 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57</xdr:row>
      <xdr:rowOff>0</xdr:rowOff>
    </xdr:from>
    <xdr:ext cx="7620" cy="7620"/>
    <xdr:pic>
      <xdr:nvPicPr>
        <xdr:cNvPr id="9" name="Picture 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2346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58</xdr:row>
      <xdr:rowOff>0</xdr:rowOff>
    </xdr:from>
    <xdr:ext cx="7620" cy="7620"/>
    <xdr:pic>
      <xdr:nvPicPr>
        <xdr:cNvPr id="10" name="Picture 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58</xdr:row>
      <xdr:rowOff>0</xdr:rowOff>
    </xdr:from>
    <xdr:ext cx="7620" cy="7620"/>
    <xdr:pic>
      <xdr:nvPicPr>
        <xdr:cNvPr id="11" name="Picture 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58</xdr:row>
      <xdr:rowOff>0</xdr:rowOff>
    </xdr:from>
    <xdr:ext cx="7620" cy="7620"/>
    <xdr:pic>
      <xdr:nvPicPr>
        <xdr:cNvPr id="12" name="Picture 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58</xdr:row>
      <xdr:rowOff>0</xdr:rowOff>
    </xdr:from>
    <xdr:ext cx="7620" cy="7620"/>
    <xdr:pic>
      <xdr:nvPicPr>
        <xdr:cNvPr id="13" name="Picture 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58</xdr:row>
      <xdr:rowOff>0</xdr:rowOff>
    </xdr:from>
    <xdr:ext cx="7620" cy="7620"/>
    <xdr:pic>
      <xdr:nvPicPr>
        <xdr:cNvPr id="14" name="Picture 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58</xdr:row>
      <xdr:rowOff>0</xdr:rowOff>
    </xdr:from>
    <xdr:ext cx="7620" cy="7620"/>
    <xdr:pic>
      <xdr:nvPicPr>
        <xdr:cNvPr id="15" name="Picture 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58</xdr:row>
      <xdr:rowOff>0</xdr:rowOff>
    </xdr:from>
    <xdr:ext cx="7620" cy="7620"/>
    <xdr:pic>
      <xdr:nvPicPr>
        <xdr:cNvPr id="16" name="Picture 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58</xdr:row>
      <xdr:rowOff>0</xdr:rowOff>
    </xdr:from>
    <xdr:ext cx="7620" cy="7620"/>
    <xdr:pic>
      <xdr:nvPicPr>
        <xdr:cNvPr id="17" name="Picture 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2667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60</xdr:row>
      <xdr:rowOff>0</xdr:rowOff>
    </xdr:from>
    <xdr:ext cx="7620" cy="7620"/>
    <xdr:pic>
      <xdr:nvPicPr>
        <xdr:cNvPr id="18" name="Picture 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60</xdr:row>
      <xdr:rowOff>0</xdr:rowOff>
    </xdr:from>
    <xdr:ext cx="7620" cy="7620"/>
    <xdr:pic>
      <xdr:nvPicPr>
        <xdr:cNvPr id="19" name="Picture 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60</xdr:row>
      <xdr:rowOff>0</xdr:rowOff>
    </xdr:from>
    <xdr:ext cx="7620" cy="7620"/>
    <xdr:pic>
      <xdr:nvPicPr>
        <xdr:cNvPr id="20" name="Picture 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60</xdr:row>
      <xdr:rowOff>0</xdr:rowOff>
    </xdr:from>
    <xdr:ext cx="7620" cy="7620"/>
    <xdr:pic>
      <xdr:nvPicPr>
        <xdr:cNvPr id="21" name="Picture 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60</xdr:row>
      <xdr:rowOff>0</xdr:rowOff>
    </xdr:from>
    <xdr:ext cx="7620" cy="7620"/>
    <xdr:pic>
      <xdr:nvPicPr>
        <xdr:cNvPr id="22" name="Picture 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60</xdr:row>
      <xdr:rowOff>0</xdr:rowOff>
    </xdr:from>
    <xdr:ext cx="7620" cy="7620"/>
    <xdr:pic>
      <xdr:nvPicPr>
        <xdr:cNvPr id="23" name="Picture 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60</xdr:row>
      <xdr:rowOff>0</xdr:rowOff>
    </xdr:from>
    <xdr:ext cx="7620" cy="7620"/>
    <xdr:pic>
      <xdr:nvPicPr>
        <xdr:cNvPr id="24" name="Picture 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60</xdr:row>
      <xdr:rowOff>0</xdr:rowOff>
    </xdr:from>
    <xdr:ext cx="7620" cy="7620"/>
    <xdr:pic>
      <xdr:nvPicPr>
        <xdr:cNvPr id="25" name="Picture 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28803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61</xdr:row>
      <xdr:rowOff>0</xdr:rowOff>
    </xdr:from>
    <xdr:ext cx="7620" cy="7620"/>
    <xdr:pic>
      <xdr:nvPicPr>
        <xdr:cNvPr id="26" name="Picture 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61</xdr:row>
      <xdr:rowOff>0</xdr:rowOff>
    </xdr:from>
    <xdr:ext cx="7620" cy="7620"/>
    <xdr:pic>
      <xdr:nvPicPr>
        <xdr:cNvPr id="27" name="Picture 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61</xdr:row>
      <xdr:rowOff>0</xdr:rowOff>
    </xdr:from>
    <xdr:ext cx="7620" cy="7620"/>
    <xdr:pic>
      <xdr:nvPicPr>
        <xdr:cNvPr id="28" name="Picture 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61</xdr:row>
      <xdr:rowOff>0</xdr:rowOff>
    </xdr:from>
    <xdr:ext cx="7620" cy="7620"/>
    <xdr:pic>
      <xdr:nvPicPr>
        <xdr:cNvPr id="29" name="Picture 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61</xdr:row>
      <xdr:rowOff>0</xdr:rowOff>
    </xdr:from>
    <xdr:ext cx="7620" cy="7620"/>
    <xdr:pic>
      <xdr:nvPicPr>
        <xdr:cNvPr id="30" name="Picture 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61</xdr:row>
      <xdr:rowOff>0</xdr:rowOff>
    </xdr:from>
    <xdr:ext cx="7620" cy="7620"/>
    <xdr:pic>
      <xdr:nvPicPr>
        <xdr:cNvPr id="31" name="Picture 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61</xdr:row>
      <xdr:rowOff>0</xdr:rowOff>
    </xdr:from>
    <xdr:ext cx="7620" cy="7620"/>
    <xdr:pic>
      <xdr:nvPicPr>
        <xdr:cNvPr id="32" name="Picture 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0</xdr:colOff>
      <xdr:row>61</xdr:row>
      <xdr:rowOff>0</xdr:rowOff>
    </xdr:from>
    <xdr:ext cx="7620" cy="7620"/>
    <xdr:pic>
      <xdr:nvPicPr>
        <xdr:cNvPr id="33" name="Picture 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3200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62</xdr:row>
      <xdr:rowOff>0</xdr:rowOff>
    </xdr:from>
    <xdr:ext cx="7620" cy="7620"/>
    <xdr:pic>
      <xdr:nvPicPr>
        <xdr:cNvPr id="34" name="Picture 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62</xdr:row>
      <xdr:rowOff>0</xdr:rowOff>
    </xdr:from>
    <xdr:ext cx="7620" cy="7620"/>
    <xdr:pic>
      <xdr:nvPicPr>
        <xdr:cNvPr id="35" name="Picture 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62</xdr:row>
      <xdr:rowOff>0</xdr:rowOff>
    </xdr:from>
    <xdr:ext cx="7620" cy="7620"/>
    <xdr:pic>
      <xdr:nvPicPr>
        <xdr:cNvPr id="36" name="Picture 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62</xdr:row>
      <xdr:rowOff>0</xdr:rowOff>
    </xdr:from>
    <xdr:ext cx="7620" cy="7620"/>
    <xdr:pic>
      <xdr:nvPicPr>
        <xdr:cNvPr id="37" name="Picture 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62</xdr:row>
      <xdr:rowOff>0</xdr:rowOff>
    </xdr:from>
    <xdr:ext cx="7620" cy="7620"/>
    <xdr:pic>
      <xdr:nvPicPr>
        <xdr:cNvPr id="38" name="Picture 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62</xdr:row>
      <xdr:rowOff>0</xdr:rowOff>
    </xdr:from>
    <xdr:ext cx="7620" cy="7620"/>
    <xdr:pic>
      <xdr:nvPicPr>
        <xdr:cNvPr id="39" name="Picture 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6</xdr:col>
      <xdr:colOff>0</xdr:colOff>
      <xdr:row>62</xdr:row>
      <xdr:rowOff>0</xdr:rowOff>
    </xdr:from>
    <xdr:to>
      <xdr:col>6</xdr:col>
      <xdr:colOff>7620</xdr:colOff>
      <xdr:row>62</xdr:row>
      <xdr:rowOff>7620</xdr:rowOff>
    </xdr:to>
    <xdr:pic>
      <xdr:nvPicPr>
        <xdr:cNvPr id="40" name="Picture 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62</xdr:row>
      <xdr:rowOff>0</xdr:rowOff>
    </xdr:from>
    <xdr:to>
      <xdr:col>7</xdr:col>
      <xdr:colOff>7620</xdr:colOff>
      <xdr:row>62</xdr:row>
      <xdr:rowOff>7620</xdr:rowOff>
    </xdr:to>
    <xdr:pic>
      <xdr:nvPicPr>
        <xdr:cNvPr id="41" name="Picture 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3413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2" name="Picture 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3" name="Picture 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4" name="Picture 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5" name="Picture 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6" name="Picture 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7" name="Picture 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8" name="Picture 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64</xdr:row>
      <xdr:rowOff>0</xdr:rowOff>
    </xdr:from>
    <xdr:to>
      <xdr:col>7</xdr:col>
      <xdr:colOff>7620</xdr:colOff>
      <xdr:row>64</xdr:row>
      <xdr:rowOff>7620</xdr:rowOff>
    </xdr:to>
    <xdr:pic>
      <xdr:nvPicPr>
        <xdr:cNvPr id="49" name="Picture 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3733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7620</xdr:colOff>
      <xdr:row>63</xdr:row>
      <xdr:rowOff>7620</xdr:rowOff>
    </xdr:to>
    <xdr:pic>
      <xdr:nvPicPr>
        <xdr:cNvPr id="58" name="Picture 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7620</xdr:colOff>
      <xdr:row>63</xdr:row>
      <xdr:rowOff>7620</xdr:rowOff>
    </xdr:to>
    <xdr:pic>
      <xdr:nvPicPr>
        <xdr:cNvPr id="59" name="Picture 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63</xdr:row>
      <xdr:rowOff>0</xdr:rowOff>
    </xdr:from>
    <xdr:to>
      <xdr:col>2</xdr:col>
      <xdr:colOff>7620</xdr:colOff>
      <xdr:row>63</xdr:row>
      <xdr:rowOff>7620</xdr:rowOff>
    </xdr:to>
    <xdr:pic>
      <xdr:nvPicPr>
        <xdr:cNvPr id="60" name="Picture 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3</xdr:col>
      <xdr:colOff>7620</xdr:colOff>
      <xdr:row>63</xdr:row>
      <xdr:rowOff>7620</xdr:rowOff>
    </xdr:to>
    <xdr:pic>
      <xdr:nvPicPr>
        <xdr:cNvPr id="61" name="Picture 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63</xdr:row>
      <xdr:rowOff>0</xdr:rowOff>
    </xdr:from>
    <xdr:to>
      <xdr:col>4</xdr:col>
      <xdr:colOff>7620</xdr:colOff>
      <xdr:row>63</xdr:row>
      <xdr:rowOff>7620</xdr:rowOff>
    </xdr:to>
    <xdr:pic>
      <xdr:nvPicPr>
        <xdr:cNvPr id="62" name="Picture 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63</xdr:row>
      <xdr:rowOff>0</xdr:rowOff>
    </xdr:from>
    <xdr:to>
      <xdr:col>5</xdr:col>
      <xdr:colOff>7620</xdr:colOff>
      <xdr:row>63</xdr:row>
      <xdr:rowOff>7620</xdr:rowOff>
    </xdr:to>
    <xdr:pic>
      <xdr:nvPicPr>
        <xdr:cNvPr id="63" name="Picture 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xdr:row>
      <xdr:rowOff>0</xdr:rowOff>
    </xdr:from>
    <xdr:to>
      <xdr:col>6</xdr:col>
      <xdr:colOff>7620</xdr:colOff>
      <xdr:row>63</xdr:row>
      <xdr:rowOff>7620</xdr:rowOff>
    </xdr:to>
    <xdr:pic>
      <xdr:nvPicPr>
        <xdr:cNvPr id="64" name="Picture 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63</xdr:row>
      <xdr:rowOff>0</xdr:rowOff>
    </xdr:from>
    <xdr:to>
      <xdr:col>7</xdr:col>
      <xdr:colOff>7620</xdr:colOff>
      <xdr:row>63</xdr:row>
      <xdr:rowOff>7620</xdr:rowOff>
    </xdr:to>
    <xdr:pic>
      <xdr:nvPicPr>
        <xdr:cNvPr id="65" name="Picture 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4373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7620</xdr:colOff>
      <xdr:row>65</xdr:row>
      <xdr:rowOff>7620</xdr:rowOff>
    </xdr:to>
    <xdr:pic>
      <xdr:nvPicPr>
        <xdr:cNvPr id="66" name="Picture 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7620</xdr:colOff>
      <xdr:row>65</xdr:row>
      <xdr:rowOff>7620</xdr:rowOff>
    </xdr:to>
    <xdr:pic>
      <xdr:nvPicPr>
        <xdr:cNvPr id="67" name="Picture 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65</xdr:row>
      <xdr:rowOff>0</xdr:rowOff>
    </xdr:from>
    <xdr:to>
      <xdr:col>2</xdr:col>
      <xdr:colOff>7620</xdr:colOff>
      <xdr:row>65</xdr:row>
      <xdr:rowOff>7620</xdr:rowOff>
    </xdr:to>
    <xdr:pic>
      <xdr:nvPicPr>
        <xdr:cNvPr id="68" name="Picture 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7620</xdr:colOff>
      <xdr:row>65</xdr:row>
      <xdr:rowOff>7620</xdr:rowOff>
    </xdr:to>
    <xdr:pic>
      <xdr:nvPicPr>
        <xdr:cNvPr id="69" name="Picture 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65</xdr:row>
      <xdr:rowOff>0</xdr:rowOff>
    </xdr:from>
    <xdr:to>
      <xdr:col>4</xdr:col>
      <xdr:colOff>7620</xdr:colOff>
      <xdr:row>65</xdr:row>
      <xdr:rowOff>7620</xdr:rowOff>
    </xdr:to>
    <xdr:pic>
      <xdr:nvPicPr>
        <xdr:cNvPr id="70" name="Picture 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65</xdr:row>
      <xdr:rowOff>0</xdr:rowOff>
    </xdr:from>
    <xdr:to>
      <xdr:col>5</xdr:col>
      <xdr:colOff>7620</xdr:colOff>
      <xdr:row>65</xdr:row>
      <xdr:rowOff>7620</xdr:rowOff>
    </xdr:to>
    <xdr:pic>
      <xdr:nvPicPr>
        <xdr:cNvPr id="71" name="Picture 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xdr:row>
      <xdr:rowOff>0</xdr:rowOff>
    </xdr:from>
    <xdr:to>
      <xdr:col>6</xdr:col>
      <xdr:colOff>7620</xdr:colOff>
      <xdr:row>65</xdr:row>
      <xdr:rowOff>7620</xdr:rowOff>
    </xdr:to>
    <xdr:pic>
      <xdr:nvPicPr>
        <xdr:cNvPr id="72" name="Picture 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65</xdr:row>
      <xdr:rowOff>0</xdr:rowOff>
    </xdr:from>
    <xdr:to>
      <xdr:col>7</xdr:col>
      <xdr:colOff>7620</xdr:colOff>
      <xdr:row>65</xdr:row>
      <xdr:rowOff>7620</xdr:rowOff>
    </xdr:to>
    <xdr:pic>
      <xdr:nvPicPr>
        <xdr:cNvPr id="73" name="Picture 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4587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7620</xdr:colOff>
      <xdr:row>66</xdr:row>
      <xdr:rowOff>7620</xdr:rowOff>
    </xdr:to>
    <xdr:pic>
      <xdr:nvPicPr>
        <xdr:cNvPr id="74" name="Picture 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7620</xdr:colOff>
      <xdr:row>66</xdr:row>
      <xdr:rowOff>7620</xdr:rowOff>
    </xdr:to>
    <xdr:pic>
      <xdr:nvPicPr>
        <xdr:cNvPr id="75" name="Picture 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66</xdr:row>
      <xdr:rowOff>0</xdr:rowOff>
    </xdr:from>
    <xdr:to>
      <xdr:col>2</xdr:col>
      <xdr:colOff>7620</xdr:colOff>
      <xdr:row>66</xdr:row>
      <xdr:rowOff>7620</xdr:rowOff>
    </xdr:to>
    <xdr:pic>
      <xdr:nvPicPr>
        <xdr:cNvPr id="76" name="Picture 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xdr:row>
      <xdr:rowOff>0</xdr:rowOff>
    </xdr:from>
    <xdr:to>
      <xdr:col>3</xdr:col>
      <xdr:colOff>7620</xdr:colOff>
      <xdr:row>66</xdr:row>
      <xdr:rowOff>7620</xdr:rowOff>
    </xdr:to>
    <xdr:pic>
      <xdr:nvPicPr>
        <xdr:cNvPr id="77" name="Picture 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66</xdr:row>
      <xdr:rowOff>0</xdr:rowOff>
    </xdr:from>
    <xdr:to>
      <xdr:col>4</xdr:col>
      <xdr:colOff>7620</xdr:colOff>
      <xdr:row>66</xdr:row>
      <xdr:rowOff>7620</xdr:rowOff>
    </xdr:to>
    <xdr:pic>
      <xdr:nvPicPr>
        <xdr:cNvPr id="78" name="Picture 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66</xdr:row>
      <xdr:rowOff>0</xdr:rowOff>
    </xdr:from>
    <xdr:to>
      <xdr:col>5</xdr:col>
      <xdr:colOff>7620</xdr:colOff>
      <xdr:row>66</xdr:row>
      <xdr:rowOff>7620</xdr:rowOff>
    </xdr:to>
    <xdr:pic>
      <xdr:nvPicPr>
        <xdr:cNvPr id="79" name="Picture 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xdr:row>
      <xdr:rowOff>0</xdr:rowOff>
    </xdr:from>
    <xdr:to>
      <xdr:col>6</xdr:col>
      <xdr:colOff>7620</xdr:colOff>
      <xdr:row>66</xdr:row>
      <xdr:rowOff>7620</xdr:rowOff>
    </xdr:to>
    <xdr:pic>
      <xdr:nvPicPr>
        <xdr:cNvPr id="80" name="Picture 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0</xdr:rowOff>
    </xdr:from>
    <xdr:to>
      <xdr:col>7</xdr:col>
      <xdr:colOff>7620</xdr:colOff>
      <xdr:row>66</xdr:row>
      <xdr:rowOff>7620</xdr:rowOff>
    </xdr:to>
    <xdr:pic>
      <xdr:nvPicPr>
        <xdr:cNvPr id="81" name="Picture 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4800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7620</xdr:colOff>
      <xdr:row>67</xdr:row>
      <xdr:rowOff>7620</xdr:rowOff>
    </xdr:to>
    <xdr:pic>
      <xdr:nvPicPr>
        <xdr:cNvPr id="82" name="Picture 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7620</xdr:colOff>
      <xdr:row>67</xdr:row>
      <xdr:rowOff>7620</xdr:rowOff>
    </xdr:to>
    <xdr:pic>
      <xdr:nvPicPr>
        <xdr:cNvPr id="83" name="Picture 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67</xdr:row>
      <xdr:rowOff>0</xdr:rowOff>
    </xdr:from>
    <xdr:to>
      <xdr:col>2</xdr:col>
      <xdr:colOff>7620</xdr:colOff>
      <xdr:row>67</xdr:row>
      <xdr:rowOff>7620</xdr:rowOff>
    </xdr:to>
    <xdr:pic>
      <xdr:nvPicPr>
        <xdr:cNvPr id="84" name="Picture 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xdr:row>
      <xdr:rowOff>0</xdr:rowOff>
    </xdr:from>
    <xdr:to>
      <xdr:col>3</xdr:col>
      <xdr:colOff>7620</xdr:colOff>
      <xdr:row>67</xdr:row>
      <xdr:rowOff>7620</xdr:rowOff>
    </xdr:to>
    <xdr:pic>
      <xdr:nvPicPr>
        <xdr:cNvPr id="85" name="Picture 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67</xdr:row>
      <xdr:rowOff>0</xdr:rowOff>
    </xdr:from>
    <xdr:to>
      <xdr:col>4</xdr:col>
      <xdr:colOff>7620</xdr:colOff>
      <xdr:row>67</xdr:row>
      <xdr:rowOff>7620</xdr:rowOff>
    </xdr:to>
    <xdr:pic>
      <xdr:nvPicPr>
        <xdr:cNvPr id="86" name="Picture 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67</xdr:row>
      <xdr:rowOff>0</xdr:rowOff>
    </xdr:from>
    <xdr:to>
      <xdr:col>5</xdr:col>
      <xdr:colOff>7620</xdr:colOff>
      <xdr:row>67</xdr:row>
      <xdr:rowOff>7620</xdr:rowOff>
    </xdr:to>
    <xdr:pic>
      <xdr:nvPicPr>
        <xdr:cNvPr id="87" name="Picture 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67</xdr:row>
      <xdr:rowOff>0</xdr:rowOff>
    </xdr:from>
    <xdr:to>
      <xdr:col>6</xdr:col>
      <xdr:colOff>7620</xdr:colOff>
      <xdr:row>67</xdr:row>
      <xdr:rowOff>7620</xdr:rowOff>
    </xdr:to>
    <xdr:pic>
      <xdr:nvPicPr>
        <xdr:cNvPr id="88" name="Picture 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67</xdr:row>
      <xdr:rowOff>0</xdr:rowOff>
    </xdr:from>
    <xdr:to>
      <xdr:col>7</xdr:col>
      <xdr:colOff>7620</xdr:colOff>
      <xdr:row>67</xdr:row>
      <xdr:rowOff>7620</xdr:rowOff>
    </xdr:to>
    <xdr:pic>
      <xdr:nvPicPr>
        <xdr:cNvPr id="89" name="Picture 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5120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7620</xdr:colOff>
      <xdr:row>68</xdr:row>
      <xdr:rowOff>7620</xdr:rowOff>
    </xdr:to>
    <xdr:pic>
      <xdr:nvPicPr>
        <xdr:cNvPr id="90" name="Picture 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7620</xdr:colOff>
      <xdr:row>68</xdr:row>
      <xdr:rowOff>7620</xdr:rowOff>
    </xdr:to>
    <xdr:pic>
      <xdr:nvPicPr>
        <xdr:cNvPr id="91" name="Picture 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68</xdr:row>
      <xdr:rowOff>0</xdr:rowOff>
    </xdr:from>
    <xdr:to>
      <xdr:col>2</xdr:col>
      <xdr:colOff>7620</xdr:colOff>
      <xdr:row>68</xdr:row>
      <xdr:rowOff>7620</xdr:rowOff>
    </xdr:to>
    <xdr:pic>
      <xdr:nvPicPr>
        <xdr:cNvPr id="92" name="Picture 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xdr:row>
      <xdr:rowOff>0</xdr:rowOff>
    </xdr:from>
    <xdr:to>
      <xdr:col>3</xdr:col>
      <xdr:colOff>7620</xdr:colOff>
      <xdr:row>68</xdr:row>
      <xdr:rowOff>7620</xdr:rowOff>
    </xdr:to>
    <xdr:pic>
      <xdr:nvPicPr>
        <xdr:cNvPr id="93" name="Picture 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68</xdr:row>
      <xdr:rowOff>0</xdr:rowOff>
    </xdr:from>
    <xdr:to>
      <xdr:col>4</xdr:col>
      <xdr:colOff>7620</xdr:colOff>
      <xdr:row>68</xdr:row>
      <xdr:rowOff>7620</xdr:rowOff>
    </xdr:to>
    <xdr:pic>
      <xdr:nvPicPr>
        <xdr:cNvPr id="94" name="Picture 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68</xdr:row>
      <xdr:rowOff>0</xdr:rowOff>
    </xdr:from>
    <xdr:to>
      <xdr:col>5</xdr:col>
      <xdr:colOff>7620</xdr:colOff>
      <xdr:row>68</xdr:row>
      <xdr:rowOff>7620</xdr:rowOff>
    </xdr:to>
    <xdr:pic>
      <xdr:nvPicPr>
        <xdr:cNvPr id="95" name="Picture 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68</xdr:row>
      <xdr:rowOff>0</xdr:rowOff>
    </xdr:from>
    <xdr:to>
      <xdr:col>6</xdr:col>
      <xdr:colOff>7620</xdr:colOff>
      <xdr:row>68</xdr:row>
      <xdr:rowOff>7620</xdr:rowOff>
    </xdr:to>
    <xdr:pic>
      <xdr:nvPicPr>
        <xdr:cNvPr id="96" name="Picture 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68</xdr:row>
      <xdr:rowOff>0</xdr:rowOff>
    </xdr:from>
    <xdr:to>
      <xdr:col>7</xdr:col>
      <xdr:colOff>7620</xdr:colOff>
      <xdr:row>68</xdr:row>
      <xdr:rowOff>7620</xdr:rowOff>
    </xdr:to>
    <xdr:pic>
      <xdr:nvPicPr>
        <xdr:cNvPr id="97" name="Picture 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53340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7620</xdr:colOff>
      <xdr:row>69</xdr:row>
      <xdr:rowOff>7620</xdr:rowOff>
    </xdr:to>
    <xdr:pic>
      <xdr:nvPicPr>
        <xdr:cNvPr id="98" name="Picture 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7620</xdr:colOff>
      <xdr:row>69</xdr:row>
      <xdr:rowOff>7620</xdr:rowOff>
    </xdr:to>
    <xdr:pic>
      <xdr:nvPicPr>
        <xdr:cNvPr id="99" name="Picture 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69</xdr:row>
      <xdr:rowOff>0</xdr:rowOff>
    </xdr:from>
    <xdr:to>
      <xdr:col>2</xdr:col>
      <xdr:colOff>7620</xdr:colOff>
      <xdr:row>69</xdr:row>
      <xdr:rowOff>7620</xdr:rowOff>
    </xdr:to>
    <xdr:pic>
      <xdr:nvPicPr>
        <xdr:cNvPr id="100" name="Picture 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xdr:row>
      <xdr:rowOff>0</xdr:rowOff>
    </xdr:from>
    <xdr:to>
      <xdr:col>3</xdr:col>
      <xdr:colOff>7620</xdr:colOff>
      <xdr:row>69</xdr:row>
      <xdr:rowOff>7620</xdr:rowOff>
    </xdr:to>
    <xdr:pic>
      <xdr:nvPicPr>
        <xdr:cNvPr id="101" name="Picture 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69</xdr:row>
      <xdr:rowOff>0</xdr:rowOff>
    </xdr:from>
    <xdr:to>
      <xdr:col>4</xdr:col>
      <xdr:colOff>7620</xdr:colOff>
      <xdr:row>69</xdr:row>
      <xdr:rowOff>7620</xdr:rowOff>
    </xdr:to>
    <xdr:pic>
      <xdr:nvPicPr>
        <xdr:cNvPr id="102" name="Picture 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69</xdr:row>
      <xdr:rowOff>0</xdr:rowOff>
    </xdr:from>
    <xdr:to>
      <xdr:col>5</xdr:col>
      <xdr:colOff>7620</xdr:colOff>
      <xdr:row>69</xdr:row>
      <xdr:rowOff>7620</xdr:rowOff>
    </xdr:to>
    <xdr:pic>
      <xdr:nvPicPr>
        <xdr:cNvPr id="103" name="Picture 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69</xdr:row>
      <xdr:rowOff>0</xdr:rowOff>
    </xdr:from>
    <xdr:to>
      <xdr:col>6</xdr:col>
      <xdr:colOff>7620</xdr:colOff>
      <xdr:row>69</xdr:row>
      <xdr:rowOff>7620</xdr:rowOff>
    </xdr:to>
    <xdr:pic>
      <xdr:nvPicPr>
        <xdr:cNvPr id="104" name="Picture 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69</xdr:row>
      <xdr:rowOff>0</xdr:rowOff>
    </xdr:from>
    <xdr:to>
      <xdr:col>7</xdr:col>
      <xdr:colOff>7620</xdr:colOff>
      <xdr:row>69</xdr:row>
      <xdr:rowOff>7620</xdr:rowOff>
    </xdr:to>
    <xdr:pic>
      <xdr:nvPicPr>
        <xdr:cNvPr id="105" name="Picture 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5654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7620</xdr:colOff>
      <xdr:row>70</xdr:row>
      <xdr:rowOff>7620</xdr:rowOff>
    </xdr:to>
    <xdr:pic>
      <xdr:nvPicPr>
        <xdr:cNvPr id="106" name="Picture 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7620</xdr:colOff>
      <xdr:row>70</xdr:row>
      <xdr:rowOff>7620</xdr:rowOff>
    </xdr:to>
    <xdr:pic>
      <xdr:nvPicPr>
        <xdr:cNvPr id="107" name="Picture 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70</xdr:row>
      <xdr:rowOff>0</xdr:rowOff>
    </xdr:from>
    <xdr:to>
      <xdr:col>2</xdr:col>
      <xdr:colOff>7620</xdr:colOff>
      <xdr:row>70</xdr:row>
      <xdr:rowOff>7620</xdr:rowOff>
    </xdr:to>
    <xdr:pic>
      <xdr:nvPicPr>
        <xdr:cNvPr id="108" name="Picture 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xdr:row>
      <xdr:rowOff>0</xdr:rowOff>
    </xdr:from>
    <xdr:to>
      <xdr:col>3</xdr:col>
      <xdr:colOff>7620</xdr:colOff>
      <xdr:row>70</xdr:row>
      <xdr:rowOff>7620</xdr:rowOff>
    </xdr:to>
    <xdr:pic>
      <xdr:nvPicPr>
        <xdr:cNvPr id="109" name="Picture 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70</xdr:row>
      <xdr:rowOff>0</xdr:rowOff>
    </xdr:from>
    <xdr:to>
      <xdr:col>4</xdr:col>
      <xdr:colOff>7620</xdr:colOff>
      <xdr:row>70</xdr:row>
      <xdr:rowOff>7620</xdr:rowOff>
    </xdr:to>
    <xdr:pic>
      <xdr:nvPicPr>
        <xdr:cNvPr id="110" name="Picture 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70</xdr:row>
      <xdr:rowOff>0</xdr:rowOff>
    </xdr:from>
    <xdr:to>
      <xdr:col>5</xdr:col>
      <xdr:colOff>7620</xdr:colOff>
      <xdr:row>70</xdr:row>
      <xdr:rowOff>7620</xdr:rowOff>
    </xdr:to>
    <xdr:pic>
      <xdr:nvPicPr>
        <xdr:cNvPr id="111" name="Picture 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70</xdr:row>
      <xdr:rowOff>0</xdr:rowOff>
    </xdr:from>
    <xdr:to>
      <xdr:col>6</xdr:col>
      <xdr:colOff>7620</xdr:colOff>
      <xdr:row>70</xdr:row>
      <xdr:rowOff>7620</xdr:rowOff>
    </xdr:to>
    <xdr:pic>
      <xdr:nvPicPr>
        <xdr:cNvPr id="112" name="Picture 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70</xdr:row>
      <xdr:rowOff>0</xdr:rowOff>
    </xdr:from>
    <xdr:to>
      <xdr:col>7</xdr:col>
      <xdr:colOff>7620</xdr:colOff>
      <xdr:row>70</xdr:row>
      <xdr:rowOff>7620</xdr:rowOff>
    </xdr:to>
    <xdr:pic>
      <xdr:nvPicPr>
        <xdr:cNvPr id="113" name="Picture 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4880" y="5867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40" name="Picture 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41" name="Picture 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42" name="Picture 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43" name="Picture 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44" name="Picture 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45" name="Picture 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46" name="Picture 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47" name="Picture 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48" name="Picture 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49" name="Picture 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50" name="Picture 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51" name="Picture 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52" name="Picture 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53" name="Picture 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54" name="Picture 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55" name="Picture 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56" name="Picture 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57" name="Picture 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58" name="Picture 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59" name="Picture 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60" name="Picture 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61" name="Picture 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62" name="Picture 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63" name="Picture 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64" name="Picture 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65" name="Picture 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66" name="Picture 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67" name="Picture 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68" name="Picture 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69" name="Picture 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70" name="Picture 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71" name="Picture 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72" name="Picture 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73" name="Picture 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274" name="Picture 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75" name="Picture 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76" name="Picture 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277" name="Picture 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278" name="Picture 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79" name="Picture 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80" name="Picture 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81" name="Picture 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282" name="Picture 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83" name="Picture 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84" name="Picture 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285" name="Picture 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286" name="Picture 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87" name="Picture 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88" name="Picture 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89" name="Picture 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290" name="Picture 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91" name="Picture 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292" name="Picture 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293" name="Picture 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294" name="Picture 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95" name="Picture 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296" name="Picture 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297" name="Picture 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298" name="Picture 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299" name="Picture 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00" name="Picture 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01" name="Picture 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02" name="Picture 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03" name="Picture 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04" name="Picture 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05" name="Picture 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06" name="Picture 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07" name="Picture 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08" name="Picture 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09" name="Picture 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10" name="Picture 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11" name="Picture 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12" name="Picture 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13" name="Picture 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14" name="Picture 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15" name="Picture 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16" name="Picture 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17" name="Picture 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18" name="Picture 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19" name="Picture 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20" name="Picture 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21" name="Picture 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22" name="Picture 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23" name="Picture 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24" name="Picture 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25" name="Picture 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26" name="Picture 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27" name="Picture 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28" name="Picture 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29" name="Picture 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30" name="Picture 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31" name="Picture 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32" name="Picture 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33" name="Picture 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34" name="Picture 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35" name="Picture 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36" name="Picture 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37" name="Picture 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38" name="Picture 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39" name="Picture 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40" name="Picture 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41" name="Picture 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42" name="Picture 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43" name="Picture 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44" name="Picture 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45" name="Picture 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46" name="Picture 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47" name="Picture 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48" name="Picture 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49" name="Picture 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50" name="Picture 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51" name="Picture 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52" name="Picture 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53" name="Picture 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54" name="Picture 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55" name="Picture 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56" name="Picture 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57" name="Picture 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58" name="Picture 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1</xdr:col>
      <xdr:colOff>9525</xdr:colOff>
      <xdr:row>56</xdr:row>
      <xdr:rowOff>9525</xdr:rowOff>
    </xdr:to>
    <xdr:pic>
      <xdr:nvPicPr>
        <xdr:cNvPr id="359" name="Picture 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56</xdr:row>
      <xdr:rowOff>0</xdr:rowOff>
    </xdr:from>
    <xdr:to>
      <xdr:col>2</xdr:col>
      <xdr:colOff>9525</xdr:colOff>
      <xdr:row>56</xdr:row>
      <xdr:rowOff>9525</xdr:rowOff>
    </xdr:to>
    <xdr:pic>
      <xdr:nvPicPr>
        <xdr:cNvPr id="360" name="Picture 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56</xdr:row>
      <xdr:rowOff>0</xdr:rowOff>
    </xdr:from>
    <xdr:to>
      <xdr:col>3</xdr:col>
      <xdr:colOff>9525</xdr:colOff>
      <xdr:row>56</xdr:row>
      <xdr:rowOff>9525</xdr:rowOff>
    </xdr:to>
    <xdr:pic>
      <xdr:nvPicPr>
        <xdr:cNvPr id="361" name="Picture 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56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56</xdr:row>
      <xdr:rowOff>0</xdr:rowOff>
    </xdr:from>
    <xdr:to>
      <xdr:col>4</xdr:col>
      <xdr:colOff>9525</xdr:colOff>
      <xdr:row>56</xdr:row>
      <xdr:rowOff>9525</xdr:rowOff>
    </xdr:to>
    <xdr:pic>
      <xdr:nvPicPr>
        <xdr:cNvPr id="362" name="Picture 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56</xdr:row>
      <xdr:rowOff>0</xdr:rowOff>
    </xdr:from>
    <xdr:to>
      <xdr:col>5</xdr:col>
      <xdr:colOff>9525</xdr:colOff>
      <xdr:row>56</xdr:row>
      <xdr:rowOff>9525</xdr:rowOff>
    </xdr:to>
    <xdr:pic>
      <xdr:nvPicPr>
        <xdr:cNvPr id="363" name="Picture 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6458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56</xdr:row>
      <xdr:rowOff>0</xdr:rowOff>
    </xdr:from>
    <xdr:to>
      <xdr:col>6</xdr:col>
      <xdr:colOff>9525</xdr:colOff>
      <xdr:row>56</xdr:row>
      <xdr:rowOff>9525</xdr:rowOff>
    </xdr:to>
    <xdr:pic>
      <xdr:nvPicPr>
        <xdr:cNvPr id="364" name="Picture 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56</xdr:row>
      <xdr:rowOff>0</xdr:rowOff>
    </xdr:from>
    <xdr:to>
      <xdr:col>7</xdr:col>
      <xdr:colOff>9525</xdr:colOff>
      <xdr:row>56</xdr:row>
      <xdr:rowOff>9525</xdr:rowOff>
    </xdr:to>
    <xdr:pic>
      <xdr:nvPicPr>
        <xdr:cNvPr id="365" name="Picture 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821436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66" name="Picture 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67" name="Picture 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68" name="Picture 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69" name="Picture 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70" name="Picture 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71" name="Picture 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72" name="Picture 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73" name="Picture 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74" name="Picture 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75" name="Picture 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76" name="Picture 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77" name="Picture 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78" name="Picture 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79" name="Picture 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80" name="Picture 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81" name="Picture 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82" name="Picture 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83" name="Picture 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84" name="Picture 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85" name="Picture 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86" name="Picture 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87" name="Picture 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88" name="Picture 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89" name="Picture 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90" name="Picture 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91" name="Picture 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92" name="Picture 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93" name="Picture 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94" name="Picture 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395" name="Picture 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96" name="Picture 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397" name="Picture 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98" name="Picture 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399" name="Picture 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00" name="Picture 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01" name="Picture 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02" name="Picture 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03" name="Picture 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04" name="Picture 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05" name="Picture 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06" name="Picture 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07" name="Picture 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08" name="Picture 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09" name="Picture 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10" name="Picture 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11" name="Picture 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12" name="Picture 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13" name="Picture 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14" name="Picture 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15" name="Picture 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16" name="Picture 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17" name="Picture 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18" name="Picture 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19" name="Picture 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20" name="Picture 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21" name="Picture 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22" name="Picture 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23" name="Picture 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24" name="Picture 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25" name="Picture 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26" name="Picture 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27" name="Picture 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28" name="Picture 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29" name="Picture 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30" name="Picture 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31" name="Picture 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32" name="Picture 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33" name="Picture 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34" name="Picture 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35" name="Picture 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36" name="Picture 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37" name="Picture 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38" name="Picture 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39" name="Picture 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40" name="Picture 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41" name="Picture 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42" name="Picture 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43" name="Picture 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44" name="Picture 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45" name="Picture 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46" name="Picture 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47" name="Picture 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48" name="Picture 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49" name="Picture 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50" name="Picture 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51" name="Picture 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52" name="Picture 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53" name="Picture 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54" name="Picture 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55" name="Picture 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56" name="Picture 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57" name="Picture 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58" name="Picture 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59" name="Picture 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60" name="Picture 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61" name="Picture 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62" name="Picture 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63" name="Picture 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64" name="Picture 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65" name="Picture 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66" name="Picture 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67" name="Picture 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68" name="Picture 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69" name="Picture 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70" name="Picture 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71" name="Picture 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72" name="Picture 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73" name="Picture 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74" name="Picture 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75" name="Picture 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76" name="Picture 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77" name="Picture 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78" name="Picture 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79" name="Picture 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80" name="Picture 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81" name="Picture 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82" name="Picture 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83" name="Picture 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84" name="Picture 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85" name="Picture 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86" name="Picture 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87" name="Picture 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88" name="Picture 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89" name="Picture 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90" name="Picture 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91" name="Picture 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92" name="Picture 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493" name="Picture 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94" name="Picture 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95" name="Picture 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496" name="Picture 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97" name="Picture 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98" name="Picture 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499" name="Picture 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00" name="Picture 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01" name="Picture 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02" name="Picture 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03" name="Picture 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04" name="Picture 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05" name="Picture 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06" name="Picture 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07" name="Picture 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08" name="Picture 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09" name="Picture 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10" name="Picture 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11" name="Picture 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12" name="Picture 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13" name="Picture 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14" name="Picture 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15" name="Picture 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16" name="Picture 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17" name="Picture 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18" name="Picture 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19" name="Picture 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20" name="Picture 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21" name="Picture 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22" name="Picture 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23" name="Picture 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24" name="Picture 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25" name="Picture 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26" name="Picture 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27" name="Picture 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28" name="Picture 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29" name="Picture 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30" name="Picture 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31" name="Picture 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32" name="Picture 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33" name="Picture 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34" name="Picture 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35" name="Picture 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36" name="Picture 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37" name="Picture 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38" name="Picture 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39" name="Picture 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40" name="Picture 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41" name="Picture 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42" name="Picture 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43" name="Picture 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57</xdr:row>
      <xdr:rowOff>0</xdr:rowOff>
    </xdr:from>
    <xdr:to>
      <xdr:col>0</xdr:col>
      <xdr:colOff>7620</xdr:colOff>
      <xdr:row>57</xdr:row>
      <xdr:rowOff>7620</xdr:rowOff>
    </xdr:to>
    <xdr:pic>
      <xdr:nvPicPr>
        <xdr:cNvPr id="544" name="Picture 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45" name="Picture 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46" name="Picture 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47" name="Picture 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48" name="Picture 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49" name="Picture 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50" name="Picture 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57</xdr:row>
      <xdr:rowOff>0</xdr:rowOff>
    </xdr:from>
    <xdr:to>
      <xdr:col>1</xdr:col>
      <xdr:colOff>7620</xdr:colOff>
      <xdr:row>57</xdr:row>
      <xdr:rowOff>7620</xdr:rowOff>
    </xdr:to>
    <xdr:pic>
      <xdr:nvPicPr>
        <xdr:cNvPr id="551" name="Picture 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57</xdr:row>
      <xdr:rowOff>0</xdr:rowOff>
    </xdr:from>
    <xdr:to>
      <xdr:col>2</xdr:col>
      <xdr:colOff>7620</xdr:colOff>
      <xdr:row>57</xdr:row>
      <xdr:rowOff>7620</xdr:rowOff>
    </xdr:to>
    <xdr:pic>
      <xdr:nvPicPr>
        <xdr:cNvPr id="552" name="Picture 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57</xdr:row>
      <xdr:rowOff>0</xdr:rowOff>
    </xdr:from>
    <xdr:to>
      <xdr:col>3</xdr:col>
      <xdr:colOff>7620</xdr:colOff>
      <xdr:row>57</xdr:row>
      <xdr:rowOff>7620</xdr:rowOff>
    </xdr:to>
    <xdr:pic>
      <xdr:nvPicPr>
        <xdr:cNvPr id="553" name="Picture 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57</xdr:row>
      <xdr:rowOff>0</xdr:rowOff>
    </xdr:from>
    <xdr:to>
      <xdr:col>4</xdr:col>
      <xdr:colOff>7620</xdr:colOff>
      <xdr:row>57</xdr:row>
      <xdr:rowOff>7620</xdr:rowOff>
    </xdr:to>
    <xdr:pic>
      <xdr:nvPicPr>
        <xdr:cNvPr id="554" name="Picture 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57</xdr:row>
      <xdr:rowOff>0</xdr:rowOff>
    </xdr:from>
    <xdr:to>
      <xdr:col>5</xdr:col>
      <xdr:colOff>7620</xdr:colOff>
      <xdr:row>57</xdr:row>
      <xdr:rowOff>7620</xdr:rowOff>
    </xdr:to>
    <xdr:pic>
      <xdr:nvPicPr>
        <xdr:cNvPr id="555" name="Picture 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57</xdr:row>
      <xdr:rowOff>0</xdr:rowOff>
    </xdr:from>
    <xdr:to>
      <xdr:col>6</xdr:col>
      <xdr:colOff>7620</xdr:colOff>
      <xdr:row>57</xdr:row>
      <xdr:rowOff>7620</xdr:rowOff>
    </xdr:to>
    <xdr:pic>
      <xdr:nvPicPr>
        <xdr:cNvPr id="556" name="Picture 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57</xdr:row>
      <xdr:rowOff>0</xdr:rowOff>
    </xdr:from>
    <xdr:to>
      <xdr:col>7</xdr:col>
      <xdr:colOff>7620</xdr:colOff>
      <xdr:row>57</xdr:row>
      <xdr:rowOff>7620</xdr:rowOff>
    </xdr:to>
    <xdr:pic>
      <xdr:nvPicPr>
        <xdr:cNvPr id="557" name="Picture 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7620</xdr:colOff>
      <xdr:row>58</xdr:row>
      <xdr:rowOff>7620</xdr:rowOff>
    </xdr:to>
    <xdr:pic>
      <xdr:nvPicPr>
        <xdr:cNvPr id="558" name="Picture 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58</xdr:row>
      <xdr:rowOff>0</xdr:rowOff>
    </xdr:from>
    <xdr:to>
      <xdr:col>1</xdr:col>
      <xdr:colOff>7620</xdr:colOff>
      <xdr:row>58</xdr:row>
      <xdr:rowOff>7620</xdr:rowOff>
    </xdr:to>
    <xdr:pic>
      <xdr:nvPicPr>
        <xdr:cNvPr id="559" name="Picture 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58</xdr:row>
      <xdr:rowOff>0</xdr:rowOff>
    </xdr:from>
    <xdr:to>
      <xdr:col>2</xdr:col>
      <xdr:colOff>7620</xdr:colOff>
      <xdr:row>58</xdr:row>
      <xdr:rowOff>7620</xdr:rowOff>
    </xdr:to>
    <xdr:pic>
      <xdr:nvPicPr>
        <xdr:cNvPr id="560" name="Picture 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58</xdr:row>
      <xdr:rowOff>0</xdr:rowOff>
    </xdr:from>
    <xdr:to>
      <xdr:col>3</xdr:col>
      <xdr:colOff>7620</xdr:colOff>
      <xdr:row>58</xdr:row>
      <xdr:rowOff>7620</xdr:rowOff>
    </xdr:to>
    <xdr:pic>
      <xdr:nvPicPr>
        <xdr:cNvPr id="561" name="Picture 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58</xdr:row>
      <xdr:rowOff>0</xdr:rowOff>
    </xdr:from>
    <xdr:to>
      <xdr:col>4</xdr:col>
      <xdr:colOff>7620</xdr:colOff>
      <xdr:row>58</xdr:row>
      <xdr:rowOff>7620</xdr:rowOff>
    </xdr:to>
    <xdr:pic>
      <xdr:nvPicPr>
        <xdr:cNvPr id="562" name="Picture 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58</xdr:row>
      <xdr:rowOff>0</xdr:rowOff>
    </xdr:from>
    <xdr:to>
      <xdr:col>5</xdr:col>
      <xdr:colOff>7620</xdr:colOff>
      <xdr:row>58</xdr:row>
      <xdr:rowOff>7620</xdr:rowOff>
    </xdr:to>
    <xdr:pic>
      <xdr:nvPicPr>
        <xdr:cNvPr id="563" name="Picture 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58</xdr:row>
      <xdr:rowOff>0</xdr:rowOff>
    </xdr:from>
    <xdr:to>
      <xdr:col>6</xdr:col>
      <xdr:colOff>7620</xdr:colOff>
      <xdr:row>58</xdr:row>
      <xdr:rowOff>7620</xdr:rowOff>
    </xdr:to>
    <xdr:pic>
      <xdr:nvPicPr>
        <xdr:cNvPr id="564" name="Picture 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58</xdr:row>
      <xdr:rowOff>0</xdr:rowOff>
    </xdr:from>
    <xdr:to>
      <xdr:col>7</xdr:col>
      <xdr:colOff>7620</xdr:colOff>
      <xdr:row>58</xdr:row>
      <xdr:rowOff>7620</xdr:rowOff>
    </xdr:to>
    <xdr:pic>
      <xdr:nvPicPr>
        <xdr:cNvPr id="565" name="Picture 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7620</xdr:colOff>
      <xdr:row>60</xdr:row>
      <xdr:rowOff>7620</xdr:rowOff>
    </xdr:to>
    <xdr:pic>
      <xdr:nvPicPr>
        <xdr:cNvPr id="566" name="Picture 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60</xdr:row>
      <xdr:rowOff>0</xdr:rowOff>
    </xdr:from>
    <xdr:to>
      <xdr:col>1</xdr:col>
      <xdr:colOff>7620</xdr:colOff>
      <xdr:row>60</xdr:row>
      <xdr:rowOff>7620</xdr:rowOff>
    </xdr:to>
    <xdr:pic>
      <xdr:nvPicPr>
        <xdr:cNvPr id="567" name="Picture 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60</xdr:row>
      <xdr:rowOff>0</xdr:rowOff>
    </xdr:from>
    <xdr:to>
      <xdr:col>2</xdr:col>
      <xdr:colOff>7620</xdr:colOff>
      <xdr:row>60</xdr:row>
      <xdr:rowOff>7620</xdr:rowOff>
    </xdr:to>
    <xdr:pic>
      <xdr:nvPicPr>
        <xdr:cNvPr id="568" name="Picture 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60</xdr:row>
      <xdr:rowOff>0</xdr:rowOff>
    </xdr:from>
    <xdr:to>
      <xdr:col>3</xdr:col>
      <xdr:colOff>7620</xdr:colOff>
      <xdr:row>60</xdr:row>
      <xdr:rowOff>7620</xdr:rowOff>
    </xdr:to>
    <xdr:pic>
      <xdr:nvPicPr>
        <xdr:cNvPr id="569" name="Picture 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60</xdr:row>
      <xdr:rowOff>0</xdr:rowOff>
    </xdr:from>
    <xdr:to>
      <xdr:col>4</xdr:col>
      <xdr:colOff>7620</xdr:colOff>
      <xdr:row>60</xdr:row>
      <xdr:rowOff>7620</xdr:rowOff>
    </xdr:to>
    <xdr:pic>
      <xdr:nvPicPr>
        <xdr:cNvPr id="570" name="Picture 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60</xdr:row>
      <xdr:rowOff>0</xdr:rowOff>
    </xdr:from>
    <xdr:to>
      <xdr:col>5</xdr:col>
      <xdr:colOff>7620</xdr:colOff>
      <xdr:row>60</xdr:row>
      <xdr:rowOff>7620</xdr:rowOff>
    </xdr:to>
    <xdr:pic>
      <xdr:nvPicPr>
        <xdr:cNvPr id="571" name="Picture 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60</xdr:row>
      <xdr:rowOff>0</xdr:rowOff>
    </xdr:from>
    <xdr:to>
      <xdr:col>6</xdr:col>
      <xdr:colOff>7620</xdr:colOff>
      <xdr:row>60</xdr:row>
      <xdr:rowOff>7620</xdr:rowOff>
    </xdr:to>
    <xdr:pic>
      <xdr:nvPicPr>
        <xdr:cNvPr id="572" name="Picture 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60</xdr:row>
      <xdr:rowOff>0</xdr:rowOff>
    </xdr:from>
    <xdr:to>
      <xdr:col>7</xdr:col>
      <xdr:colOff>7620</xdr:colOff>
      <xdr:row>60</xdr:row>
      <xdr:rowOff>7620</xdr:rowOff>
    </xdr:to>
    <xdr:pic>
      <xdr:nvPicPr>
        <xdr:cNvPr id="573" name="Picture 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10972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61</xdr:row>
      <xdr:rowOff>0</xdr:rowOff>
    </xdr:from>
    <xdr:to>
      <xdr:col>1</xdr:col>
      <xdr:colOff>7620</xdr:colOff>
      <xdr:row>61</xdr:row>
      <xdr:rowOff>7620</xdr:rowOff>
    </xdr:to>
    <xdr:pic>
      <xdr:nvPicPr>
        <xdr:cNvPr id="574" name="Picture 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61</xdr:row>
      <xdr:rowOff>0</xdr:rowOff>
    </xdr:from>
    <xdr:to>
      <xdr:col>1</xdr:col>
      <xdr:colOff>7620</xdr:colOff>
      <xdr:row>61</xdr:row>
      <xdr:rowOff>7620</xdr:rowOff>
    </xdr:to>
    <xdr:pic>
      <xdr:nvPicPr>
        <xdr:cNvPr id="575" name="Picture 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61</xdr:row>
      <xdr:rowOff>0</xdr:rowOff>
    </xdr:from>
    <xdr:to>
      <xdr:col>2</xdr:col>
      <xdr:colOff>7620</xdr:colOff>
      <xdr:row>61</xdr:row>
      <xdr:rowOff>7620</xdr:rowOff>
    </xdr:to>
    <xdr:pic>
      <xdr:nvPicPr>
        <xdr:cNvPr id="576" name="Picture 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61</xdr:row>
      <xdr:rowOff>0</xdr:rowOff>
    </xdr:from>
    <xdr:to>
      <xdr:col>3</xdr:col>
      <xdr:colOff>7620</xdr:colOff>
      <xdr:row>61</xdr:row>
      <xdr:rowOff>7620</xdr:rowOff>
    </xdr:to>
    <xdr:pic>
      <xdr:nvPicPr>
        <xdr:cNvPr id="577" name="Picture 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61</xdr:row>
      <xdr:rowOff>0</xdr:rowOff>
    </xdr:from>
    <xdr:to>
      <xdr:col>4</xdr:col>
      <xdr:colOff>7620</xdr:colOff>
      <xdr:row>61</xdr:row>
      <xdr:rowOff>7620</xdr:rowOff>
    </xdr:to>
    <xdr:pic>
      <xdr:nvPicPr>
        <xdr:cNvPr id="578" name="Picture 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61</xdr:row>
      <xdr:rowOff>0</xdr:rowOff>
    </xdr:from>
    <xdr:to>
      <xdr:col>5</xdr:col>
      <xdr:colOff>7620</xdr:colOff>
      <xdr:row>61</xdr:row>
      <xdr:rowOff>7620</xdr:rowOff>
    </xdr:to>
    <xdr:pic>
      <xdr:nvPicPr>
        <xdr:cNvPr id="579" name="Picture 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61</xdr:row>
      <xdr:rowOff>0</xdr:rowOff>
    </xdr:from>
    <xdr:to>
      <xdr:col>6</xdr:col>
      <xdr:colOff>7620</xdr:colOff>
      <xdr:row>61</xdr:row>
      <xdr:rowOff>7620</xdr:rowOff>
    </xdr:to>
    <xdr:pic>
      <xdr:nvPicPr>
        <xdr:cNvPr id="580" name="Picture 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61</xdr:row>
      <xdr:rowOff>0</xdr:rowOff>
    </xdr:from>
    <xdr:to>
      <xdr:col>7</xdr:col>
      <xdr:colOff>7620</xdr:colOff>
      <xdr:row>61</xdr:row>
      <xdr:rowOff>7620</xdr:rowOff>
    </xdr:to>
    <xdr:pic>
      <xdr:nvPicPr>
        <xdr:cNvPr id="581" name="Picture 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16459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7620</xdr:colOff>
      <xdr:row>62</xdr:row>
      <xdr:rowOff>7620</xdr:rowOff>
    </xdr:to>
    <xdr:pic>
      <xdr:nvPicPr>
        <xdr:cNvPr id="582" name="Picture 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62</xdr:row>
      <xdr:rowOff>0</xdr:rowOff>
    </xdr:from>
    <xdr:to>
      <xdr:col>1</xdr:col>
      <xdr:colOff>7620</xdr:colOff>
      <xdr:row>62</xdr:row>
      <xdr:rowOff>7620</xdr:rowOff>
    </xdr:to>
    <xdr:pic>
      <xdr:nvPicPr>
        <xdr:cNvPr id="583" name="Picture 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62</xdr:row>
      <xdr:rowOff>0</xdr:rowOff>
    </xdr:from>
    <xdr:to>
      <xdr:col>2</xdr:col>
      <xdr:colOff>7620</xdr:colOff>
      <xdr:row>62</xdr:row>
      <xdr:rowOff>7620</xdr:rowOff>
    </xdr:to>
    <xdr:pic>
      <xdr:nvPicPr>
        <xdr:cNvPr id="584" name="Picture 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62</xdr:row>
      <xdr:rowOff>0</xdr:rowOff>
    </xdr:from>
    <xdr:to>
      <xdr:col>3</xdr:col>
      <xdr:colOff>7620</xdr:colOff>
      <xdr:row>62</xdr:row>
      <xdr:rowOff>7620</xdr:rowOff>
    </xdr:to>
    <xdr:pic>
      <xdr:nvPicPr>
        <xdr:cNvPr id="585" name="Picture 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62</xdr:row>
      <xdr:rowOff>0</xdr:rowOff>
    </xdr:from>
    <xdr:to>
      <xdr:col>4</xdr:col>
      <xdr:colOff>7620</xdr:colOff>
      <xdr:row>62</xdr:row>
      <xdr:rowOff>7620</xdr:rowOff>
    </xdr:to>
    <xdr:pic>
      <xdr:nvPicPr>
        <xdr:cNvPr id="586" name="Picture 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62</xdr:row>
      <xdr:rowOff>0</xdr:rowOff>
    </xdr:from>
    <xdr:to>
      <xdr:col>5</xdr:col>
      <xdr:colOff>7620</xdr:colOff>
      <xdr:row>62</xdr:row>
      <xdr:rowOff>7620</xdr:rowOff>
    </xdr:to>
    <xdr:pic>
      <xdr:nvPicPr>
        <xdr:cNvPr id="587" name="Picture 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62</xdr:row>
      <xdr:rowOff>0</xdr:rowOff>
    </xdr:from>
    <xdr:to>
      <xdr:col>6</xdr:col>
      <xdr:colOff>7620</xdr:colOff>
      <xdr:row>62</xdr:row>
      <xdr:rowOff>7620</xdr:rowOff>
    </xdr:to>
    <xdr:pic>
      <xdr:nvPicPr>
        <xdr:cNvPr id="588" name="Picture 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62</xdr:row>
      <xdr:rowOff>0</xdr:rowOff>
    </xdr:from>
    <xdr:to>
      <xdr:col>7</xdr:col>
      <xdr:colOff>7620</xdr:colOff>
      <xdr:row>62</xdr:row>
      <xdr:rowOff>7620</xdr:rowOff>
    </xdr:to>
    <xdr:pic>
      <xdr:nvPicPr>
        <xdr:cNvPr id="589" name="Picture 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21945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90" name="Picture 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91" name="Picture 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92" name="Picture 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93" name="Picture 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94" name="Picture 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95" name="Picture 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96" name="Picture 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64</xdr:row>
      <xdr:rowOff>0</xdr:rowOff>
    </xdr:from>
    <xdr:to>
      <xdr:col>7</xdr:col>
      <xdr:colOff>7620</xdr:colOff>
      <xdr:row>64</xdr:row>
      <xdr:rowOff>7620</xdr:rowOff>
    </xdr:to>
    <xdr:pic>
      <xdr:nvPicPr>
        <xdr:cNvPr id="597" name="Picture 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274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7620</xdr:colOff>
      <xdr:row>63</xdr:row>
      <xdr:rowOff>7620</xdr:rowOff>
    </xdr:to>
    <xdr:pic>
      <xdr:nvPicPr>
        <xdr:cNvPr id="606" name="Picture 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63</xdr:row>
      <xdr:rowOff>0</xdr:rowOff>
    </xdr:from>
    <xdr:to>
      <xdr:col>1</xdr:col>
      <xdr:colOff>7620</xdr:colOff>
      <xdr:row>63</xdr:row>
      <xdr:rowOff>7620</xdr:rowOff>
    </xdr:to>
    <xdr:pic>
      <xdr:nvPicPr>
        <xdr:cNvPr id="607" name="Picture 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63</xdr:row>
      <xdr:rowOff>0</xdr:rowOff>
    </xdr:from>
    <xdr:to>
      <xdr:col>2</xdr:col>
      <xdr:colOff>7620</xdr:colOff>
      <xdr:row>63</xdr:row>
      <xdr:rowOff>7620</xdr:rowOff>
    </xdr:to>
    <xdr:pic>
      <xdr:nvPicPr>
        <xdr:cNvPr id="608" name="Picture 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63</xdr:row>
      <xdr:rowOff>0</xdr:rowOff>
    </xdr:from>
    <xdr:to>
      <xdr:col>3</xdr:col>
      <xdr:colOff>7620</xdr:colOff>
      <xdr:row>63</xdr:row>
      <xdr:rowOff>7620</xdr:rowOff>
    </xdr:to>
    <xdr:pic>
      <xdr:nvPicPr>
        <xdr:cNvPr id="609" name="Picture 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63</xdr:row>
      <xdr:rowOff>0</xdr:rowOff>
    </xdr:from>
    <xdr:to>
      <xdr:col>4</xdr:col>
      <xdr:colOff>7620</xdr:colOff>
      <xdr:row>63</xdr:row>
      <xdr:rowOff>7620</xdr:rowOff>
    </xdr:to>
    <xdr:pic>
      <xdr:nvPicPr>
        <xdr:cNvPr id="610" name="Picture 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63</xdr:row>
      <xdr:rowOff>0</xdr:rowOff>
    </xdr:from>
    <xdr:to>
      <xdr:col>5</xdr:col>
      <xdr:colOff>7620</xdr:colOff>
      <xdr:row>63</xdr:row>
      <xdr:rowOff>7620</xdr:rowOff>
    </xdr:to>
    <xdr:pic>
      <xdr:nvPicPr>
        <xdr:cNvPr id="611" name="Picture 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63</xdr:row>
      <xdr:rowOff>0</xdr:rowOff>
    </xdr:from>
    <xdr:to>
      <xdr:col>6</xdr:col>
      <xdr:colOff>7620</xdr:colOff>
      <xdr:row>63</xdr:row>
      <xdr:rowOff>7620</xdr:rowOff>
    </xdr:to>
    <xdr:pic>
      <xdr:nvPicPr>
        <xdr:cNvPr id="612" name="Picture 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63</xdr:row>
      <xdr:rowOff>0</xdr:rowOff>
    </xdr:from>
    <xdr:to>
      <xdr:col>7</xdr:col>
      <xdr:colOff>7620</xdr:colOff>
      <xdr:row>63</xdr:row>
      <xdr:rowOff>7620</xdr:rowOff>
    </xdr:to>
    <xdr:pic>
      <xdr:nvPicPr>
        <xdr:cNvPr id="613" name="Picture 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38404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7620</xdr:colOff>
      <xdr:row>65</xdr:row>
      <xdr:rowOff>7620</xdr:rowOff>
    </xdr:to>
    <xdr:pic>
      <xdr:nvPicPr>
        <xdr:cNvPr id="614" name="Picture 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65</xdr:row>
      <xdr:rowOff>0</xdr:rowOff>
    </xdr:from>
    <xdr:to>
      <xdr:col>1</xdr:col>
      <xdr:colOff>7620</xdr:colOff>
      <xdr:row>65</xdr:row>
      <xdr:rowOff>7620</xdr:rowOff>
    </xdr:to>
    <xdr:pic>
      <xdr:nvPicPr>
        <xdr:cNvPr id="615" name="Picture 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65</xdr:row>
      <xdr:rowOff>0</xdr:rowOff>
    </xdr:from>
    <xdr:to>
      <xdr:col>2</xdr:col>
      <xdr:colOff>7620</xdr:colOff>
      <xdr:row>65</xdr:row>
      <xdr:rowOff>7620</xdr:rowOff>
    </xdr:to>
    <xdr:pic>
      <xdr:nvPicPr>
        <xdr:cNvPr id="616" name="Picture 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xdr:row>
      <xdr:rowOff>0</xdr:rowOff>
    </xdr:from>
    <xdr:to>
      <xdr:col>3</xdr:col>
      <xdr:colOff>7620</xdr:colOff>
      <xdr:row>65</xdr:row>
      <xdr:rowOff>7620</xdr:rowOff>
    </xdr:to>
    <xdr:pic>
      <xdr:nvPicPr>
        <xdr:cNvPr id="617" name="Picture 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65</xdr:row>
      <xdr:rowOff>0</xdr:rowOff>
    </xdr:from>
    <xdr:to>
      <xdr:col>4</xdr:col>
      <xdr:colOff>7620</xdr:colOff>
      <xdr:row>65</xdr:row>
      <xdr:rowOff>7620</xdr:rowOff>
    </xdr:to>
    <xdr:pic>
      <xdr:nvPicPr>
        <xdr:cNvPr id="618" name="Picture 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65</xdr:row>
      <xdr:rowOff>0</xdr:rowOff>
    </xdr:from>
    <xdr:to>
      <xdr:col>5</xdr:col>
      <xdr:colOff>7620</xdr:colOff>
      <xdr:row>65</xdr:row>
      <xdr:rowOff>7620</xdr:rowOff>
    </xdr:to>
    <xdr:pic>
      <xdr:nvPicPr>
        <xdr:cNvPr id="619" name="Picture 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65</xdr:row>
      <xdr:rowOff>0</xdr:rowOff>
    </xdr:from>
    <xdr:to>
      <xdr:col>6</xdr:col>
      <xdr:colOff>7620</xdr:colOff>
      <xdr:row>65</xdr:row>
      <xdr:rowOff>7620</xdr:rowOff>
    </xdr:to>
    <xdr:pic>
      <xdr:nvPicPr>
        <xdr:cNvPr id="620" name="Picture 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65</xdr:row>
      <xdr:rowOff>0</xdr:rowOff>
    </xdr:from>
    <xdr:to>
      <xdr:col>7</xdr:col>
      <xdr:colOff>7620</xdr:colOff>
      <xdr:row>65</xdr:row>
      <xdr:rowOff>7620</xdr:rowOff>
    </xdr:to>
    <xdr:pic>
      <xdr:nvPicPr>
        <xdr:cNvPr id="621" name="Picture 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43891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7620</xdr:colOff>
      <xdr:row>66</xdr:row>
      <xdr:rowOff>7620</xdr:rowOff>
    </xdr:to>
    <xdr:pic>
      <xdr:nvPicPr>
        <xdr:cNvPr id="622" name="Picture 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66</xdr:row>
      <xdr:rowOff>0</xdr:rowOff>
    </xdr:from>
    <xdr:to>
      <xdr:col>1</xdr:col>
      <xdr:colOff>7620</xdr:colOff>
      <xdr:row>66</xdr:row>
      <xdr:rowOff>7620</xdr:rowOff>
    </xdr:to>
    <xdr:pic>
      <xdr:nvPicPr>
        <xdr:cNvPr id="623" name="Picture 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66</xdr:row>
      <xdr:rowOff>0</xdr:rowOff>
    </xdr:from>
    <xdr:to>
      <xdr:col>2</xdr:col>
      <xdr:colOff>7620</xdr:colOff>
      <xdr:row>66</xdr:row>
      <xdr:rowOff>7620</xdr:rowOff>
    </xdr:to>
    <xdr:pic>
      <xdr:nvPicPr>
        <xdr:cNvPr id="624" name="Picture 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xdr:row>
      <xdr:rowOff>0</xdr:rowOff>
    </xdr:from>
    <xdr:to>
      <xdr:col>3</xdr:col>
      <xdr:colOff>7620</xdr:colOff>
      <xdr:row>66</xdr:row>
      <xdr:rowOff>7620</xdr:rowOff>
    </xdr:to>
    <xdr:pic>
      <xdr:nvPicPr>
        <xdr:cNvPr id="625" name="Picture 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66</xdr:row>
      <xdr:rowOff>0</xdr:rowOff>
    </xdr:from>
    <xdr:to>
      <xdr:col>4</xdr:col>
      <xdr:colOff>7620</xdr:colOff>
      <xdr:row>66</xdr:row>
      <xdr:rowOff>7620</xdr:rowOff>
    </xdr:to>
    <xdr:pic>
      <xdr:nvPicPr>
        <xdr:cNvPr id="626" name="Picture 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66</xdr:row>
      <xdr:rowOff>0</xdr:rowOff>
    </xdr:from>
    <xdr:to>
      <xdr:col>5</xdr:col>
      <xdr:colOff>7620</xdr:colOff>
      <xdr:row>66</xdr:row>
      <xdr:rowOff>7620</xdr:rowOff>
    </xdr:to>
    <xdr:pic>
      <xdr:nvPicPr>
        <xdr:cNvPr id="627" name="Picture 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66</xdr:row>
      <xdr:rowOff>0</xdr:rowOff>
    </xdr:from>
    <xdr:to>
      <xdr:col>6</xdr:col>
      <xdr:colOff>7620</xdr:colOff>
      <xdr:row>66</xdr:row>
      <xdr:rowOff>7620</xdr:rowOff>
    </xdr:to>
    <xdr:pic>
      <xdr:nvPicPr>
        <xdr:cNvPr id="628" name="Picture 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0</xdr:rowOff>
    </xdr:from>
    <xdr:to>
      <xdr:col>7</xdr:col>
      <xdr:colOff>7620</xdr:colOff>
      <xdr:row>66</xdr:row>
      <xdr:rowOff>7620</xdr:rowOff>
    </xdr:to>
    <xdr:pic>
      <xdr:nvPicPr>
        <xdr:cNvPr id="629" name="Picture 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49377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7620</xdr:colOff>
      <xdr:row>67</xdr:row>
      <xdr:rowOff>7620</xdr:rowOff>
    </xdr:to>
    <xdr:pic>
      <xdr:nvPicPr>
        <xdr:cNvPr id="630" name="Picture 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67</xdr:row>
      <xdr:rowOff>0</xdr:rowOff>
    </xdr:from>
    <xdr:to>
      <xdr:col>1</xdr:col>
      <xdr:colOff>7620</xdr:colOff>
      <xdr:row>67</xdr:row>
      <xdr:rowOff>7620</xdr:rowOff>
    </xdr:to>
    <xdr:pic>
      <xdr:nvPicPr>
        <xdr:cNvPr id="631" name="Picture 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67</xdr:row>
      <xdr:rowOff>0</xdr:rowOff>
    </xdr:from>
    <xdr:to>
      <xdr:col>2</xdr:col>
      <xdr:colOff>7620</xdr:colOff>
      <xdr:row>67</xdr:row>
      <xdr:rowOff>7620</xdr:rowOff>
    </xdr:to>
    <xdr:pic>
      <xdr:nvPicPr>
        <xdr:cNvPr id="632" name="Picture 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xdr:row>
      <xdr:rowOff>0</xdr:rowOff>
    </xdr:from>
    <xdr:to>
      <xdr:col>3</xdr:col>
      <xdr:colOff>7620</xdr:colOff>
      <xdr:row>67</xdr:row>
      <xdr:rowOff>7620</xdr:rowOff>
    </xdr:to>
    <xdr:pic>
      <xdr:nvPicPr>
        <xdr:cNvPr id="633" name="Picture 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67</xdr:row>
      <xdr:rowOff>0</xdr:rowOff>
    </xdr:from>
    <xdr:to>
      <xdr:col>4</xdr:col>
      <xdr:colOff>7620</xdr:colOff>
      <xdr:row>67</xdr:row>
      <xdr:rowOff>7620</xdr:rowOff>
    </xdr:to>
    <xdr:pic>
      <xdr:nvPicPr>
        <xdr:cNvPr id="634" name="Picture 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67</xdr:row>
      <xdr:rowOff>0</xdr:rowOff>
    </xdr:from>
    <xdr:to>
      <xdr:col>5</xdr:col>
      <xdr:colOff>7620</xdr:colOff>
      <xdr:row>67</xdr:row>
      <xdr:rowOff>7620</xdr:rowOff>
    </xdr:to>
    <xdr:pic>
      <xdr:nvPicPr>
        <xdr:cNvPr id="635" name="Picture 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67</xdr:row>
      <xdr:rowOff>0</xdr:rowOff>
    </xdr:from>
    <xdr:to>
      <xdr:col>6</xdr:col>
      <xdr:colOff>7620</xdr:colOff>
      <xdr:row>67</xdr:row>
      <xdr:rowOff>7620</xdr:rowOff>
    </xdr:to>
    <xdr:pic>
      <xdr:nvPicPr>
        <xdr:cNvPr id="636" name="Picture 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67</xdr:row>
      <xdr:rowOff>0</xdr:rowOff>
    </xdr:from>
    <xdr:to>
      <xdr:col>7</xdr:col>
      <xdr:colOff>7620</xdr:colOff>
      <xdr:row>67</xdr:row>
      <xdr:rowOff>7620</xdr:rowOff>
    </xdr:to>
    <xdr:pic>
      <xdr:nvPicPr>
        <xdr:cNvPr id="637" name="Picture 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54864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7620</xdr:colOff>
      <xdr:row>68</xdr:row>
      <xdr:rowOff>7620</xdr:rowOff>
    </xdr:to>
    <xdr:pic>
      <xdr:nvPicPr>
        <xdr:cNvPr id="638" name="Picture 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68</xdr:row>
      <xdr:rowOff>0</xdr:rowOff>
    </xdr:from>
    <xdr:to>
      <xdr:col>1</xdr:col>
      <xdr:colOff>7620</xdr:colOff>
      <xdr:row>68</xdr:row>
      <xdr:rowOff>7620</xdr:rowOff>
    </xdr:to>
    <xdr:pic>
      <xdr:nvPicPr>
        <xdr:cNvPr id="639" name="Picture 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68</xdr:row>
      <xdr:rowOff>0</xdr:rowOff>
    </xdr:from>
    <xdr:to>
      <xdr:col>2</xdr:col>
      <xdr:colOff>7620</xdr:colOff>
      <xdr:row>68</xdr:row>
      <xdr:rowOff>7620</xdr:rowOff>
    </xdr:to>
    <xdr:pic>
      <xdr:nvPicPr>
        <xdr:cNvPr id="640" name="Picture 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xdr:row>
      <xdr:rowOff>0</xdr:rowOff>
    </xdr:from>
    <xdr:to>
      <xdr:col>3</xdr:col>
      <xdr:colOff>7620</xdr:colOff>
      <xdr:row>68</xdr:row>
      <xdr:rowOff>7620</xdr:rowOff>
    </xdr:to>
    <xdr:pic>
      <xdr:nvPicPr>
        <xdr:cNvPr id="641" name="Picture 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68</xdr:row>
      <xdr:rowOff>0</xdr:rowOff>
    </xdr:from>
    <xdr:to>
      <xdr:col>4</xdr:col>
      <xdr:colOff>7620</xdr:colOff>
      <xdr:row>68</xdr:row>
      <xdr:rowOff>7620</xdr:rowOff>
    </xdr:to>
    <xdr:pic>
      <xdr:nvPicPr>
        <xdr:cNvPr id="642" name="Picture 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68</xdr:row>
      <xdr:rowOff>0</xdr:rowOff>
    </xdr:from>
    <xdr:to>
      <xdr:col>5</xdr:col>
      <xdr:colOff>7620</xdr:colOff>
      <xdr:row>68</xdr:row>
      <xdr:rowOff>7620</xdr:rowOff>
    </xdr:to>
    <xdr:pic>
      <xdr:nvPicPr>
        <xdr:cNvPr id="643" name="Picture 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68</xdr:row>
      <xdr:rowOff>0</xdr:rowOff>
    </xdr:from>
    <xdr:to>
      <xdr:col>6</xdr:col>
      <xdr:colOff>7620</xdr:colOff>
      <xdr:row>68</xdr:row>
      <xdr:rowOff>7620</xdr:rowOff>
    </xdr:to>
    <xdr:pic>
      <xdr:nvPicPr>
        <xdr:cNvPr id="644" name="Picture 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68</xdr:row>
      <xdr:rowOff>0</xdr:rowOff>
    </xdr:from>
    <xdr:to>
      <xdr:col>7</xdr:col>
      <xdr:colOff>7620</xdr:colOff>
      <xdr:row>68</xdr:row>
      <xdr:rowOff>7620</xdr:rowOff>
    </xdr:to>
    <xdr:pic>
      <xdr:nvPicPr>
        <xdr:cNvPr id="645" name="Picture 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60350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7620</xdr:colOff>
      <xdr:row>69</xdr:row>
      <xdr:rowOff>7620</xdr:rowOff>
    </xdr:to>
    <xdr:pic>
      <xdr:nvPicPr>
        <xdr:cNvPr id="646" name="Picture 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69</xdr:row>
      <xdr:rowOff>0</xdr:rowOff>
    </xdr:from>
    <xdr:to>
      <xdr:col>1</xdr:col>
      <xdr:colOff>7620</xdr:colOff>
      <xdr:row>69</xdr:row>
      <xdr:rowOff>7620</xdr:rowOff>
    </xdr:to>
    <xdr:pic>
      <xdr:nvPicPr>
        <xdr:cNvPr id="647" name="Picture 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69</xdr:row>
      <xdr:rowOff>0</xdr:rowOff>
    </xdr:from>
    <xdr:to>
      <xdr:col>2</xdr:col>
      <xdr:colOff>7620</xdr:colOff>
      <xdr:row>69</xdr:row>
      <xdr:rowOff>7620</xdr:rowOff>
    </xdr:to>
    <xdr:pic>
      <xdr:nvPicPr>
        <xdr:cNvPr id="648" name="Picture 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xdr:row>
      <xdr:rowOff>0</xdr:rowOff>
    </xdr:from>
    <xdr:to>
      <xdr:col>3</xdr:col>
      <xdr:colOff>7620</xdr:colOff>
      <xdr:row>69</xdr:row>
      <xdr:rowOff>7620</xdr:rowOff>
    </xdr:to>
    <xdr:pic>
      <xdr:nvPicPr>
        <xdr:cNvPr id="649" name="Picture 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69</xdr:row>
      <xdr:rowOff>0</xdr:rowOff>
    </xdr:from>
    <xdr:to>
      <xdr:col>4</xdr:col>
      <xdr:colOff>7620</xdr:colOff>
      <xdr:row>69</xdr:row>
      <xdr:rowOff>7620</xdr:rowOff>
    </xdr:to>
    <xdr:pic>
      <xdr:nvPicPr>
        <xdr:cNvPr id="650" name="Picture 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69</xdr:row>
      <xdr:rowOff>0</xdr:rowOff>
    </xdr:from>
    <xdr:to>
      <xdr:col>5</xdr:col>
      <xdr:colOff>7620</xdr:colOff>
      <xdr:row>69</xdr:row>
      <xdr:rowOff>7620</xdr:rowOff>
    </xdr:to>
    <xdr:pic>
      <xdr:nvPicPr>
        <xdr:cNvPr id="651" name="Picture 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69</xdr:row>
      <xdr:rowOff>0</xdr:rowOff>
    </xdr:from>
    <xdr:to>
      <xdr:col>6</xdr:col>
      <xdr:colOff>7620</xdr:colOff>
      <xdr:row>69</xdr:row>
      <xdr:rowOff>7620</xdr:rowOff>
    </xdr:to>
    <xdr:pic>
      <xdr:nvPicPr>
        <xdr:cNvPr id="652" name="Picture 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69</xdr:row>
      <xdr:rowOff>0</xdr:rowOff>
    </xdr:from>
    <xdr:to>
      <xdr:col>7</xdr:col>
      <xdr:colOff>7620</xdr:colOff>
      <xdr:row>69</xdr:row>
      <xdr:rowOff>7620</xdr:rowOff>
    </xdr:to>
    <xdr:pic>
      <xdr:nvPicPr>
        <xdr:cNvPr id="653" name="Picture 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65836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7620</xdr:colOff>
      <xdr:row>70</xdr:row>
      <xdr:rowOff>7620</xdr:rowOff>
    </xdr:to>
    <xdr:pic>
      <xdr:nvPicPr>
        <xdr:cNvPr id="654" name="Picture 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70</xdr:row>
      <xdr:rowOff>0</xdr:rowOff>
    </xdr:from>
    <xdr:to>
      <xdr:col>1</xdr:col>
      <xdr:colOff>7620</xdr:colOff>
      <xdr:row>70</xdr:row>
      <xdr:rowOff>7620</xdr:rowOff>
    </xdr:to>
    <xdr:pic>
      <xdr:nvPicPr>
        <xdr:cNvPr id="655" name="Picture 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70</xdr:row>
      <xdr:rowOff>0</xdr:rowOff>
    </xdr:from>
    <xdr:to>
      <xdr:col>2</xdr:col>
      <xdr:colOff>7620</xdr:colOff>
      <xdr:row>70</xdr:row>
      <xdr:rowOff>7620</xdr:rowOff>
    </xdr:to>
    <xdr:pic>
      <xdr:nvPicPr>
        <xdr:cNvPr id="656" name="Picture 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xdr:row>
      <xdr:rowOff>0</xdr:rowOff>
    </xdr:from>
    <xdr:to>
      <xdr:col>3</xdr:col>
      <xdr:colOff>7620</xdr:colOff>
      <xdr:row>70</xdr:row>
      <xdr:rowOff>7620</xdr:rowOff>
    </xdr:to>
    <xdr:pic>
      <xdr:nvPicPr>
        <xdr:cNvPr id="657" name="Picture 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70</xdr:row>
      <xdr:rowOff>0</xdr:rowOff>
    </xdr:from>
    <xdr:to>
      <xdr:col>4</xdr:col>
      <xdr:colOff>7620</xdr:colOff>
      <xdr:row>70</xdr:row>
      <xdr:rowOff>7620</xdr:rowOff>
    </xdr:to>
    <xdr:pic>
      <xdr:nvPicPr>
        <xdr:cNvPr id="658" name="Picture 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70</xdr:row>
      <xdr:rowOff>0</xdr:rowOff>
    </xdr:from>
    <xdr:to>
      <xdr:col>5</xdr:col>
      <xdr:colOff>7620</xdr:colOff>
      <xdr:row>70</xdr:row>
      <xdr:rowOff>7620</xdr:rowOff>
    </xdr:to>
    <xdr:pic>
      <xdr:nvPicPr>
        <xdr:cNvPr id="659" name="Picture 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70</xdr:row>
      <xdr:rowOff>0</xdr:rowOff>
    </xdr:from>
    <xdr:to>
      <xdr:col>6</xdr:col>
      <xdr:colOff>7620</xdr:colOff>
      <xdr:row>70</xdr:row>
      <xdr:rowOff>7620</xdr:rowOff>
    </xdr:to>
    <xdr:pic>
      <xdr:nvPicPr>
        <xdr:cNvPr id="660" name="Picture 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70</xdr:row>
      <xdr:rowOff>0</xdr:rowOff>
    </xdr:from>
    <xdr:to>
      <xdr:col>7</xdr:col>
      <xdr:colOff>7620</xdr:colOff>
      <xdr:row>70</xdr:row>
      <xdr:rowOff>7620</xdr:rowOff>
    </xdr:to>
    <xdr:pic>
      <xdr:nvPicPr>
        <xdr:cNvPr id="661" name="Picture 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71323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7620</xdr:colOff>
      <xdr:row>71</xdr:row>
      <xdr:rowOff>7620</xdr:rowOff>
    </xdr:to>
    <xdr:pic>
      <xdr:nvPicPr>
        <xdr:cNvPr id="662" name="Picture 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71</xdr:row>
      <xdr:rowOff>0</xdr:rowOff>
    </xdr:from>
    <xdr:to>
      <xdr:col>1</xdr:col>
      <xdr:colOff>7620</xdr:colOff>
      <xdr:row>71</xdr:row>
      <xdr:rowOff>7620</xdr:rowOff>
    </xdr:to>
    <xdr:pic>
      <xdr:nvPicPr>
        <xdr:cNvPr id="663" name="Picture 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71</xdr:row>
      <xdr:rowOff>0</xdr:rowOff>
    </xdr:from>
    <xdr:to>
      <xdr:col>2</xdr:col>
      <xdr:colOff>7620</xdr:colOff>
      <xdr:row>71</xdr:row>
      <xdr:rowOff>7620</xdr:rowOff>
    </xdr:to>
    <xdr:pic>
      <xdr:nvPicPr>
        <xdr:cNvPr id="664" name="Picture 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xdr:row>
      <xdr:rowOff>0</xdr:rowOff>
    </xdr:from>
    <xdr:to>
      <xdr:col>3</xdr:col>
      <xdr:colOff>7620</xdr:colOff>
      <xdr:row>71</xdr:row>
      <xdr:rowOff>7620</xdr:rowOff>
    </xdr:to>
    <xdr:pic>
      <xdr:nvPicPr>
        <xdr:cNvPr id="665" name="Picture 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71</xdr:row>
      <xdr:rowOff>0</xdr:rowOff>
    </xdr:from>
    <xdr:to>
      <xdr:col>4</xdr:col>
      <xdr:colOff>7620</xdr:colOff>
      <xdr:row>71</xdr:row>
      <xdr:rowOff>7620</xdr:rowOff>
    </xdr:to>
    <xdr:pic>
      <xdr:nvPicPr>
        <xdr:cNvPr id="666" name="Picture 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71</xdr:row>
      <xdr:rowOff>0</xdr:rowOff>
    </xdr:from>
    <xdr:to>
      <xdr:col>5</xdr:col>
      <xdr:colOff>7620</xdr:colOff>
      <xdr:row>71</xdr:row>
      <xdr:rowOff>7620</xdr:rowOff>
    </xdr:to>
    <xdr:pic>
      <xdr:nvPicPr>
        <xdr:cNvPr id="667" name="Picture 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71</xdr:row>
      <xdr:rowOff>0</xdr:rowOff>
    </xdr:from>
    <xdr:to>
      <xdr:col>6</xdr:col>
      <xdr:colOff>7620</xdr:colOff>
      <xdr:row>71</xdr:row>
      <xdr:rowOff>7620</xdr:rowOff>
    </xdr:to>
    <xdr:pic>
      <xdr:nvPicPr>
        <xdr:cNvPr id="668" name="Picture 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71</xdr:row>
      <xdr:rowOff>0</xdr:rowOff>
    </xdr:from>
    <xdr:to>
      <xdr:col>7</xdr:col>
      <xdr:colOff>7620</xdr:colOff>
      <xdr:row>71</xdr:row>
      <xdr:rowOff>7620</xdr:rowOff>
    </xdr:to>
    <xdr:pic>
      <xdr:nvPicPr>
        <xdr:cNvPr id="669" name="Picture 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7680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xdr:row>
      <xdr:rowOff>0</xdr:rowOff>
    </xdr:from>
    <xdr:to>
      <xdr:col>1</xdr:col>
      <xdr:colOff>7620</xdr:colOff>
      <xdr:row>72</xdr:row>
      <xdr:rowOff>7620</xdr:rowOff>
    </xdr:to>
    <xdr:pic>
      <xdr:nvPicPr>
        <xdr:cNvPr id="670" name="Picture 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72</xdr:row>
      <xdr:rowOff>0</xdr:rowOff>
    </xdr:from>
    <xdr:to>
      <xdr:col>1</xdr:col>
      <xdr:colOff>7620</xdr:colOff>
      <xdr:row>72</xdr:row>
      <xdr:rowOff>7620</xdr:rowOff>
    </xdr:to>
    <xdr:pic>
      <xdr:nvPicPr>
        <xdr:cNvPr id="671" name="Picture 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72</xdr:row>
      <xdr:rowOff>0</xdr:rowOff>
    </xdr:from>
    <xdr:to>
      <xdr:col>2</xdr:col>
      <xdr:colOff>7620</xdr:colOff>
      <xdr:row>72</xdr:row>
      <xdr:rowOff>7620</xdr:rowOff>
    </xdr:to>
    <xdr:pic>
      <xdr:nvPicPr>
        <xdr:cNvPr id="672" name="Picture 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xdr:row>
      <xdr:rowOff>0</xdr:rowOff>
    </xdr:from>
    <xdr:to>
      <xdr:col>3</xdr:col>
      <xdr:colOff>7620</xdr:colOff>
      <xdr:row>72</xdr:row>
      <xdr:rowOff>7620</xdr:rowOff>
    </xdr:to>
    <xdr:pic>
      <xdr:nvPicPr>
        <xdr:cNvPr id="673" name="Picture 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72</xdr:row>
      <xdr:rowOff>0</xdr:rowOff>
    </xdr:from>
    <xdr:to>
      <xdr:col>4</xdr:col>
      <xdr:colOff>7620</xdr:colOff>
      <xdr:row>72</xdr:row>
      <xdr:rowOff>7620</xdr:rowOff>
    </xdr:to>
    <xdr:pic>
      <xdr:nvPicPr>
        <xdr:cNvPr id="674" name="Picture 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72</xdr:row>
      <xdr:rowOff>0</xdr:rowOff>
    </xdr:from>
    <xdr:to>
      <xdr:col>5</xdr:col>
      <xdr:colOff>7620</xdr:colOff>
      <xdr:row>72</xdr:row>
      <xdr:rowOff>7620</xdr:rowOff>
    </xdr:to>
    <xdr:pic>
      <xdr:nvPicPr>
        <xdr:cNvPr id="675" name="Picture 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72</xdr:row>
      <xdr:rowOff>0</xdr:rowOff>
    </xdr:from>
    <xdr:to>
      <xdr:col>6</xdr:col>
      <xdr:colOff>7620</xdr:colOff>
      <xdr:row>72</xdr:row>
      <xdr:rowOff>7620</xdr:rowOff>
    </xdr:to>
    <xdr:pic>
      <xdr:nvPicPr>
        <xdr:cNvPr id="676" name="Picture 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72</xdr:row>
      <xdr:rowOff>0</xdr:rowOff>
    </xdr:from>
    <xdr:to>
      <xdr:col>7</xdr:col>
      <xdr:colOff>7620</xdr:colOff>
      <xdr:row>72</xdr:row>
      <xdr:rowOff>7620</xdr:rowOff>
    </xdr:to>
    <xdr:pic>
      <xdr:nvPicPr>
        <xdr:cNvPr id="677" name="Picture 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82296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73</xdr:row>
      <xdr:rowOff>0</xdr:rowOff>
    </xdr:from>
    <xdr:to>
      <xdr:col>1</xdr:col>
      <xdr:colOff>7620</xdr:colOff>
      <xdr:row>73</xdr:row>
      <xdr:rowOff>7620</xdr:rowOff>
    </xdr:to>
    <xdr:pic>
      <xdr:nvPicPr>
        <xdr:cNvPr id="678" name="Picture 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73</xdr:row>
      <xdr:rowOff>0</xdr:rowOff>
    </xdr:from>
    <xdr:to>
      <xdr:col>1</xdr:col>
      <xdr:colOff>7620</xdr:colOff>
      <xdr:row>73</xdr:row>
      <xdr:rowOff>7620</xdr:rowOff>
    </xdr:to>
    <xdr:pic>
      <xdr:nvPicPr>
        <xdr:cNvPr id="679" name="Picture 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73</xdr:row>
      <xdr:rowOff>0</xdr:rowOff>
    </xdr:from>
    <xdr:to>
      <xdr:col>2</xdr:col>
      <xdr:colOff>7620</xdr:colOff>
      <xdr:row>73</xdr:row>
      <xdr:rowOff>7620</xdr:rowOff>
    </xdr:to>
    <xdr:pic>
      <xdr:nvPicPr>
        <xdr:cNvPr id="680" name="Picture 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xdr:row>
      <xdr:rowOff>0</xdr:rowOff>
    </xdr:from>
    <xdr:to>
      <xdr:col>3</xdr:col>
      <xdr:colOff>7620</xdr:colOff>
      <xdr:row>73</xdr:row>
      <xdr:rowOff>7620</xdr:rowOff>
    </xdr:to>
    <xdr:pic>
      <xdr:nvPicPr>
        <xdr:cNvPr id="681" name="Picture 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73</xdr:row>
      <xdr:rowOff>0</xdr:rowOff>
    </xdr:from>
    <xdr:to>
      <xdr:col>4</xdr:col>
      <xdr:colOff>7620</xdr:colOff>
      <xdr:row>73</xdr:row>
      <xdr:rowOff>7620</xdr:rowOff>
    </xdr:to>
    <xdr:pic>
      <xdr:nvPicPr>
        <xdr:cNvPr id="682" name="Picture 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73</xdr:row>
      <xdr:rowOff>0</xdr:rowOff>
    </xdr:from>
    <xdr:to>
      <xdr:col>5</xdr:col>
      <xdr:colOff>7620</xdr:colOff>
      <xdr:row>73</xdr:row>
      <xdr:rowOff>7620</xdr:rowOff>
    </xdr:to>
    <xdr:pic>
      <xdr:nvPicPr>
        <xdr:cNvPr id="683" name="Picture 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73</xdr:row>
      <xdr:rowOff>0</xdr:rowOff>
    </xdr:from>
    <xdr:to>
      <xdr:col>6</xdr:col>
      <xdr:colOff>7620</xdr:colOff>
      <xdr:row>73</xdr:row>
      <xdr:rowOff>7620</xdr:rowOff>
    </xdr:to>
    <xdr:pic>
      <xdr:nvPicPr>
        <xdr:cNvPr id="684" name="Picture 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73</xdr:row>
      <xdr:rowOff>0</xdr:rowOff>
    </xdr:from>
    <xdr:to>
      <xdr:col>7</xdr:col>
      <xdr:colOff>7620</xdr:colOff>
      <xdr:row>73</xdr:row>
      <xdr:rowOff>7620</xdr:rowOff>
    </xdr:to>
    <xdr:pic>
      <xdr:nvPicPr>
        <xdr:cNvPr id="685" name="Picture 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87782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7620</xdr:colOff>
      <xdr:row>74</xdr:row>
      <xdr:rowOff>7620</xdr:rowOff>
    </xdr:to>
    <xdr:pic>
      <xdr:nvPicPr>
        <xdr:cNvPr id="686" name="Picture 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74</xdr:row>
      <xdr:rowOff>0</xdr:rowOff>
    </xdr:from>
    <xdr:to>
      <xdr:col>1</xdr:col>
      <xdr:colOff>7620</xdr:colOff>
      <xdr:row>74</xdr:row>
      <xdr:rowOff>7620</xdr:rowOff>
    </xdr:to>
    <xdr:pic>
      <xdr:nvPicPr>
        <xdr:cNvPr id="687" name="Picture 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74</xdr:row>
      <xdr:rowOff>0</xdr:rowOff>
    </xdr:from>
    <xdr:to>
      <xdr:col>2</xdr:col>
      <xdr:colOff>7620</xdr:colOff>
      <xdr:row>74</xdr:row>
      <xdr:rowOff>7620</xdr:rowOff>
    </xdr:to>
    <xdr:pic>
      <xdr:nvPicPr>
        <xdr:cNvPr id="688" name="Picture 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xdr:row>
      <xdr:rowOff>0</xdr:rowOff>
    </xdr:from>
    <xdr:to>
      <xdr:col>3</xdr:col>
      <xdr:colOff>7620</xdr:colOff>
      <xdr:row>74</xdr:row>
      <xdr:rowOff>7620</xdr:rowOff>
    </xdr:to>
    <xdr:pic>
      <xdr:nvPicPr>
        <xdr:cNvPr id="689" name="Picture 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74</xdr:row>
      <xdr:rowOff>0</xdr:rowOff>
    </xdr:from>
    <xdr:to>
      <xdr:col>4</xdr:col>
      <xdr:colOff>7620</xdr:colOff>
      <xdr:row>74</xdr:row>
      <xdr:rowOff>7620</xdr:rowOff>
    </xdr:to>
    <xdr:pic>
      <xdr:nvPicPr>
        <xdr:cNvPr id="690" name="Picture 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74</xdr:row>
      <xdr:rowOff>0</xdr:rowOff>
    </xdr:from>
    <xdr:to>
      <xdr:col>5</xdr:col>
      <xdr:colOff>7620</xdr:colOff>
      <xdr:row>74</xdr:row>
      <xdr:rowOff>7620</xdr:rowOff>
    </xdr:to>
    <xdr:pic>
      <xdr:nvPicPr>
        <xdr:cNvPr id="691" name="Picture 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74</xdr:row>
      <xdr:rowOff>0</xdr:rowOff>
    </xdr:from>
    <xdr:to>
      <xdr:col>6</xdr:col>
      <xdr:colOff>7620</xdr:colOff>
      <xdr:row>74</xdr:row>
      <xdr:rowOff>7620</xdr:rowOff>
    </xdr:to>
    <xdr:pic>
      <xdr:nvPicPr>
        <xdr:cNvPr id="692" name="Picture 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74</xdr:row>
      <xdr:rowOff>0</xdr:rowOff>
    </xdr:from>
    <xdr:to>
      <xdr:col>7</xdr:col>
      <xdr:colOff>7620</xdr:colOff>
      <xdr:row>74</xdr:row>
      <xdr:rowOff>7620</xdr:rowOff>
    </xdr:to>
    <xdr:pic>
      <xdr:nvPicPr>
        <xdr:cNvPr id="693" name="Picture 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93268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xdr:row>
      <xdr:rowOff>0</xdr:rowOff>
    </xdr:from>
    <xdr:to>
      <xdr:col>1</xdr:col>
      <xdr:colOff>7620</xdr:colOff>
      <xdr:row>75</xdr:row>
      <xdr:rowOff>7620</xdr:rowOff>
    </xdr:to>
    <xdr:pic>
      <xdr:nvPicPr>
        <xdr:cNvPr id="694" name="Picture 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75</xdr:row>
      <xdr:rowOff>0</xdr:rowOff>
    </xdr:from>
    <xdr:to>
      <xdr:col>1</xdr:col>
      <xdr:colOff>7620</xdr:colOff>
      <xdr:row>75</xdr:row>
      <xdr:rowOff>7620</xdr:rowOff>
    </xdr:to>
    <xdr:pic>
      <xdr:nvPicPr>
        <xdr:cNvPr id="695" name="Picture 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75</xdr:row>
      <xdr:rowOff>0</xdr:rowOff>
    </xdr:from>
    <xdr:to>
      <xdr:col>2</xdr:col>
      <xdr:colOff>7620</xdr:colOff>
      <xdr:row>75</xdr:row>
      <xdr:rowOff>7620</xdr:rowOff>
    </xdr:to>
    <xdr:pic>
      <xdr:nvPicPr>
        <xdr:cNvPr id="696" name="Picture 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xdr:row>
      <xdr:rowOff>0</xdr:rowOff>
    </xdr:from>
    <xdr:to>
      <xdr:col>3</xdr:col>
      <xdr:colOff>7620</xdr:colOff>
      <xdr:row>75</xdr:row>
      <xdr:rowOff>7620</xdr:rowOff>
    </xdr:to>
    <xdr:pic>
      <xdr:nvPicPr>
        <xdr:cNvPr id="697" name="Picture 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75</xdr:row>
      <xdr:rowOff>0</xdr:rowOff>
    </xdr:from>
    <xdr:to>
      <xdr:col>4</xdr:col>
      <xdr:colOff>7620</xdr:colOff>
      <xdr:row>75</xdr:row>
      <xdr:rowOff>7620</xdr:rowOff>
    </xdr:to>
    <xdr:pic>
      <xdr:nvPicPr>
        <xdr:cNvPr id="698" name="Picture 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75</xdr:row>
      <xdr:rowOff>0</xdr:rowOff>
    </xdr:from>
    <xdr:to>
      <xdr:col>5</xdr:col>
      <xdr:colOff>7620</xdr:colOff>
      <xdr:row>75</xdr:row>
      <xdr:rowOff>7620</xdr:rowOff>
    </xdr:to>
    <xdr:pic>
      <xdr:nvPicPr>
        <xdr:cNvPr id="699" name="Picture 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75</xdr:row>
      <xdr:rowOff>0</xdr:rowOff>
    </xdr:from>
    <xdr:to>
      <xdr:col>6</xdr:col>
      <xdr:colOff>7620</xdr:colOff>
      <xdr:row>75</xdr:row>
      <xdr:rowOff>7620</xdr:rowOff>
    </xdr:to>
    <xdr:pic>
      <xdr:nvPicPr>
        <xdr:cNvPr id="700" name="Picture 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75</xdr:row>
      <xdr:rowOff>0</xdr:rowOff>
    </xdr:from>
    <xdr:to>
      <xdr:col>7</xdr:col>
      <xdr:colOff>7620</xdr:colOff>
      <xdr:row>75</xdr:row>
      <xdr:rowOff>7620</xdr:rowOff>
    </xdr:to>
    <xdr:pic>
      <xdr:nvPicPr>
        <xdr:cNvPr id="701" name="Picture 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98755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76</xdr:row>
      <xdr:rowOff>0</xdr:rowOff>
    </xdr:from>
    <xdr:to>
      <xdr:col>1</xdr:col>
      <xdr:colOff>7620</xdr:colOff>
      <xdr:row>76</xdr:row>
      <xdr:rowOff>7620</xdr:rowOff>
    </xdr:to>
    <xdr:pic>
      <xdr:nvPicPr>
        <xdr:cNvPr id="702" name="Picture 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76</xdr:row>
      <xdr:rowOff>0</xdr:rowOff>
    </xdr:from>
    <xdr:to>
      <xdr:col>1</xdr:col>
      <xdr:colOff>7620</xdr:colOff>
      <xdr:row>76</xdr:row>
      <xdr:rowOff>7620</xdr:rowOff>
    </xdr:to>
    <xdr:pic>
      <xdr:nvPicPr>
        <xdr:cNvPr id="703" name="Picture 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76</xdr:row>
      <xdr:rowOff>0</xdr:rowOff>
    </xdr:from>
    <xdr:to>
      <xdr:col>2</xdr:col>
      <xdr:colOff>7620</xdr:colOff>
      <xdr:row>76</xdr:row>
      <xdr:rowOff>7620</xdr:rowOff>
    </xdr:to>
    <xdr:pic>
      <xdr:nvPicPr>
        <xdr:cNvPr id="704" name="Picture 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xdr:row>
      <xdr:rowOff>0</xdr:rowOff>
    </xdr:from>
    <xdr:to>
      <xdr:col>3</xdr:col>
      <xdr:colOff>7620</xdr:colOff>
      <xdr:row>76</xdr:row>
      <xdr:rowOff>7620</xdr:rowOff>
    </xdr:to>
    <xdr:pic>
      <xdr:nvPicPr>
        <xdr:cNvPr id="705" name="Picture 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76</xdr:row>
      <xdr:rowOff>0</xdr:rowOff>
    </xdr:from>
    <xdr:to>
      <xdr:col>4</xdr:col>
      <xdr:colOff>7620</xdr:colOff>
      <xdr:row>76</xdr:row>
      <xdr:rowOff>7620</xdr:rowOff>
    </xdr:to>
    <xdr:pic>
      <xdr:nvPicPr>
        <xdr:cNvPr id="706" name="Picture 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76</xdr:row>
      <xdr:rowOff>0</xdr:rowOff>
    </xdr:from>
    <xdr:to>
      <xdr:col>5</xdr:col>
      <xdr:colOff>7620</xdr:colOff>
      <xdr:row>76</xdr:row>
      <xdr:rowOff>7620</xdr:rowOff>
    </xdr:to>
    <xdr:pic>
      <xdr:nvPicPr>
        <xdr:cNvPr id="707" name="Picture 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76</xdr:row>
      <xdr:rowOff>0</xdr:rowOff>
    </xdr:from>
    <xdr:to>
      <xdr:col>6</xdr:col>
      <xdr:colOff>7620</xdr:colOff>
      <xdr:row>76</xdr:row>
      <xdr:rowOff>7620</xdr:rowOff>
    </xdr:to>
    <xdr:pic>
      <xdr:nvPicPr>
        <xdr:cNvPr id="708" name="Picture 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76</xdr:row>
      <xdr:rowOff>0</xdr:rowOff>
    </xdr:from>
    <xdr:to>
      <xdr:col>7</xdr:col>
      <xdr:colOff>7620</xdr:colOff>
      <xdr:row>76</xdr:row>
      <xdr:rowOff>7620</xdr:rowOff>
    </xdr:to>
    <xdr:pic>
      <xdr:nvPicPr>
        <xdr:cNvPr id="709" name="Picture 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104241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77</xdr:row>
      <xdr:rowOff>0</xdr:rowOff>
    </xdr:from>
    <xdr:to>
      <xdr:col>1</xdr:col>
      <xdr:colOff>7620</xdr:colOff>
      <xdr:row>77</xdr:row>
      <xdr:rowOff>7620</xdr:rowOff>
    </xdr:to>
    <xdr:pic>
      <xdr:nvPicPr>
        <xdr:cNvPr id="710" name="Picture 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77</xdr:row>
      <xdr:rowOff>0</xdr:rowOff>
    </xdr:from>
    <xdr:to>
      <xdr:col>1</xdr:col>
      <xdr:colOff>7620</xdr:colOff>
      <xdr:row>77</xdr:row>
      <xdr:rowOff>7620</xdr:rowOff>
    </xdr:to>
    <xdr:pic>
      <xdr:nvPicPr>
        <xdr:cNvPr id="711" name="Picture 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77</xdr:row>
      <xdr:rowOff>0</xdr:rowOff>
    </xdr:from>
    <xdr:to>
      <xdr:col>2</xdr:col>
      <xdr:colOff>7620</xdr:colOff>
      <xdr:row>77</xdr:row>
      <xdr:rowOff>7620</xdr:rowOff>
    </xdr:to>
    <xdr:pic>
      <xdr:nvPicPr>
        <xdr:cNvPr id="712" name="Picture 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xdr:row>
      <xdr:rowOff>0</xdr:rowOff>
    </xdr:from>
    <xdr:to>
      <xdr:col>3</xdr:col>
      <xdr:colOff>7620</xdr:colOff>
      <xdr:row>77</xdr:row>
      <xdr:rowOff>7620</xdr:rowOff>
    </xdr:to>
    <xdr:pic>
      <xdr:nvPicPr>
        <xdr:cNvPr id="713" name="Picture 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77</xdr:row>
      <xdr:rowOff>0</xdr:rowOff>
    </xdr:from>
    <xdr:to>
      <xdr:col>4</xdr:col>
      <xdr:colOff>7620</xdr:colOff>
      <xdr:row>77</xdr:row>
      <xdr:rowOff>7620</xdr:rowOff>
    </xdr:to>
    <xdr:pic>
      <xdr:nvPicPr>
        <xdr:cNvPr id="714" name="Picture 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77</xdr:row>
      <xdr:rowOff>0</xdr:rowOff>
    </xdr:from>
    <xdr:to>
      <xdr:col>5</xdr:col>
      <xdr:colOff>7620</xdr:colOff>
      <xdr:row>77</xdr:row>
      <xdr:rowOff>7620</xdr:rowOff>
    </xdr:to>
    <xdr:pic>
      <xdr:nvPicPr>
        <xdr:cNvPr id="715" name="Picture 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77</xdr:row>
      <xdr:rowOff>0</xdr:rowOff>
    </xdr:from>
    <xdr:to>
      <xdr:col>6</xdr:col>
      <xdr:colOff>7620</xdr:colOff>
      <xdr:row>77</xdr:row>
      <xdr:rowOff>7620</xdr:rowOff>
    </xdr:to>
    <xdr:pic>
      <xdr:nvPicPr>
        <xdr:cNvPr id="716" name="Picture 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77</xdr:row>
      <xdr:rowOff>0</xdr:rowOff>
    </xdr:from>
    <xdr:to>
      <xdr:col>7</xdr:col>
      <xdr:colOff>7620</xdr:colOff>
      <xdr:row>77</xdr:row>
      <xdr:rowOff>7620</xdr:rowOff>
    </xdr:to>
    <xdr:pic>
      <xdr:nvPicPr>
        <xdr:cNvPr id="717" name="Picture 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109728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78</xdr:row>
      <xdr:rowOff>0</xdr:rowOff>
    </xdr:from>
    <xdr:to>
      <xdr:col>1</xdr:col>
      <xdr:colOff>7620</xdr:colOff>
      <xdr:row>78</xdr:row>
      <xdr:rowOff>7620</xdr:rowOff>
    </xdr:to>
    <xdr:pic>
      <xdr:nvPicPr>
        <xdr:cNvPr id="718" name="Picture 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78</xdr:row>
      <xdr:rowOff>0</xdr:rowOff>
    </xdr:from>
    <xdr:to>
      <xdr:col>1</xdr:col>
      <xdr:colOff>7620</xdr:colOff>
      <xdr:row>78</xdr:row>
      <xdr:rowOff>7620</xdr:rowOff>
    </xdr:to>
    <xdr:pic>
      <xdr:nvPicPr>
        <xdr:cNvPr id="719" name="Picture 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78</xdr:row>
      <xdr:rowOff>0</xdr:rowOff>
    </xdr:from>
    <xdr:to>
      <xdr:col>2</xdr:col>
      <xdr:colOff>7620</xdr:colOff>
      <xdr:row>78</xdr:row>
      <xdr:rowOff>7620</xdr:rowOff>
    </xdr:to>
    <xdr:pic>
      <xdr:nvPicPr>
        <xdr:cNvPr id="720" name="Picture 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xdr:row>
      <xdr:rowOff>0</xdr:rowOff>
    </xdr:from>
    <xdr:to>
      <xdr:col>3</xdr:col>
      <xdr:colOff>7620</xdr:colOff>
      <xdr:row>78</xdr:row>
      <xdr:rowOff>7620</xdr:rowOff>
    </xdr:to>
    <xdr:pic>
      <xdr:nvPicPr>
        <xdr:cNvPr id="721" name="Picture 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78</xdr:row>
      <xdr:rowOff>0</xdr:rowOff>
    </xdr:from>
    <xdr:to>
      <xdr:col>4</xdr:col>
      <xdr:colOff>7620</xdr:colOff>
      <xdr:row>78</xdr:row>
      <xdr:rowOff>7620</xdr:rowOff>
    </xdr:to>
    <xdr:pic>
      <xdr:nvPicPr>
        <xdr:cNvPr id="722" name="Picture 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78</xdr:row>
      <xdr:rowOff>0</xdr:rowOff>
    </xdr:from>
    <xdr:to>
      <xdr:col>5</xdr:col>
      <xdr:colOff>7620</xdr:colOff>
      <xdr:row>78</xdr:row>
      <xdr:rowOff>7620</xdr:rowOff>
    </xdr:to>
    <xdr:pic>
      <xdr:nvPicPr>
        <xdr:cNvPr id="723" name="Picture 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78</xdr:row>
      <xdr:rowOff>0</xdr:rowOff>
    </xdr:from>
    <xdr:to>
      <xdr:col>6</xdr:col>
      <xdr:colOff>7620</xdr:colOff>
      <xdr:row>78</xdr:row>
      <xdr:rowOff>7620</xdr:rowOff>
    </xdr:to>
    <xdr:pic>
      <xdr:nvPicPr>
        <xdr:cNvPr id="724" name="Picture 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78</xdr:row>
      <xdr:rowOff>0</xdr:rowOff>
    </xdr:from>
    <xdr:to>
      <xdr:col>7</xdr:col>
      <xdr:colOff>7620</xdr:colOff>
      <xdr:row>78</xdr:row>
      <xdr:rowOff>7620</xdr:rowOff>
    </xdr:to>
    <xdr:pic>
      <xdr:nvPicPr>
        <xdr:cNvPr id="725" name="Picture 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115214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26" name="Picture 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27" name="Picture 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28" name="Picture 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729" name="Picture 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730" name="Picture 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731" name="Picture 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732" name="Picture 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79</xdr:row>
      <xdr:rowOff>0</xdr:rowOff>
    </xdr:from>
    <xdr:to>
      <xdr:col>7</xdr:col>
      <xdr:colOff>7620</xdr:colOff>
      <xdr:row>79</xdr:row>
      <xdr:rowOff>7620</xdr:rowOff>
    </xdr:to>
    <xdr:pic>
      <xdr:nvPicPr>
        <xdr:cNvPr id="733" name="Picture 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120700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34" name="Picture 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35" name="Picture 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36" name="Picture 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37" name="Picture 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38" name="Picture 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39" name="Picture 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0" name="Picture 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1" name="Picture 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42" name="Picture 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43" name="Picture 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44" name="Picture 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5" name="Picture 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6" name="Picture 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7" name="Picture 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8" name="Picture 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49" name="Picture 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50" name="Picture 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51" name="Picture 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52" name="Picture 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53" name="Picture 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54" name="Picture 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55" name="Picture 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56" name="Picture 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57" name="Picture 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58" name="Picture 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59" name="Picture 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60" name="Picture 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61" name="Picture 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62" name="Picture 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63" name="Picture 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64" name="Picture 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65" name="Picture 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66" name="Picture 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67" name="Picture 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68" name="Picture 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69" name="Picture 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0" name="Picture 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1" name="Picture 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2" name="Picture 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3" name="Picture 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74" name="Picture 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75" name="Picture 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76" name="Picture 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7" name="Picture 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8" name="Picture 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79" name="Picture 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0" name="Picture 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1" name="Picture 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82" name="Picture 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83" name="Picture 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84" name="Picture 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5" name="Picture 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6" name="Picture 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7" name="Picture 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8" name="Picture 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89" name="Picture 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90" name="Picture 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91" name="Picture 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92" name="Picture 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93" name="Picture 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94" name="Picture 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95" name="Picture 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96" name="Picture 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797" name="Picture 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98" name="Picture 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799" name="Picture 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00" name="Picture 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01" name="Picture 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02" name="Picture 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03" name="Picture 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04" name="Picture 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05" name="Picture 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06" name="Picture 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07" name="Picture 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08" name="Picture 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09" name="Picture 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0" name="Picture 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1" name="Picture 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2" name="Picture 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3" name="Picture 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14" name="Picture 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15" name="Picture 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16" name="Picture 8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7" name="Picture 8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8" name="Picture 8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19" name="Picture 8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0" name="Picture 8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1" name="Picture 8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22" name="Picture 8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23" name="Picture 8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24" name="Picture 8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5" name="Picture 8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6" name="Picture 8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7" name="Picture 8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8" name="Picture 8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29" name="Picture 8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30" name="Picture 8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31" name="Picture 8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32" name="Picture 8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33" name="Picture 8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34" name="Picture 8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35" name="Picture 8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36" name="Picture 8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37" name="Picture 8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38" name="Picture 8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39" name="Picture 8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40" name="Picture 8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41" name="Picture 8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42" name="Picture 8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43" name="Picture 8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44" name="Picture 8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45" name="Picture 8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46" name="Picture 8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47" name="Picture 8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48" name="Picture 8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49" name="Picture 8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0" name="Picture 8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1" name="Picture 8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2" name="Picture 8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3" name="Picture 8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54" name="Picture 8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55" name="Picture 8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56" name="Picture 8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7" name="Picture 8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8" name="Picture 8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59" name="Picture 8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0" name="Picture 8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1" name="Picture 8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62" name="Picture 8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63" name="Picture 8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64" name="Picture 8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5" name="Picture 8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6" name="Picture 8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7" name="Picture 8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8" name="Picture 8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69" name="Picture 8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70" name="Picture 8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71" name="Picture 8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72" name="Picture 8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73" name="Picture 8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74" name="Picture 8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75" name="Picture 8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76" name="Picture 8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77" name="Picture 8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78" name="Picture 8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79" name="Picture 8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80" name="Picture 8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81" name="Picture 8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82" name="Picture 8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83" name="Picture 8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84" name="Picture 8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85" name="Picture 8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86" name="Picture 8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87" name="Picture 8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88" name="Picture 8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89" name="Picture 8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0" name="Picture 8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1" name="Picture 8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2" name="Picture 8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3" name="Picture 8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94" name="Picture 8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95" name="Picture 8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896" name="Picture 8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7" name="Picture 8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8" name="Picture 8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899" name="Picture 8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0" name="Picture 8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1" name="Picture 9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902" name="Picture 9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903" name="Picture 9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904" name="Picture 9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5" name="Picture 9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6" name="Picture 9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7" name="Picture 9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8" name="Picture 9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09" name="Picture 9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910" name="Picture 9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911" name="Picture 9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80</xdr:row>
      <xdr:rowOff>0</xdr:rowOff>
    </xdr:from>
    <xdr:to>
      <xdr:col>0</xdr:col>
      <xdr:colOff>7620</xdr:colOff>
      <xdr:row>80</xdr:row>
      <xdr:rowOff>7620</xdr:rowOff>
    </xdr:to>
    <xdr:pic>
      <xdr:nvPicPr>
        <xdr:cNvPr id="912" name="Picture 9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3" name="Picture 9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4" name="Picture 9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5" name="Picture 9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6" name="Picture 9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7" name="Picture 9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8" name="Picture 9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19" name="Picture 9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20" name="Picture 9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21" name="Picture 9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80</xdr:row>
      <xdr:rowOff>0</xdr:rowOff>
    </xdr:from>
    <xdr:to>
      <xdr:col>2</xdr:col>
      <xdr:colOff>7620</xdr:colOff>
      <xdr:row>80</xdr:row>
      <xdr:rowOff>7620</xdr:rowOff>
    </xdr:to>
    <xdr:pic>
      <xdr:nvPicPr>
        <xdr:cNvPr id="922" name="Picture 9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80</xdr:row>
      <xdr:rowOff>0</xdr:rowOff>
    </xdr:from>
    <xdr:to>
      <xdr:col>2</xdr:col>
      <xdr:colOff>7620</xdr:colOff>
      <xdr:row>80</xdr:row>
      <xdr:rowOff>7620</xdr:rowOff>
    </xdr:to>
    <xdr:pic>
      <xdr:nvPicPr>
        <xdr:cNvPr id="923" name="Picture 9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7620</xdr:colOff>
      <xdr:row>80</xdr:row>
      <xdr:rowOff>7620</xdr:rowOff>
    </xdr:to>
    <xdr:pic>
      <xdr:nvPicPr>
        <xdr:cNvPr id="924" name="Picture 9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7620</xdr:colOff>
      <xdr:row>80</xdr:row>
      <xdr:rowOff>7620</xdr:rowOff>
    </xdr:to>
    <xdr:pic>
      <xdr:nvPicPr>
        <xdr:cNvPr id="925" name="Picture 9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26" name="Picture 9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27" name="Picture 9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28" name="Picture 9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29" name="Picture 9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xdr:col>
      <xdr:colOff>7620</xdr:colOff>
      <xdr:row>81</xdr:row>
      <xdr:rowOff>7620</xdr:rowOff>
    </xdr:to>
    <xdr:pic>
      <xdr:nvPicPr>
        <xdr:cNvPr id="930" name="Picture 9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xdr:col>
      <xdr:colOff>7620</xdr:colOff>
      <xdr:row>81</xdr:row>
      <xdr:rowOff>7620</xdr:rowOff>
    </xdr:to>
    <xdr:pic>
      <xdr:nvPicPr>
        <xdr:cNvPr id="931" name="Picture 9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7620</xdr:colOff>
      <xdr:row>81</xdr:row>
      <xdr:rowOff>7620</xdr:rowOff>
    </xdr:to>
    <xdr:pic>
      <xdr:nvPicPr>
        <xdr:cNvPr id="932" name="Picture 9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7620</xdr:colOff>
      <xdr:row>81</xdr:row>
      <xdr:rowOff>7620</xdr:rowOff>
    </xdr:to>
    <xdr:pic>
      <xdr:nvPicPr>
        <xdr:cNvPr id="933" name="Picture 9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34" name="Picture 9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35" name="Picture 9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36" name="Picture 9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37" name="Picture 9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xdr:col>
      <xdr:colOff>7620</xdr:colOff>
      <xdr:row>81</xdr:row>
      <xdr:rowOff>7620</xdr:rowOff>
    </xdr:to>
    <xdr:pic>
      <xdr:nvPicPr>
        <xdr:cNvPr id="938" name="Picture 9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xdr:col>
      <xdr:colOff>7620</xdr:colOff>
      <xdr:row>81</xdr:row>
      <xdr:rowOff>7620</xdr:rowOff>
    </xdr:to>
    <xdr:pic>
      <xdr:nvPicPr>
        <xdr:cNvPr id="939" name="Picture 9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7620</xdr:colOff>
      <xdr:row>81</xdr:row>
      <xdr:rowOff>7620</xdr:rowOff>
    </xdr:to>
    <xdr:pic>
      <xdr:nvPicPr>
        <xdr:cNvPr id="940" name="Picture 9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7620</xdr:colOff>
      <xdr:row>81</xdr:row>
      <xdr:rowOff>7620</xdr:rowOff>
    </xdr:to>
    <xdr:pic>
      <xdr:nvPicPr>
        <xdr:cNvPr id="941" name="Picture 9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42" name="Picture 9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80</xdr:row>
      <xdr:rowOff>0</xdr:rowOff>
    </xdr:from>
    <xdr:to>
      <xdr:col>1</xdr:col>
      <xdr:colOff>7620</xdr:colOff>
      <xdr:row>80</xdr:row>
      <xdr:rowOff>7620</xdr:rowOff>
    </xdr:to>
    <xdr:pic>
      <xdr:nvPicPr>
        <xdr:cNvPr id="943" name="Picture 9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80</xdr:row>
      <xdr:rowOff>0</xdr:rowOff>
    </xdr:from>
    <xdr:to>
      <xdr:col>2</xdr:col>
      <xdr:colOff>7620</xdr:colOff>
      <xdr:row>80</xdr:row>
      <xdr:rowOff>7620</xdr:rowOff>
    </xdr:to>
    <xdr:pic>
      <xdr:nvPicPr>
        <xdr:cNvPr id="944" name="Picture 9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xdr:row>
      <xdr:rowOff>0</xdr:rowOff>
    </xdr:from>
    <xdr:to>
      <xdr:col>3</xdr:col>
      <xdr:colOff>7620</xdr:colOff>
      <xdr:row>80</xdr:row>
      <xdr:rowOff>7620</xdr:rowOff>
    </xdr:to>
    <xdr:pic>
      <xdr:nvPicPr>
        <xdr:cNvPr id="945" name="Picture 9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80</xdr:row>
      <xdr:rowOff>0</xdr:rowOff>
    </xdr:from>
    <xdr:to>
      <xdr:col>4</xdr:col>
      <xdr:colOff>7620</xdr:colOff>
      <xdr:row>80</xdr:row>
      <xdr:rowOff>7620</xdr:rowOff>
    </xdr:to>
    <xdr:pic>
      <xdr:nvPicPr>
        <xdr:cNvPr id="946" name="Picture 9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80</xdr:row>
      <xdr:rowOff>0</xdr:rowOff>
    </xdr:from>
    <xdr:to>
      <xdr:col>5</xdr:col>
      <xdr:colOff>7620</xdr:colOff>
      <xdr:row>80</xdr:row>
      <xdr:rowOff>7620</xdr:rowOff>
    </xdr:to>
    <xdr:pic>
      <xdr:nvPicPr>
        <xdr:cNvPr id="947" name="Picture 9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80</xdr:row>
      <xdr:rowOff>0</xdr:rowOff>
    </xdr:from>
    <xdr:to>
      <xdr:col>6</xdr:col>
      <xdr:colOff>7620</xdr:colOff>
      <xdr:row>80</xdr:row>
      <xdr:rowOff>7620</xdr:rowOff>
    </xdr:to>
    <xdr:pic>
      <xdr:nvPicPr>
        <xdr:cNvPr id="948" name="Picture 9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80</xdr:row>
      <xdr:rowOff>0</xdr:rowOff>
    </xdr:from>
    <xdr:to>
      <xdr:col>7</xdr:col>
      <xdr:colOff>7620</xdr:colOff>
      <xdr:row>80</xdr:row>
      <xdr:rowOff>7620</xdr:rowOff>
    </xdr:to>
    <xdr:pic>
      <xdr:nvPicPr>
        <xdr:cNvPr id="949" name="Picture 9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50" name="Picture 9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81</xdr:row>
      <xdr:rowOff>0</xdr:rowOff>
    </xdr:from>
    <xdr:to>
      <xdr:col>1</xdr:col>
      <xdr:colOff>7620</xdr:colOff>
      <xdr:row>81</xdr:row>
      <xdr:rowOff>7620</xdr:rowOff>
    </xdr:to>
    <xdr:pic>
      <xdr:nvPicPr>
        <xdr:cNvPr id="951" name="Picture 9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81</xdr:row>
      <xdr:rowOff>0</xdr:rowOff>
    </xdr:from>
    <xdr:to>
      <xdr:col>2</xdr:col>
      <xdr:colOff>7620</xdr:colOff>
      <xdr:row>81</xdr:row>
      <xdr:rowOff>7620</xdr:rowOff>
    </xdr:to>
    <xdr:pic>
      <xdr:nvPicPr>
        <xdr:cNvPr id="952" name="Picture 9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xdr:row>
      <xdr:rowOff>0</xdr:rowOff>
    </xdr:from>
    <xdr:to>
      <xdr:col>3</xdr:col>
      <xdr:colOff>7620</xdr:colOff>
      <xdr:row>81</xdr:row>
      <xdr:rowOff>7620</xdr:rowOff>
    </xdr:to>
    <xdr:pic>
      <xdr:nvPicPr>
        <xdr:cNvPr id="953" name="Picture 9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81</xdr:row>
      <xdr:rowOff>0</xdr:rowOff>
    </xdr:from>
    <xdr:to>
      <xdr:col>4</xdr:col>
      <xdr:colOff>7620</xdr:colOff>
      <xdr:row>81</xdr:row>
      <xdr:rowOff>7620</xdr:rowOff>
    </xdr:to>
    <xdr:pic>
      <xdr:nvPicPr>
        <xdr:cNvPr id="954" name="Picture 9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81</xdr:row>
      <xdr:rowOff>0</xdr:rowOff>
    </xdr:from>
    <xdr:to>
      <xdr:col>5</xdr:col>
      <xdr:colOff>7620</xdr:colOff>
      <xdr:row>81</xdr:row>
      <xdr:rowOff>7620</xdr:rowOff>
    </xdr:to>
    <xdr:pic>
      <xdr:nvPicPr>
        <xdr:cNvPr id="955" name="Picture 9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81</xdr:row>
      <xdr:rowOff>0</xdr:rowOff>
    </xdr:from>
    <xdr:to>
      <xdr:col>6</xdr:col>
      <xdr:colOff>7620</xdr:colOff>
      <xdr:row>81</xdr:row>
      <xdr:rowOff>7620</xdr:rowOff>
    </xdr:to>
    <xdr:pic>
      <xdr:nvPicPr>
        <xdr:cNvPr id="956" name="Picture 9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576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81</xdr:row>
      <xdr:rowOff>0</xdr:rowOff>
    </xdr:from>
    <xdr:to>
      <xdr:col>7</xdr:col>
      <xdr:colOff>7620</xdr:colOff>
      <xdr:row>81</xdr:row>
      <xdr:rowOff>7620</xdr:rowOff>
    </xdr:to>
    <xdr:pic>
      <xdr:nvPicPr>
        <xdr:cNvPr id="957" name="Picture 9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67200" y="5486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64</xdr:row>
      <xdr:rowOff>0</xdr:rowOff>
    </xdr:from>
    <xdr:ext cx="7620" cy="7620"/>
    <xdr:pic>
      <xdr:nvPicPr>
        <xdr:cNvPr id="2" name="Picture 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3" name="Picture 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64</xdr:row>
      <xdr:rowOff>0</xdr:rowOff>
    </xdr:from>
    <xdr:ext cx="7620" cy="7620"/>
    <xdr:pic>
      <xdr:nvPicPr>
        <xdr:cNvPr id="4" name="Picture 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64</xdr:row>
      <xdr:rowOff>0</xdr:rowOff>
    </xdr:from>
    <xdr:ext cx="7620" cy="7620"/>
    <xdr:pic>
      <xdr:nvPicPr>
        <xdr:cNvPr id="5" name="Picture 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64</xdr:row>
      <xdr:rowOff>0</xdr:rowOff>
    </xdr:from>
    <xdr:ext cx="7620" cy="7620"/>
    <xdr:pic>
      <xdr:nvPicPr>
        <xdr:cNvPr id="6" name="Picture 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64</xdr:row>
      <xdr:rowOff>0</xdr:rowOff>
    </xdr:from>
    <xdr:ext cx="7620" cy="7620"/>
    <xdr:pic>
      <xdr:nvPicPr>
        <xdr:cNvPr id="7" name="Picture 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64</xdr:row>
      <xdr:rowOff>0</xdr:rowOff>
    </xdr:from>
    <xdr:ext cx="7620" cy="7620"/>
    <xdr:pic>
      <xdr:nvPicPr>
        <xdr:cNvPr id="8" name="Picture 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64</xdr:row>
      <xdr:rowOff>0</xdr:rowOff>
    </xdr:from>
    <xdr:ext cx="7620" cy="7620"/>
    <xdr:pic>
      <xdr:nvPicPr>
        <xdr:cNvPr id="9" name="Picture 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10" name="Picture 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11" name="Picture 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64</xdr:row>
      <xdr:rowOff>0</xdr:rowOff>
    </xdr:from>
    <xdr:ext cx="7620" cy="7620"/>
    <xdr:pic>
      <xdr:nvPicPr>
        <xdr:cNvPr id="12" name="Picture 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64</xdr:row>
      <xdr:rowOff>0</xdr:rowOff>
    </xdr:from>
    <xdr:ext cx="7620" cy="7620"/>
    <xdr:pic>
      <xdr:nvPicPr>
        <xdr:cNvPr id="13" name="Picture 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64</xdr:row>
      <xdr:rowOff>0</xdr:rowOff>
    </xdr:from>
    <xdr:ext cx="7620" cy="7620"/>
    <xdr:pic>
      <xdr:nvPicPr>
        <xdr:cNvPr id="14" name="Picture 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64</xdr:row>
      <xdr:rowOff>0</xdr:rowOff>
    </xdr:from>
    <xdr:ext cx="7620" cy="7620"/>
    <xdr:pic>
      <xdr:nvPicPr>
        <xdr:cNvPr id="15" name="Picture 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64</xdr:row>
      <xdr:rowOff>0</xdr:rowOff>
    </xdr:from>
    <xdr:ext cx="7620" cy="7620"/>
    <xdr:pic>
      <xdr:nvPicPr>
        <xdr:cNvPr id="16" name="Picture 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64</xdr:row>
      <xdr:rowOff>0</xdr:rowOff>
    </xdr:from>
    <xdr:ext cx="7620" cy="7620"/>
    <xdr:pic>
      <xdr:nvPicPr>
        <xdr:cNvPr id="17" name="Picture 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18" name="Picture 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19" name="Picture 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64</xdr:row>
      <xdr:rowOff>0</xdr:rowOff>
    </xdr:from>
    <xdr:ext cx="7620" cy="7620"/>
    <xdr:pic>
      <xdr:nvPicPr>
        <xdr:cNvPr id="20" name="Picture 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64</xdr:row>
      <xdr:rowOff>0</xdr:rowOff>
    </xdr:from>
    <xdr:ext cx="7620" cy="7620"/>
    <xdr:pic>
      <xdr:nvPicPr>
        <xdr:cNvPr id="21" name="Picture 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64</xdr:row>
      <xdr:rowOff>0</xdr:rowOff>
    </xdr:from>
    <xdr:ext cx="7620" cy="7620"/>
    <xdr:pic>
      <xdr:nvPicPr>
        <xdr:cNvPr id="22" name="Picture 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64</xdr:row>
      <xdr:rowOff>0</xdr:rowOff>
    </xdr:from>
    <xdr:ext cx="7620" cy="7620"/>
    <xdr:pic>
      <xdr:nvPicPr>
        <xdr:cNvPr id="23" name="Picture 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64</xdr:row>
      <xdr:rowOff>0</xdr:rowOff>
    </xdr:from>
    <xdr:ext cx="7620" cy="7620"/>
    <xdr:pic>
      <xdr:nvPicPr>
        <xdr:cNvPr id="24" name="Picture 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64</xdr:row>
      <xdr:rowOff>0</xdr:rowOff>
    </xdr:from>
    <xdr:ext cx="7620" cy="7620"/>
    <xdr:pic>
      <xdr:nvPicPr>
        <xdr:cNvPr id="25" name="Picture 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26" name="Picture 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27" name="Picture 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64</xdr:row>
      <xdr:rowOff>0</xdr:rowOff>
    </xdr:from>
    <xdr:ext cx="7620" cy="7620"/>
    <xdr:pic>
      <xdr:nvPicPr>
        <xdr:cNvPr id="28" name="Picture 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64</xdr:row>
      <xdr:rowOff>0</xdr:rowOff>
    </xdr:from>
    <xdr:ext cx="7620" cy="7620"/>
    <xdr:pic>
      <xdr:nvPicPr>
        <xdr:cNvPr id="29" name="Picture 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64</xdr:row>
      <xdr:rowOff>0</xdr:rowOff>
    </xdr:from>
    <xdr:ext cx="7620" cy="7620"/>
    <xdr:pic>
      <xdr:nvPicPr>
        <xdr:cNvPr id="30" name="Picture 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64</xdr:row>
      <xdr:rowOff>0</xdr:rowOff>
    </xdr:from>
    <xdr:ext cx="7620" cy="7620"/>
    <xdr:pic>
      <xdr:nvPicPr>
        <xdr:cNvPr id="31" name="Picture 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64</xdr:row>
      <xdr:rowOff>0</xdr:rowOff>
    </xdr:from>
    <xdr:ext cx="7620" cy="7620"/>
    <xdr:pic>
      <xdr:nvPicPr>
        <xdr:cNvPr id="32" name="Picture 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64</xdr:row>
      <xdr:rowOff>0</xdr:rowOff>
    </xdr:from>
    <xdr:ext cx="7620" cy="7620"/>
    <xdr:pic>
      <xdr:nvPicPr>
        <xdr:cNvPr id="33" name="Picture 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34" name="Picture 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64</xdr:row>
      <xdr:rowOff>0</xdr:rowOff>
    </xdr:from>
    <xdr:ext cx="7620" cy="7620"/>
    <xdr:pic>
      <xdr:nvPicPr>
        <xdr:cNvPr id="35" name="Picture 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64</xdr:row>
      <xdr:rowOff>0</xdr:rowOff>
    </xdr:from>
    <xdr:ext cx="7620" cy="7620"/>
    <xdr:pic>
      <xdr:nvPicPr>
        <xdr:cNvPr id="36" name="Picture 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64</xdr:row>
      <xdr:rowOff>0</xdr:rowOff>
    </xdr:from>
    <xdr:ext cx="7620" cy="7620"/>
    <xdr:pic>
      <xdr:nvPicPr>
        <xdr:cNvPr id="37" name="Picture 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64</xdr:row>
      <xdr:rowOff>0</xdr:rowOff>
    </xdr:from>
    <xdr:ext cx="7620" cy="7620"/>
    <xdr:pic>
      <xdr:nvPicPr>
        <xdr:cNvPr id="38" name="Picture 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64</xdr:row>
      <xdr:rowOff>0</xdr:rowOff>
    </xdr:from>
    <xdr:ext cx="7620" cy="7620"/>
    <xdr:pic>
      <xdr:nvPicPr>
        <xdr:cNvPr id="39" name="Picture 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64</xdr:row>
      <xdr:rowOff>0</xdr:rowOff>
    </xdr:from>
    <xdr:to>
      <xdr:col>5</xdr:col>
      <xdr:colOff>7620</xdr:colOff>
      <xdr:row>64</xdr:row>
      <xdr:rowOff>7620</xdr:rowOff>
    </xdr:to>
    <xdr:pic>
      <xdr:nvPicPr>
        <xdr:cNvPr id="40" name="Picture 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1" name="Picture 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2" name="Picture 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3" name="Picture 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4" name="Picture 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5" name="Picture 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6" name="Picture 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7" name="Picture 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8" name="Picture 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9" name="Picture 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0" name="Picture 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1" name="Picture 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2" name="Picture 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3" name="Picture 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4" name="Picture 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5" name="Picture 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6" name="Picture 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7" name="Picture 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8" name="Picture 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 name="Picture 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60" name="Picture 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61" name="Picture 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62" name="Picture 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63" name="Picture 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64" name="Picture 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65" name="Picture 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 name="Picture 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 name="Picture 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68" name="Picture 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69" name="Picture 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70" name="Picture 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71" name="Picture 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72" name="Picture 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73" name="Picture 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 name="Picture 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 name="Picture 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6" name="Picture 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7" name="Picture 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78" name="Picture 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79" name="Picture 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80" name="Picture 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81" name="Picture 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82" name="Picture 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83" name="Picture 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84" name="Picture 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85" name="Picture 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86" name="Picture 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87" name="Picture 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88" name="Picture 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89" name="Picture 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90" name="Picture 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91" name="Picture 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92" name="Picture 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93" name="Picture 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94" name="Picture 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95" name="Picture 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96" name="Picture 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97" name="Picture 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98" name="Picture 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99" name="Picture 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100" name="Picture 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101" name="Picture 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102" name="Picture 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103" name="Picture 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104" name="Picture 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105" name="Picture 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06" name="Picture 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07" name="Picture 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08" name="Picture 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09" name="Picture 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10" name="Picture 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11" name="Picture 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12" name="Picture 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13" name="Picture 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14" name="Picture 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15" name="Picture 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16" name="Picture 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17" name="Picture 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18" name="Picture 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19" name="Picture 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20" name="Picture 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21" name="Picture 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22" name="Picture 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23" name="Picture 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24" name="Picture 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25" name="Picture 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26" name="Picture 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27" name="Picture 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28" name="Picture 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29" name="Picture 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30" name="Picture 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31" name="Picture 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32" name="Picture 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33" name="Picture 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34" name="Picture 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35" name="Picture 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36" name="Picture 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37" name="Picture 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38" name="Picture 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39" name="Picture 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40" name="Picture 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41" name="Picture 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42" name="Picture 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43" name="Picture 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44" name="Picture 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45" name="Picture 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46" name="Picture 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47" name="Picture 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48" name="Picture 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49" name="Picture 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50" name="Picture 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51" name="Picture 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52" name="Picture 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53" name="Picture 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54" name="Picture 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55" name="Picture 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56" name="Picture 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57" name="Picture 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58" name="Picture 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59" name="Picture 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60" name="Picture 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61" name="Picture 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62" name="Picture 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63" name="Picture 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64" name="Picture 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65" name="Picture 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66" name="Picture 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67" name="Picture 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68" name="Picture 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69" name="Picture 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70" name="Picture 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71" name="Picture 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72" name="Picture 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73" name="Picture 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74" name="Picture 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75" name="Picture 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76" name="Picture 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77" name="Picture 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78" name="Picture 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79" name="Picture 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80" name="Picture 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81" name="Picture 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82" name="Picture 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83" name="Picture 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84" name="Picture 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85" name="Picture 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86" name="Picture 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87" name="Picture 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88" name="Picture 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89" name="Picture 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90" name="Picture 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91" name="Picture 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192" name="Picture 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93" name="Picture 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194" name="Picture 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195" name="Picture 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196" name="Picture 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197" name="Picture 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198" name="Picture 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199" name="Picture 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200" name="Picture 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01" name="Picture 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02" name="Picture 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203" name="Picture 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204" name="Picture 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205" name="Picture 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206" name="Picture 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207" name="Picture 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208" name="Picture 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09" name="Picture 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10" name="Picture 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211" name="Picture 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212" name="Picture 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213" name="Picture 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214" name="Picture 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215" name="Picture 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216" name="Picture 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17" name="Picture 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18" name="Picture 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219" name="Picture 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220" name="Picture 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221" name="Picture 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222" name="Picture 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223" name="Picture 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224" name="Picture 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9525</xdr:colOff>
      <xdr:row>64</xdr:row>
      <xdr:rowOff>9525</xdr:rowOff>
    </xdr:to>
    <xdr:pic>
      <xdr:nvPicPr>
        <xdr:cNvPr id="225" name="Picture 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9525</xdr:colOff>
      <xdr:row>64</xdr:row>
      <xdr:rowOff>9525</xdr:rowOff>
    </xdr:to>
    <xdr:pic>
      <xdr:nvPicPr>
        <xdr:cNvPr id="226" name="Picture 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9525</xdr:colOff>
      <xdr:row>64</xdr:row>
      <xdr:rowOff>9525</xdr:rowOff>
    </xdr:to>
    <xdr:pic>
      <xdr:nvPicPr>
        <xdr:cNvPr id="227" name="Picture 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9525</xdr:colOff>
      <xdr:row>64</xdr:row>
      <xdr:rowOff>9525</xdr:rowOff>
    </xdr:to>
    <xdr:pic>
      <xdr:nvPicPr>
        <xdr:cNvPr id="228" name="Picture 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9525</xdr:colOff>
      <xdr:row>64</xdr:row>
      <xdr:rowOff>9525</xdr:rowOff>
    </xdr:to>
    <xdr:pic>
      <xdr:nvPicPr>
        <xdr:cNvPr id="229" name="Picture 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9525</xdr:colOff>
      <xdr:row>64</xdr:row>
      <xdr:rowOff>9525</xdr:rowOff>
    </xdr:to>
    <xdr:pic>
      <xdr:nvPicPr>
        <xdr:cNvPr id="230" name="Picture 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9525</xdr:colOff>
      <xdr:row>64</xdr:row>
      <xdr:rowOff>9525</xdr:rowOff>
    </xdr:to>
    <xdr:pic>
      <xdr:nvPicPr>
        <xdr:cNvPr id="231" name="Picture 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09537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32" name="Picture 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33" name="Picture 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34" name="Picture 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35" name="Picture 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36" name="Picture 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37" name="Picture 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38" name="Picture 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39" name="Picture 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0" name="Picture 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1" name="Picture 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2" name="Picture 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3" name="Picture 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4" name="Picture 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5" name="Picture 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46" name="Picture 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47" name="Picture 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8" name="Picture 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49" name="Picture 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0" name="Picture 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1" name="Picture 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2" name="Picture 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3" name="Picture 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54" name="Picture 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55" name="Picture 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6" name="Picture 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7" name="Picture 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8" name="Picture 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59" name="Picture 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0" name="Picture 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1" name="Picture 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62" name="Picture 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63" name="Picture 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4" name="Picture 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5" name="Picture 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6" name="Picture 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7" name="Picture 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8" name="Picture 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69" name="Picture 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70" name="Picture 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71" name="Picture 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72" name="Picture 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73" name="Picture 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74" name="Picture 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75" name="Picture 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76" name="Picture 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77" name="Picture 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78" name="Picture 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79" name="Picture 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0" name="Picture 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1" name="Picture 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2" name="Picture 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3" name="Picture 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4" name="Picture 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5" name="Picture 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86" name="Picture 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87" name="Picture 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8" name="Picture 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89" name="Picture 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0" name="Picture 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1" name="Picture 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2" name="Picture 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3" name="Picture 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94" name="Picture 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295" name="Picture 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6" name="Picture 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7" name="Picture 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8" name="Picture 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299" name="Picture 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0" name="Picture 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1" name="Picture 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02" name="Picture 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03" name="Picture 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4" name="Picture 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5" name="Picture 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6" name="Picture 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7" name="Picture 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8" name="Picture 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09" name="Picture 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10" name="Picture 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11" name="Picture 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12" name="Picture 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13" name="Picture 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14" name="Picture 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15" name="Picture 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16" name="Picture 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17" name="Picture 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18" name="Picture 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19" name="Picture 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0" name="Picture 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1" name="Picture 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2" name="Picture 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3" name="Picture 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4" name="Picture 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5" name="Picture 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26" name="Picture 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27" name="Picture 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8" name="Picture 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29" name="Picture 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0" name="Picture 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1" name="Picture 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2" name="Picture 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3" name="Picture 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34" name="Picture 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35" name="Picture 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6" name="Picture 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7" name="Picture 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8" name="Picture 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39" name="Picture 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0" name="Picture 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1" name="Picture 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42" name="Picture 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43" name="Picture 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4" name="Picture 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5" name="Picture 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6" name="Picture 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7" name="Picture 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8" name="Picture 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49" name="Picture 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50" name="Picture 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51" name="Picture 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52" name="Picture 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53" name="Picture 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54" name="Picture 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55" name="Picture 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56" name="Picture 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57" name="Picture 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58" name="Picture 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59" name="Picture 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0" name="Picture 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1" name="Picture 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2" name="Picture 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3" name="Picture 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4" name="Picture 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5" name="Picture 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66" name="Picture 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67" name="Picture 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8" name="Picture 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69" name="Picture 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0" name="Picture 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1" name="Picture 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2" name="Picture 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3" name="Picture 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74" name="Picture 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75" name="Picture 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6" name="Picture 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7" name="Picture 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8" name="Picture 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79" name="Picture 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0" name="Picture 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1" name="Picture 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82" name="Picture 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83" name="Picture 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4" name="Picture 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5" name="Picture 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6" name="Picture 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7" name="Picture 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8" name="Picture 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89" name="Picture 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90" name="Picture 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91" name="Picture 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92" name="Picture 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93" name="Picture 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94" name="Picture 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95" name="Picture 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96" name="Picture 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397" name="Picture 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98" name="Picture 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399" name="Picture 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0" name="Picture 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1" name="Picture 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2" name="Picture 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3" name="Picture 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4" name="Picture 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5" name="Picture 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06" name="Picture 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07" name="Picture 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8" name="Picture 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09" name="Picture 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10" name="Picture 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11" name="Picture 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12" name="Picture 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13" name="Picture 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14" name="Picture 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15" name="Picture 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16" name="Picture 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17" name="Picture 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18" name="Picture 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19" name="Picture 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20" name="Picture 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21" name="Picture 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22" name="Picture 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23" name="Picture 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133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24" name="Picture 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25" name="Picture 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26" name="Picture 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27" name="Picture 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28" name="Picture 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29" name="Picture 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30" name="Picture 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31" name="Picture 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152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32" name="Picture 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33" name="Picture 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34" name="Picture 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35" name="Picture 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36" name="Picture 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37" name="Picture 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38" name="Picture 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39" name="Picture 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190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40" name="Picture 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41" name="Picture 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42" name="Picture 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43" name="Picture 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44" name="Picture 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45" name="Picture 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46" name="Picture 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47" name="Picture 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09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48" name="Picture 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49" name="Picture 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50" name="Picture 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51" name="Picture 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52" name="Picture 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53" name="Picture 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54" name="Picture 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55" name="Picture 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287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56" name="Picture 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57" name="Picture 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58" name="Picture 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59" name="Picture 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60" name="Picture 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61" name="Picture 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62" name="Picture 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63" name="Picture 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668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64" name="Picture 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65" name="Picture 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66" name="Picture 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67" name="Picture 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68" name="Picture 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69" name="Picture 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70" name="Picture 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71" name="Picture 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477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72" name="Picture 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73" name="Picture 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74" name="Picture 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75" name="Picture 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76" name="Picture 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77" name="Picture 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78" name="Picture 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79" name="Picture 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2858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80" name="Picture 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81" name="Picture 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82" name="Picture 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83" name="Picture 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84" name="Picture 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85" name="Picture 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86" name="Picture 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87" name="Picture 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049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88" name="Picture 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89" name="Picture 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90" name="Picture 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91" name="Picture 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492" name="Picture 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493" name="Picture 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494" name="Picture 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495" name="Picture 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239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96" name="Picture 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497" name="Picture 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498" name="Picture 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499" name="Picture 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00" name="Picture 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01" name="Picture 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02" name="Picture 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03" name="Picture 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430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04" name="Picture 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05" name="Picture 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06" name="Picture 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07" name="Picture 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08" name="Picture 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09" name="Picture 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10" name="Picture 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11" name="Picture 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620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12" name="Picture 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13" name="Picture 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14" name="Picture 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15" name="Picture 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16" name="Picture 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17" name="Picture 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18" name="Picture 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19" name="Picture 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3811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20" name="Picture 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21" name="Picture 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22" name="Picture 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23" name="Picture 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24" name="Picture 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25" name="Picture 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26" name="Picture 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27" name="Picture 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4001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28" name="Picture 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29" name="Picture 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30" name="Picture 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31" name="Picture 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32" name="Picture 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33" name="Picture 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34" name="Picture 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35" name="Picture 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4192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36" name="Picture 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37" name="Picture 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38" name="Picture 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39" name="Picture 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40" name="Picture 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41" name="Picture 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42" name="Picture 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43" name="Picture 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4382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44" name="Picture 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45" name="Picture 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46" name="Picture 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47" name="Picture 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48" name="Picture 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49" name="Picture 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50" name="Picture 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51" name="Picture 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4573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52" name="Picture 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53" name="Picture 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54" name="Picture 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55" name="Picture 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56" name="Picture 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57" name="Picture 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58" name="Picture 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59" name="Picture 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4763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60" name="Picture 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61" name="Picture 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62" name="Picture 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63" name="Picture 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64" name="Picture 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65" name="Picture 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66" name="Picture 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67" name="Picture 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4954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68" name="Picture 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69" name="Picture 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70" name="Picture 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71" name="Picture 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72" name="Picture 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73" name="Picture 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74" name="Picture 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75" name="Picture 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5144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76" name="Picture 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77" name="Picture 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78" name="Picture 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79" name="Picture 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80" name="Picture 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81" name="Picture 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82" name="Picture 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83" name="Picture 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5335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84" name="Picture 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85" name="Picture 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586" name="Picture 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587" name="Picture 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588" name="Picture 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589" name="Picture 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590" name="Picture 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591" name="Picture 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5525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2" name="Picture 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3" name="Picture 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4" name="Picture 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5" name="Picture 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6" name="Picture 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7" name="Picture 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8" name="Picture 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599" name="Picture 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0" name="Picture 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1" name="Picture 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2" name="Picture 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3" name="Picture 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4" name="Picture 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5" name="Picture 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6" name="Picture 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7" name="Picture 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8" name="Picture 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09" name="Picture 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0" name="Picture 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1" name="Picture 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2" name="Picture 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3" name="Picture 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4" name="Picture 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5" name="Picture 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6" name="Picture 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7" name="Picture 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8" name="Picture 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19" name="Picture 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0" name="Picture 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1" name="Picture 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2" name="Picture 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3" name="Picture 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4" name="Picture 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5" name="Picture 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6" name="Picture 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7" name="Picture 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8" name="Picture 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29" name="Picture 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0" name="Picture 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1" name="Picture 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2" name="Picture 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3" name="Picture 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4" name="Picture 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5" name="Picture 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6" name="Picture 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7" name="Picture 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8" name="Picture 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39" name="Picture 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0" name="Picture 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1" name="Picture 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2" name="Picture 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3" name="Picture 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4" name="Picture 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5" name="Picture 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6" name="Picture 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7" name="Picture 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8" name="Picture 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49" name="Picture 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0" name="Picture 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1" name="Picture 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2" name="Picture 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3" name="Picture 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4" name="Picture 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5" name="Picture 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6" name="Picture 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7" name="Picture 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8" name="Picture 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59" name="Picture 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0" name="Picture 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1" name="Picture 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2" name="Picture 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3" name="Picture 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4" name="Picture 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5" name="Picture 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6" name="Picture 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7" name="Picture 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8" name="Picture 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69" name="Picture 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0" name="Picture 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1" name="Picture 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2" name="Picture 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3" name="Picture 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4" name="Picture 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5" name="Picture 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6" name="Picture 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7" name="Picture 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8" name="Picture 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79" name="Picture 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0" name="Picture 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1" name="Picture 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2" name="Picture 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3" name="Picture 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4" name="Picture 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5" name="Picture 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6" name="Picture 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7" name="Picture 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8" name="Picture 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89" name="Picture 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0" name="Picture 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1" name="Picture 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2" name="Picture 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3" name="Picture 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4" name="Picture 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5" name="Picture 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6" name="Picture 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7" name="Picture 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8" name="Picture 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699" name="Picture 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0" name="Picture 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1" name="Picture 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2" name="Picture 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3" name="Picture 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4" name="Picture 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5" name="Picture 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6" name="Picture 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7" name="Picture 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8" name="Picture 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09" name="Picture 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0" name="Picture 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1" name="Picture 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2" name="Picture 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3" name="Picture 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4" name="Picture 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5" name="Picture 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6" name="Picture 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7" name="Picture 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8" name="Picture 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19" name="Picture 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0" name="Picture 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1" name="Picture 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2" name="Picture 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3" name="Picture 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4" name="Picture 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5" name="Picture 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6" name="Picture 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7" name="Picture 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8" name="Picture 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29" name="Picture 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0" name="Picture 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1" name="Picture 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2" name="Picture 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3" name="Picture 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4" name="Picture 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5" name="Picture 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6" name="Picture 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7" name="Picture 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8" name="Picture 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39" name="Picture 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0" name="Picture 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1" name="Picture 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2" name="Picture 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3" name="Picture 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4" name="Picture 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5" name="Picture 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6" name="Picture 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7" name="Picture 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8" name="Picture 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49" name="Picture 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0" name="Picture 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1" name="Picture 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2" name="Picture 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3" name="Picture 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4" name="Picture 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5" name="Picture 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6" name="Picture 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7" name="Picture 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8" name="Picture 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59" name="Picture 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0" name="Picture 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1" name="Picture 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2" name="Picture 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3" name="Picture 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4" name="Picture 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5" name="Picture 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6" name="Picture 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7" name="Picture 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8" name="Picture 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69" name="Picture 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0" name="Picture 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1" name="Picture 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2" name="Picture 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3" name="Picture 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4" name="Picture 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5" name="Picture 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6" name="Picture 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7" name="Picture 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8" name="Picture 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79" name="Picture 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80" name="Picture 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81" name="Picture 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82" name="Picture 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83" name="Picture 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84" name="Picture 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85" name="Picture 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86" name="Picture 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87" name="Picture 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88" name="Picture 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89" name="Picture 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90" name="Picture 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91" name="Picture 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92" name="Picture 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93" name="Picture 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94" name="Picture 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795" name="Picture 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96" name="Picture 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797" name="Picture 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98" name="Picture 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799" name="Picture 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800" name="Picture 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801" name="Picture 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802" name="Picture 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803" name="Picture 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804" name="Picture 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805" name="Picture 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806" name="Picture 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807" name="Picture 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57162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808" name="Picture 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64</xdr:row>
      <xdr:rowOff>0</xdr:rowOff>
    </xdr:from>
    <xdr:to>
      <xdr:col>0</xdr:col>
      <xdr:colOff>7620</xdr:colOff>
      <xdr:row>64</xdr:row>
      <xdr:rowOff>7620</xdr:rowOff>
    </xdr:to>
    <xdr:pic>
      <xdr:nvPicPr>
        <xdr:cNvPr id="809" name="Picture 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64</xdr:row>
      <xdr:rowOff>0</xdr:rowOff>
    </xdr:from>
    <xdr:to>
      <xdr:col>1</xdr:col>
      <xdr:colOff>7620</xdr:colOff>
      <xdr:row>64</xdr:row>
      <xdr:rowOff>7620</xdr:rowOff>
    </xdr:to>
    <xdr:pic>
      <xdr:nvPicPr>
        <xdr:cNvPr id="810" name="Picture 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717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64</xdr:row>
      <xdr:rowOff>0</xdr:rowOff>
    </xdr:from>
    <xdr:to>
      <xdr:col>2</xdr:col>
      <xdr:colOff>7620</xdr:colOff>
      <xdr:row>64</xdr:row>
      <xdr:rowOff>7620</xdr:rowOff>
    </xdr:to>
    <xdr:pic>
      <xdr:nvPicPr>
        <xdr:cNvPr id="811" name="Picture 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3855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xdr:row>
      <xdr:rowOff>0</xdr:rowOff>
    </xdr:from>
    <xdr:to>
      <xdr:col>3</xdr:col>
      <xdr:colOff>7620</xdr:colOff>
      <xdr:row>64</xdr:row>
      <xdr:rowOff>7620</xdr:rowOff>
    </xdr:to>
    <xdr:pic>
      <xdr:nvPicPr>
        <xdr:cNvPr id="812" name="Picture 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29250"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64</xdr:row>
      <xdr:rowOff>0</xdr:rowOff>
    </xdr:from>
    <xdr:to>
      <xdr:col>4</xdr:col>
      <xdr:colOff>7620</xdr:colOff>
      <xdr:row>64</xdr:row>
      <xdr:rowOff>7620</xdr:rowOff>
    </xdr:to>
    <xdr:pic>
      <xdr:nvPicPr>
        <xdr:cNvPr id="813" name="Picture 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557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64</xdr:row>
      <xdr:rowOff>0</xdr:rowOff>
    </xdr:from>
    <xdr:to>
      <xdr:col>5</xdr:col>
      <xdr:colOff>7620</xdr:colOff>
      <xdr:row>64</xdr:row>
      <xdr:rowOff>7620</xdr:rowOff>
    </xdr:to>
    <xdr:pic>
      <xdr:nvPicPr>
        <xdr:cNvPr id="814" name="Picture 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489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64</xdr:row>
      <xdr:rowOff>0</xdr:rowOff>
    </xdr:from>
    <xdr:to>
      <xdr:col>6</xdr:col>
      <xdr:colOff>7620</xdr:colOff>
      <xdr:row>64</xdr:row>
      <xdr:rowOff>7620</xdr:rowOff>
    </xdr:to>
    <xdr:pic>
      <xdr:nvPicPr>
        <xdr:cNvPr id="815" name="Picture 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15725" y="1590675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79</xdr:row>
      <xdr:rowOff>0</xdr:rowOff>
    </xdr:from>
    <xdr:ext cx="7620" cy="7620"/>
    <xdr:pic>
      <xdr:nvPicPr>
        <xdr:cNvPr id="2" name="Picture 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3" name="Picture 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79</xdr:row>
      <xdr:rowOff>0</xdr:rowOff>
    </xdr:from>
    <xdr:ext cx="7620" cy="7620"/>
    <xdr:pic>
      <xdr:nvPicPr>
        <xdr:cNvPr id="4" name="Picture 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79</xdr:row>
      <xdr:rowOff>0</xdr:rowOff>
    </xdr:from>
    <xdr:ext cx="7620" cy="7620"/>
    <xdr:pic>
      <xdr:nvPicPr>
        <xdr:cNvPr id="5" name="Picture 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79</xdr:row>
      <xdr:rowOff>0</xdr:rowOff>
    </xdr:from>
    <xdr:ext cx="7620" cy="7620"/>
    <xdr:pic>
      <xdr:nvPicPr>
        <xdr:cNvPr id="6" name="Picture 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79</xdr:row>
      <xdr:rowOff>0</xdr:rowOff>
    </xdr:from>
    <xdr:ext cx="7620" cy="7620"/>
    <xdr:pic>
      <xdr:nvPicPr>
        <xdr:cNvPr id="7" name="Picture 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79</xdr:row>
      <xdr:rowOff>0</xdr:rowOff>
    </xdr:from>
    <xdr:ext cx="7620" cy="7620"/>
    <xdr:pic>
      <xdr:nvPicPr>
        <xdr:cNvPr id="8" name="Picture 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79</xdr:row>
      <xdr:rowOff>0</xdr:rowOff>
    </xdr:from>
    <xdr:ext cx="7620" cy="7620"/>
    <xdr:pic>
      <xdr:nvPicPr>
        <xdr:cNvPr id="9" name="Picture 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10" name="Picture 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11" name="Picture 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79</xdr:row>
      <xdr:rowOff>0</xdr:rowOff>
    </xdr:from>
    <xdr:ext cx="7620" cy="7620"/>
    <xdr:pic>
      <xdr:nvPicPr>
        <xdr:cNvPr id="12" name="Picture 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79</xdr:row>
      <xdr:rowOff>0</xdr:rowOff>
    </xdr:from>
    <xdr:ext cx="7620" cy="7620"/>
    <xdr:pic>
      <xdr:nvPicPr>
        <xdr:cNvPr id="13" name="Picture 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79</xdr:row>
      <xdr:rowOff>0</xdr:rowOff>
    </xdr:from>
    <xdr:ext cx="7620" cy="7620"/>
    <xdr:pic>
      <xdr:nvPicPr>
        <xdr:cNvPr id="14" name="Picture 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79</xdr:row>
      <xdr:rowOff>0</xdr:rowOff>
    </xdr:from>
    <xdr:ext cx="7620" cy="7620"/>
    <xdr:pic>
      <xdr:nvPicPr>
        <xdr:cNvPr id="15" name="Picture 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79</xdr:row>
      <xdr:rowOff>0</xdr:rowOff>
    </xdr:from>
    <xdr:ext cx="7620" cy="7620"/>
    <xdr:pic>
      <xdr:nvPicPr>
        <xdr:cNvPr id="16" name="Picture 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79</xdr:row>
      <xdr:rowOff>0</xdr:rowOff>
    </xdr:from>
    <xdr:ext cx="7620" cy="7620"/>
    <xdr:pic>
      <xdr:nvPicPr>
        <xdr:cNvPr id="17" name="Picture 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18" name="Picture 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19" name="Picture 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79</xdr:row>
      <xdr:rowOff>0</xdr:rowOff>
    </xdr:from>
    <xdr:ext cx="7620" cy="7620"/>
    <xdr:pic>
      <xdr:nvPicPr>
        <xdr:cNvPr id="20" name="Picture 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79</xdr:row>
      <xdr:rowOff>0</xdr:rowOff>
    </xdr:from>
    <xdr:ext cx="7620" cy="7620"/>
    <xdr:pic>
      <xdr:nvPicPr>
        <xdr:cNvPr id="21" name="Picture 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79</xdr:row>
      <xdr:rowOff>0</xdr:rowOff>
    </xdr:from>
    <xdr:ext cx="7620" cy="7620"/>
    <xdr:pic>
      <xdr:nvPicPr>
        <xdr:cNvPr id="22" name="Picture 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79</xdr:row>
      <xdr:rowOff>0</xdr:rowOff>
    </xdr:from>
    <xdr:ext cx="7620" cy="7620"/>
    <xdr:pic>
      <xdr:nvPicPr>
        <xdr:cNvPr id="23" name="Picture 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79</xdr:row>
      <xdr:rowOff>0</xdr:rowOff>
    </xdr:from>
    <xdr:ext cx="7620" cy="7620"/>
    <xdr:pic>
      <xdr:nvPicPr>
        <xdr:cNvPr id="24" name="Picture 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79</xdr:row>
      <xdr:rowOff>0</xdr:rowOff>
    </xdr:from>
    <xdr:ext cx="7620" cy="7620"/>
    <xdr:pic>
      <xdr:nvPicPr>
        <xdr:cNvPr id="25" name="Picture 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26" name="Picture 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27" name="Picture 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79</xdr:row>
      <xdr:rowOff>0</xdr:rowOff>
    </xdr:from>
    <xdr:ext cx="7620" cy="7620"/>
    <xdr:pic>
      <xdr:nvPicPr>
        <xdr:cNvPr id="28" name="Picture 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79</xdr:row>
      <xdr:rowOff>0</xdr:rowOff>
    </xdr:from>
    <xdr:ext cx="7620" cy="7620"/>
    <xdr:pic>
      <xdr:nvPicPr>
        <xdr:cNvPr id="29" name="Picture 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79</xdr:row>
      <xdr:rowOff>0</xdr:rowOff>
    </xdr:from>
    <xdr:ext cx="7620" cy="7620"/>
    <xdr:pic>
      <xdr:nvPicPr>
        <xdr:cNvPr id="30" name="Picture 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79</xdr:row>
      <xdr:rowOff>0</xdr:rowOff>
    </xdr:from>
    <xdr:ext cx="7620" cy="7620"/>
    <xdr:pic>
      <xdr:nvPicPr>
        <xdr:cNvPr id="31" name="Picture 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79</xdr:row>
      <xdr:rowOff>0</xdr:rowOff>
    </xdr:from>
    <xdr:ext cx="7620" cy="7620"/>
    <xdr:pic>
      <xdr:nvPicPr>
        <xdr:cNvPr id="32" name="Picture 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79</xdr:row>
      <xdr:rowOff>0</xdr:rowOff>
    </xdr:from>
    <xdr:ext cx="7620" cy="7620"/>
    <xdr:pic>
      <xdr:nvPicPr>
        <xdr:cNvPr id="33" name="Picture 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34" name="Picture 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79</xdr:row>
      <xdr:rowOff>0</xdr:rowOff>
    </xdr:from>
    <xdr:ext cx="7620" cy="7620"/>
    <xdr:pic>
      <xdr:nvPicPr>
        <xdr:cNvPr id="35" name="Picture 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79</xdr:row>
      <xdr:rowOff>0</xdr:rowOff>
    </xdr:from>
    <xdr:ext cx="7620" cy="7620"/>
    <xdr:pic>
      <xdr:nvPicPr>
        <xdr:cNvPr id="36" name="Picture 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79</xdr:row>
      <xdr:rowOff>0</xdr:rowOff>
    </xdr:from>
    <xdr:ext cx="7620" cy="7620"/>
    <xdr:pic>
      <xdr:nvPicPr>
        <xdr:cNvPr id="37" name="Picture 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79</xdr:row>
      <xdr:rowOff>0</xdr:rowOff>
    </xdr:from>
    <xdr:ext cx="7620" cy="7620"/>
    <xdr:pic>
      <xdr:nvPicPr>
        <xdr:cNvPr id="38" name="Picture 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79</xdr:row>
      <xdr:rowOff>0</xdr:rowOff>
    </xdr:from>
    <xdr:ext cx="7620" cy="7620"/>
    <xdr:pic>
      <xdr:nvPicPr>
        <xdr:cNvPr id="39" name="Picture 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79</xdr:row>
      <xdr:rowOff>0</xdr:rowOff>
    </xdr:from>
    <xdr:to>
      <xdr:col>5</xdr:col>
      <xdr:colOff>7620</xdr:colOff>
      <xdr:row>79</xdr:row>
      <xdr:rowOff>7620</xdr:rowOff>
    </xdr:to>
    <xdr:pic>
      <xdr:nvPicPr>
        <xdr:cNvPr id="40" name="Picture 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1" name="Picture 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2" name="Picture 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3" name="Picture 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4" name="Picture 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5" name="Picture 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6" name="Picture 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7" name="Picture 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8" name="Picture 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9" name="Picture 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0" name="Picture 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1" name="Picture 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2" name="Picture 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3" name="Picture 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4" name="Picture 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5" name="Picture 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6" name="Picture 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7" name="Picture 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8" name="Picture 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 name="Picture 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60" name="Picture 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61" name="Picture 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62" name="Picture 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63" name="Picture 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64" name="Picture 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65" name="Picture 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 name="Picture 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 name="Picture 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68" name="Picture 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69" name="Picture 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70" name="Picture 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71" name="Picture 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72" name="Picture 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73" name="Picture 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 name="Picture 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 name="Picture 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6" name="Picture 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7" name="Picture 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78" name="Picture 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79" name="Picture 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80" name="Picture 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81" name="Picture 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82" name="Picture 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83" name="Picture 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84" name="Picture 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85" name="Picture 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86" name="Picture 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87" name="Picture 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88" name="Picture 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89" name="Picture 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90" name="Picture 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91" name="Picture 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92" name="Picture 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93" name="Picture 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94" name="Picture 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95" name="Picture 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96" name="Picture 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97" name="Picture 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98" name="Picture 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99" name="Picture 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100" name="Picture 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101" name="Picture 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102" name="Picture 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103" name="Picture 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104" name="Picture 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105" name="Picture 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06" name="Picture 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07" name="Picture 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08" name="Picture 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09" name="Picture 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10" name="Picture 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11" name="Picture 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12" name="Picture 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13" name="Picture 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14" name="Picture 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15" name="Picture 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16" name="Picture 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17" name="Picture 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18" name="Picture 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19" name="Picture 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20" name="Picture 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21" name="Picture 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22" name="Picture 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23" name="Picture 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24" name="Picture 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25" name="Picture 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26" name="Picture 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27" name="Picture 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28" name="Picture 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29" name="Picture 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30" name="Picture 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31" name="Picture 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32" name="Picture 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33" name="Picture 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34" name="Picture 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35" name="Picture 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36" name="Picture 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37" name="Picture 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38" name="Picture 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39" name="Picture 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40" name="Picture 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41" name="Picture 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42" name="Picture 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43" name="Picture 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44" name="Picture 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45" name="Picture 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46" name="Picture 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47" name="Picture 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48" name="Picture 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49" name="Picture 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50" name="Picture 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51" name="Picture 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52" name="Picture 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53" name="Picture 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54" name="Picture 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55" name="Picture 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56" name="Picture 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57" name="Picture 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58" name="Picture 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59" name="Picture 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60" name="Picture 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61" name="Picture 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62" name="Picture 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63" name="Picture 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64" name="Picture 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65" name="Picture 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66" name="Picture 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67" name="Picture 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68" name="Picture 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69" name="Picture 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70" name="Picture 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71" name="Picture 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72" name="Picture 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73" name="Picture 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74" name="Picture 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75" name="Picture 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76" name="Picture 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77" name="Picture 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78" name="Picture 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79" name="Picture 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80" name="Picture 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81" name="Picture 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82" name="Picture 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83" name="Picture 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84" name="Picture 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85" name="Picture 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86" name="Picture 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87" name="Picture 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88" name="Picture 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89" name="Picture 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90" name="Picture 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91" name="Picture 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192" name="Picture 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93" name="Picture 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194" name="Picture 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195" name="Picture 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196" name="Picture 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197" name="Picture 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198" name="Picture 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199" name="Picture 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200" name="Picture 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01" name="Picture 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02" name="Picture 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203" name="Picture 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204" name="Picture 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205" name="Picture 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206" name="Picture 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207" name="Picture 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208" name="Picture 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09" name="Picture 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10" name="Picture 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211" name="Picture 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212" name="Picture 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213" name="Picture 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214" name="Picture 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215" name="Picture 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216" name="Picture 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17" name="Picture 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18" name="Picture 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219" name="Picture 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220" name="Picture 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221" name="Picture 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222" name="Picture 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223" name="Picture 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224" name="Picture 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9525</xdr:colOff>
      <xdr:row>79</xdr:row>
      <xdr:rowOff>9525</xdr:rowOff>
    </xdr:to>
    <xdr:pic>
      <xdr:nvPicPr>
        <xdr:cNvPr id="225" name="Picture 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9525</xdr:colOff>
      <xdr:row>79</xdr:row>
      <xdr:rowOff>9525</xdr:rowOff>
    </xdr:to>
    <xdr:pic>
      <xdr:nvPicPr>
        <xdr:cNvPr id="226" name="Picture 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9525</xdr:colOff>
      <xdr:row>79</xdr:row>
      <xdr:rowOff>9525</xdr:rowOff>
    </xdr:to>
    <xdr:pic>
      <xdr:nvPicPr>
        <xdr:cNvPr id="227" name="Picture 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9525</xdr:colOff>
      <xdr:row>79</xdr:row>
      <xdr:rowOff>9525</xdr:rowOff>
    </xdr:to>
    <xdr:pic>
      <xdr:nvPicPr>
        <xdr:cNvPr id="228" name="Picture 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9525</xdr:colOff>
      <xdr:row>79</xdr:row>
      <xdr:rowOff>9525</xdr:rowOff>
    </xdr:to>
    <xdr:pic>
      <xdr:nvPicPr>
        <xdr:cNvPr id="229" name="Picture 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9525</xdr:colOff>
      <xdr:row>79</xdr:row>
      <xdr:rowOff>9525</xdr:rowOff>
    </xdr:to>
    <xdr:pic>
      <xdr:nvPicPr>
        <xdr:cNvPr id="230" name="Picture 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9525</xdr:colOff>
      <xdr:row>79</xdr:row>
      <xdr:rowOff>9525</xdr:rowOff>
    </xdr:to>
    <xdr:pic>
      <xdr:nvPicPr>
        <xdr:cNvPr id="231" name="Picture 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32" name="Picture 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33" name="Picture 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34" name="Picture 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35" name="Picture 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36" name="Picture 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37" name="Picture 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38" name="Picture 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39" name="Picture 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0" name="Picture 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1" name="Picture 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2" name="Picture 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3" name="Picture 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4" name="Picture 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5" name="Picture 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46" name="Picture 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47" name="Picture 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8" name="Picture 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49" name="Picture 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0" name="Picture 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1" name="Picture 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2" name="Picture 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3" name="Picture 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54" name="Picture 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55" name="Picture 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6" name="Picture 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7" name="Picture 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8" name="Picture 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59" name="Picture 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0" name="Picture 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1" name="Picture 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62" name="Picture 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63" name="Picture 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4" name="Picture 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5" name="Picture 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6" name="Picture 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7" name="Picture 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8" name="Picture 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69" name="Picture 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70" name="Picture 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71" name="Picture 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72" name="Picture 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73" name="Picture 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74" name="Picture 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75" name="Picture 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76" name="Picture 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77" name="Picture 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78" name="Picture 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79" name="Picture 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0" name="Picture 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1" name="Picture 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2" name="Picture 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3" name="Picture 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4" name="Picture 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5" name="Picture 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86" name="Picture 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87" name="Picture 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8" name="Picture 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89" name="Picture 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0" name="Picture 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1" name="Picture 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2" name="Picture 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3" name="Picture 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94" name="Picture 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295" name="Picture 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6" name="Picture 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7" name="Picture 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8" name="Picture 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299" name="Picture 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0" name="Picture 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1" name="Picture 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02" name="Picture 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03" name="Picture 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4" name="Picture 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5" name="Picture 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6" name="Picture 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7" name="Picture 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8" name="Picture 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09" name="Picture 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10" name="Picture 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11" name="Picture 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12" name="Picture 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13" name="Picture 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14" name="Picture 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15" name="Picture 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16" name="Picture 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17" name="Picture 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18" name="Picture 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19" name="Picture 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0" name="Picture 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1" name="Picture 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2" name="Picture 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3" name="Picture 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4" name="Picture 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5" name="Picture 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26" name="Picture 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27" name="Picture 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8" name="Picture 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29" name="Picture 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0" name="Picture 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1" name="Picture 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2" name="Picture 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3" name="Picture 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34" name="Picture 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35" name="Picture 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6" name="Picture 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7" name="Picture 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8" name="Picture 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39" name="Picture 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0" name="Picture 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1" name="Picture 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42" name="Picture 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43" name="Picture 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4" name="Picture 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5" name="Picture 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6" name="Picture 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7" name="Picture 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8" name="Picture 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49" name="Picture 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50" name="Picture 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51" name="Picture 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52" name="Picture 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53" name="Picture 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54" name="Picture 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55" name="Picture 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56" name="Picture 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57" name="Picture 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58" name="Picture 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59" name="Picture 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0" name="Picture 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1" name="Picture 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2" name="Picture 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3" name="Picture 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4" name="Picture 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5" name="Picture 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66" name="Picture 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67" name="Picture 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8" name="Picture 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69" name="Picture 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0" name="Picture 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1" name="Picture 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2" name="Picture 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3" name="Picture 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74" name="Picture 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75" name="Picture 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6" name="Picture 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7" name="Picture 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8" name="Picture 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79" name="Picture 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0" name="Picture 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1" name="Picture 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82" name="Picture 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83" name="Picture 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4" name="Picture 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5" name="Picture 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6" name="Picture 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7" name="Picture 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8" name="Picture 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89" name="Picture 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90" name="Picture 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91" name="Picture 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92" name="Picture 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93" name="Picture 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94" name="Picture 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95" name="Picture 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96" name="Picture 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397" name="Picture 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98" name="Picture 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399" name="Picture 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0" name="Picture 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1" name="Picture 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2" name="Picture 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3" name="Picture 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4" name="Picture 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5" name="Picture 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06" name="Picture 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07" name="Picture 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8" name="Picture 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09" name="Picture 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10" name="Picture 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11" name="Picture 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12" name="Picture 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13" name="Picture 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14" name="Picture 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15" name="Picture 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16" name="Picture 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17" name="Picture 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18" name="Picture 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19" name="Picture 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20" name="Picture 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21" name="Picture 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22" name="Picture 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23" name="Picture 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24" name="Picture 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25" name="Picture 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26" name="Picture 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27" name="Picture 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28" name="Picture 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29" name="Picture 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30" name="Picture 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31" name="Picture 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32" name="Picture 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33" name="Picture 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34" name="Picture 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35" name="Picture 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36" name="Picture 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37" name="Picture 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38" name="Picture 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39" name="Picture 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40" name="Picture 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41" name="Picture 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42" name="Picture 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43" name="Picture 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44" name="Picture 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45" name="Picture 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46" name="Picture 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47" name="Picture 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48" name="Picture 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49" name="Picture 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50" name="Picture 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51" name="Picture 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52" name="Picture 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53" name="Picture 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54" name="Picture 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55" name="Picture 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56" name="Picture 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57" name="Picture 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58" name="Picture 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59" name="Picture 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60" name="Picture 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61" name="Picture 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62" name="Picture 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63" name="Picture 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64" name="Picture 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65" name="Picture 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66" name="Picture 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67" name="Picture 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68" name="Picture 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69" name="Picture 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70" name="Picture 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71" name="Picture 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72" name="Picture 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73" name="Picture 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74" name="Picture 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75" name="Picture 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76" name="Picture 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77" name="Picture 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78" name="Picture 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79" name="Picture 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80" name="Picture 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81" name="Picture 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82" name="Picture 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83" name="Picture 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84" name="Picture 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85" name="Picture 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86" name="Picture 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87" name="Picture 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88" name="Picture 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89" name="Picture 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90" name="Picture 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91" name="Picture 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492" name="Picture 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493" name="Picture 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494" name="Picture 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495" name="Picture 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96" name="Picture 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497" name="Picture 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498" name="Picture 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499" name="Picture 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00" name="Picture 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01" name="Picture 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02" name="Picture 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03" name="Picture 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04" name="Picture 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05" name="Picture 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06" name="Picture 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07" name="Picture 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08" name="Picture 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09" name="Picture 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10" name="Picture 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11" name="Picture 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12" name="Picture 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13" name="Picture 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14" name="Picture 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15" name="Picture 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16" name="Picture 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17" name="Picture 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18" name="Picture 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19" name="Picture 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20" name="Picture 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21" name="Picture 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22" name="Picture 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23" name="Picture 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24" name="Picture 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25" name="Picture 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26" name="Picture 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27" name="Picture 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28" name="Picture 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29" name="Picture 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30" name="Picture 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31" name="Picture 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32" name="Picture 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33" name="Picture 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34" name="Picture 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35" name="Picture 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36" name="Picture 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37" name="Picture 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38" name="Picture 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39" name="Picture 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40" name="Picture 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41" name="Picture 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42" name="Picture 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43" name="Picture 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44" name="Picture 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45" name="Picture 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46" name="Picture 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47" name="Picture 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48" name="Picture 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49" name="Picture 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50" name="Picture 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51" name="Picture 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52" name="Picture 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53" name="Picture 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54" name="Picture 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55" name="Picture 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56" name="Picture 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57" name="Picture 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58" name="Picture 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59" name="Picture 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60" name="Picture 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61" name="Picture 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62" name="Picture 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63" name="Picture 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64" name="Picture 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65" name="Picture 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66" name="Picture 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67" name="Picture 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68" name="Picture 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69" name="Picture 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70" name="Picture 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71" name="Picture 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72" name="Picture 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73" name="Picture 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74" name="Picture 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75" name="Picture 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76" name="Picture 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77" name="Picture 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78" name="Picture 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79" name="Picture 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80" name="Picture 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81" name="Picture 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82" name="Picture 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83" name="Picture 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84" name="Picture 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85" name="Picture 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586" name="Picture 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587" name="Picture 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588" name="Picture 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589" name="Picture 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590" name="Picture 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591" name="Picture 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2" name="Picture 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3" name="Picture 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4" name="Picture 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5" name="Picture 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6" name="Picture 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7" name="Picture 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8" name="Picture 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599" name="Picture 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0" name="Picture 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1" name="Picture 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2" name="Picture 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3" name="Picture 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4" name="Picture 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5" name="Picture 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6" name="Picture 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7" name="Picture 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8" name="Picture 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09" name="Picture 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0" name="Picture 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1" name="Picture 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2" name="Picture 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3" name="Picture 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4" name="Picture 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5" name="Picture 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6" name="Picture 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7" name="Picture 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8" name="Picture 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19" name="Picture 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0" name="Picture 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1" name="Picture 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2" name="Picture 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3" name="Picture 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4" name="Picture 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5" name="Picture 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6" name="Picture 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7" name="Picture 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8" name="Picture 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29" name="Picture 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0" name="Picture 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1" name="Picture 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2" name="Picture 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3" name="Picture 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4" name="Picture 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5" name="Picture 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6" name="Picture 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7" name="Picture 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8" name="Picture 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39" name="Picture 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0" name="Picture 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1" name="Picture 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2" name="Picture 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3" name="Picture 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4" name="Picture 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5" name="Picture 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6" name="Picture 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7" name="Picture 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8" name="Picture 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49" name="Picture 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0" name="Picture 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1" name="Picture 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2" name="Picture 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3" name="Picture 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4" name="Picture 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5" name="Picture 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6" name="Picture 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7" name="Picture 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8" name="Picture 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59" name="Picture 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0" name="Picture 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1" name="Picture 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2" name="Picture 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3" name="Picture 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4" name="Picture 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5" name="Picture 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6" name="Picture 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7" name="Picture 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8" name="Picture 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69" name="Picture 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0" name="Picture 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1" name="Picture 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2" name="Picture 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3" name="Picture 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4" name="Picture 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5" name="Picture 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6" name="Picture 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7" name="Picture 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8" name="Picture 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79" name="Picture 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0" name="Picture 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1" name="Picture 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2" name="Picture 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3" name="Picture 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4" name="Picture 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5" name="Picture 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6" name="Picture 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7" name="Picture 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8" name="Picture 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89" name="Picture 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0" name="Picture 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1" name="Picture 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2" name="Picture 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3" name="Picture 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4" name="Picture 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5" name="Picture 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6" name="Picture 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7" name="Picture 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8" name="Picture 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699" name="Picture 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0" name="Picture 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1" name="Picture 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2" name="Picture 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3" name="Picture 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4" name="Picture 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5" name="Picture 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6" name="Picture 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7" name="Picture 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8" name="Picture 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09" name="Picture 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0" name="Picture 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1" name="Picture 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2" name="Picture 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3" name="Picture 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4" name="Picture 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5" name="Picture 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6" name="Picture 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7" name="Picture 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8" name="Picture 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19" name="Picture 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0" name="Picture 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1" name="Picture 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2" name="Picture 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3" name="Picture 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4" name="Picture 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5" name="Picture 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6" name="Picture 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7" name="Picture 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8" name="Picture 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29" name="Picture 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0" name="Picture 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1" name="Picture 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2" name="Picture 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3" name="Picture 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4" name="Picture 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5" name="Picture 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6" name="Picture 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7" name="Picture 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8" name="Picture 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39" name="Picture 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0" name="Picture 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1" name="Picture 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2" name="Picture 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3" name="Picture 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4" name="Picture 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5" name="Picture 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6" name="Picture 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7" name="Picture 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8" name="Picture 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49" name="Picture 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0" name="Picture 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1" name="Picture 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2" name="Picture 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3" name="Picture 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4" name="Picture 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5" name="Picture 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6" name="Picture 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7" name="Picture 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8" name="Picture 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59" name="Picture 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0" name="Picture 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1" name="Picture 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2" name="Picture 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3" name="Picture 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4" name="Picture 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5" name="Picture 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6" name="Picture 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7" name="Picture 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8" name="Picture 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69" name="Picture 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0" name="Picture 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1" name="Picture 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2" name="Picture 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3" name="Picture 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4" name="Picture 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5" name="Picture 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6" name="Picture 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7" name="Picture 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8" name="Picture 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79" name="Picture 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80" name="Picture 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81" name="Picture 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82" name="Picture 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83" name="Picture 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84" name="Picture 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85" name="Picture 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86" name="Picture 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87" name="Picture 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88" name="Picture 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89" name="Picture 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90" name="Picture 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91" name="Picture 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92" name="Picture 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93" name="Picture 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94" name="Picture 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795" name="Picture 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96" name="Picture 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797" name="Picture 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98" name="Picture 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799" name="Picture 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800" name="Picture 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801" name="Picture 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802" name="Picture 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803" name="Picture 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804" name="Picture 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805" name="Picture 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806" name="Picture 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807" name="Picture 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808" name="Picture 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79</xdr:row>
      <xdr:rowOff>0</xdr:rowOff>
    </xdr:from>
    <xdr:to>
      <xdr:col>0</xdr:col>
      <xdr:colOff>7620</xdr:colOff>
      <xdr:row>79</xdr:row>
      <xdr:rowOff>7620</xdr:rowOff>
    </xdr:to>
    <xdr:pic>
      <xdr:nvPicPr>
        <xdr:cNvPr id="809" name="Picture 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79</xdr:row>
      <xdr:rowOff>0</xdr:rowOff>
    </xdr:from>
    <xdr:to>
      <xdr:col>1</xdr:col>
      <xdr:colOff>7620</xdr:colOff>
      <xdr:row>79</xdr:row>
      <xdr:rowOff>7620</xdr:rowOff>
    </xdr:to>
    <xdr:pic>
      <xdr:nvPicPr>
        <xdr:cNvPr id="810" name="Picture 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79</xdr:row>
      <xdr:rowOff>0</xdr:rowOff>
    </xdr:from>
    <xdr:to>
      <xdr:col>2</xdr:col>
      <xdr:colOff>7620</xdr:colOff>
      <xdr:row>79</xdr:row>
      <xdr:rowOff>7620</xdr:rowOff>
    </xdr:to>
    <xdr:pic>
      <xdr:nvPicPr>
        <xdr:cNvPr id="811" name="Picture 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7620</xdr:colOff>
      <xdr:row>79</xdr:row>
      <xdr:rowOff>7620</xdr:rowOff>
    </xdr:to>
    <xdr:pic>
      <xdr:nvPicPr>
        <xdr:cNvPr id="812" name="Picture 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29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79</xdr:row>
      <xdr:rowOff>0</xdr:rowOff>
    </xdr:from>
    <xdr:to>
      <xdr:col>4</xdr:col>
      <xdr:colOff>7620</xdr:colOff>
      <xdr:row>79</xdr:row>
      <xdr:rowOff>7620</xdr:rowOff>
    </xdr:to>
    <xdr:pic>
      <xdr:nvPicPr>
        <xdr:cNvPr id="813" name="Picture 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962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79</xdr:row>
      <xdr:rowOff>0</xdr:rowOff>
    </xdr:from>
    <xdr:to>
      <xdr:col>5</xdr:col>
      <xdr:colOff>7620</xdr:colOff>
      <xdr:row>79</xdr:row>
      <xdr:rowOff>7620</xdr:rowOff>
    </xdr:to>
    <xdr:pic>
      <xdr:nvPicPr>
        <xdr:cNvPr id="814" name="Picture 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79</xdr:row>
      <xdr:rowOff>0</xdr:rowOff>
    </xdr:from>
    <xdr:to>
      <xdr:col>6</xdr:col>
      <xdr:colOff>7620</xdr:colOff>
      <xdr:row>79</xdr:row>
      <xdr:rowOff>7620</xdr:rowOff>
    </xdr:to>
    <xdr:pic>
      <xdr:nvPicPr>
        <xdr:cNvPr id="815" name="Picture 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93800" y="20408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6</xdr:col>
      <xdr:colOff>152400</xdr:colOff>
      <xdr:row>1</xdr:row>
      <xdr:rowOff>152400</xdr:rowOff>
    </xdr:to>
    <xdr:pic>
      <xdr:nvPicPr>
        <xdr:cNvPr id="2" name="expenseStatus-0" descr="artially Pai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215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xdr:row>
      <xdr:rowOff>0</xdr:rowOff>
    </xdr:from>
    <xdr:to>
      <xdr:col>6</xdr:col>
      <xdr:colOff>152400</xdr:colOff>
      <xdr:row>2</xdr:row>
      <xdr:rowOff>152400</xdr:rowOff>
    </xdr:to>
    <xdr:pic>
      <xdr:nvPicPr>
        <xdr:cNvPr id="3" name="expenseStatus-1" descr="artially Pai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4445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3</xdr:row>
      <xdr:rowOff>0</xdr:rowOff>
    </xdr:from>
    <xdr:to>
      <xdr:col>6</xdr:col>
      <xdr:colOff>152400</xdr:colOff>
      <xdr:row>3</xdr:row>
      <xdr:rowOff>152400</xdr:rowOff>
    </xdr:to>
    <xdr:pic>
      <xdr:nvPicPr>
        <xdr:cNvPr id="4" name="expenseStatus-2" descr="artially Pai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6731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xdr:row>
      <xdr:rowOff>0</xdr:rowOff>
    </xdr:from>
    <xdr:to>
      <xdr:col>6</xdr:col>
      <xdr:colOff>152400</xdr:colOff>
      <xdr:row>4</xdr:row>
      <xdr:rowOff>152400</xdr:rowOff>
    </xdr:to>
    <xdr:pic>
      <xdr:nvPicPr>
        <xdr:cNvPr id="5" name="expenseStatus-3" descr="artially Pai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9017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5</xdr:row>
      <xdr:rowOff>0</xdr:rowOff>
    </xdr:from>
    <xdr:to>
      <xdr:col>6</xdr:col>
      <xdr:colOff>152400</xdr:colOff>
      <xdr:row>5</xdr:row>
      <xdr:rowOff>152400</xdr:rowOff>
    </xdr:to>
    <xdr:pic>
      <xdr:nvPicPr>
        <xdr:cNvPr id="6" name="expenseStatus-4" descr="artially Pai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11303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6</xdr:row>
      <xdr:rowOff>0</xdr:rowOff>
    </xdr:from>
    <xdr:to>
      <xdr:col>6</xdr:col>
      <xdr:colOff>152400</xdr:colOff>
      <xdr:row>6</xdr:row>
      <xdr:rowOff>152400</xdr:rowOff>
    </xdr:to>
    <xdr:pic>
      <xdr:nvPicPr>
        <xdr:cNvPr id="7" name="expenseStatus-5" descr="artially Paid"/>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61000" y="1358900"/>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7620" cy="7620"/>
    <xdr:pic>
      <xdr:nvPicPr>
        <xdr:cNvPr id="2" name="Picture 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3" name="Picture 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4" name="Picture 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5" name="Picture 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6" name="Picture 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7" name="Picture 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 name="Picture 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9" name="Picture 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0" name="Picture 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1" name="Picture 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12" name="Picture 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13" name="Picture 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14" name="Picture 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15" name="Picture 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16" name="Picture 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17" name="Picture 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8" name="Picture 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9" name="Picture 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20" name="Picture 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21" name="Picture 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22" name="Picture 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23" name="Picture 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24" name="Picture 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25" name="Picture 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26" name="Picture 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27" name="Picture 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28" name="Picture 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29" name="Picture 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30" name="Picture 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31" name="Picture 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32" name="Picture 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33" name="Picture 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34" name="Picture 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35" name="Picture 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36" name="Picture 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37" name="Picture 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38" name="Picture 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39" name="Picture 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0</xdr:row>
      <xdr:rowOff>0</xdr:rowOff>
    </xdr:from>
    <xdr:to>
      <xdr:col>5</xdr:col>
      <xdr:colOff>7620</xdr:colOff>
      <xdr:row>0</xdr:row>
      <xdr:rowOff>7620</xdr:rowOff>
    </xdr:to>
    <xdr:pic>
      <xdr:nvPicPr>
        <xdr:cNvPr id="40" name="Picture 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1" name="Picture 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2" name="Picture 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3" name="Picture 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4" name="Picture 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5" name="Picture 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6" name="Picture 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7" name="Picture 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8" name="Picture 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9" name="Picture 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0" name="Picture 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1" name="Picture 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2" name="Picture 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3" name="Picture 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4" name="Picture 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5" name="Picture 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6" name="Picture 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7" name="Picture 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8" name="Picture 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 name="Picture 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60" name="Picture 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61" name="Picture 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62" name="Picture 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63" name="Picture 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64" name="Picture 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65" name="Picture 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 name="Picture 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 name="Picture 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68" name="Picture 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69" name="Picture 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70" name="Picture 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71" name="Picture 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72" name="Picture 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73" name="Picture 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 name="Picture 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 name="Picture 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6" name="Picture 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7" name="Picture 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78" name="Picture 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79" name="Picture 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0" name="Picture 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1" name="Picture 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2" name="Picture 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3" name="Picture 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4" name="Picture 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5" name="Picture 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6" name="Picture 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7" name="Picture 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8" name="Picture 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9" name="Picture 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0" name="Picture 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1" name="Picture 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92" name="Picture 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93" name="Picture 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4" name="Picture 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5" name="Picture 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6" name="Picture 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7" name="Picture 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8" name="Picture 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9" name="Picture 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0" name="Picture 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01" name="Picture 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02" name="Picture 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03" name="Picture 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04" name="Picture 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05" name="Picture 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6" name="Picture 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7" name="Picture 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8" name="Picture 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9" name="Picture 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0" name="Picture 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1" name="Picture 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12" name="Picture 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13" name="Picture 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4" name="Picture 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5" name="Picture 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6" name="Picture 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7" name="Picture 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8" name="Picture 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9" name="Picture 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20" name="Picture 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21" name="Picture 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2" name="Picture 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3" name="Picture 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4" name="Picture 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5" name="Picture 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26" name="Picture 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27" name="Picture 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28" name="Picture 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29" name="Picture 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0" name="Picture 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1" name="Picture 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2" name="Picture 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3" name="Picture 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34" name="Picture 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35" name="Picture 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36" name="Picture 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37" name="Picture 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8" name="Picture 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39" name="Picture 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40" name="Picture 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41" name="Picture 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42" name="Picture 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43" name="Picture 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44" name="Picture 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45" name="Picture 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46" name="Picture 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47" name="Picture 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48" name="Picture 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49" name="Picture 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50" name="Picture 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51" name="Picture 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52" name="Picture 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53" name="Picture 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54" name="Picture 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55" name="Picture 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56" name="Picture 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57" name="Picture 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58" name="Picture 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59" name="Picture 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60" name="Picture 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61" name="Picture 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62" name="Picture 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63" name="Picture 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64" name="Picture 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65" name="Picture 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66" name="Picture 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67" name="Picture 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68" name="Picture 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69" name="Picture 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70" name="Picture 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71" name="Picture 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72" name="Picture 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73" name="Picture 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74" name="Picture 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75" name="Picture 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76" name="Picture 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77" name="Picture 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78" name="Picture 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79" name="Picture 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80" name="Picture 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81" name="Picture 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82" name="Picture 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83" name="Picture 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84" name="Picture 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85" name="Picture 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86" name="Picture 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87" name="Picture 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88" name="Picture 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89" name="Picture 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90" name="Picture 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91" name="Picture 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92" name="Picture 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93" name="Picture 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94" name="Picture 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95" name="Picture 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96" name="Picture 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97" name="Picture 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98" name="Picture 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99" name="Picture 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00" name="Picture 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01" name="Picture 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02" name="Picture 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03" name="Picture 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04" name="Picture 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05" name="Picture 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06" name="Picture 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07" name="Picture 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08" name="Picture 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09" name="Picture 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10" name="Picture 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11" name="Picture 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12" name="Picture 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13" name="Picture 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14" name="Picture 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15" name="Picture 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16" name="Picture 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17" name="Picture 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18" name="Picture 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19" name="Picture 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20" name="Picture 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21" name="Picture 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22" name="Picture 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23" name="Picture 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24" name="Picture 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25" name="Picture 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26" name="Picture 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27" name="Picture 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28" name="Picture 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29" name="Picture 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30" name="Picture 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31" name="Picture 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2" name="Picture 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3" name="Picture 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4" name="Picture 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5" name="Picture 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6" name="Picture 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7" name="Picture 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38" name="Picture 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39" name="Picture 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0" name="Picture 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1" name="Picture 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2" name="Picture 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3" name="Picture 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4" name="Picture 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5" name="Picture 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46" name="Picture 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47" name="Picture 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8" name="Picture 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9" name="Picture 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0" name="Picture 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1" name="Picture 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2" name="Picture 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3" name="Picture 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54" name="Picture 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55" name="Picture 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6" name="Picture 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7" name="Picture 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8" name="Picture 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9" name="Picture 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0" name="Picture 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1" name="Picture 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62" name="Picture 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63" name="Picture 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4" name="Picture 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5" name="Picture 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6" name="Picture 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7" name="Picture 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8" name="Picture 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9" name="Picture 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0" name="Picture 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1" name="Picture 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2" name="Picture 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3" name="Picture 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4" name="Picture 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5" name="Picture 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6" name="Picture 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7" name="Picture 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8" name="Picture 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9" name="Picture 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0" name="Picture 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1" name="Picture 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2" name="Picture 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3" name="Picture 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4" name="Picture 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5" name="Picture 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86" name="Picture 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87" name="Picture 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8" name="Picture 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9" name="Picture 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0" name="Picture 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1" name="Picture 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2" name="Picture 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3" name="Picture 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94" name="Picture 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95" name="Picture 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6" name="Picture 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7" name="Picture 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8" name="Picture 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9" name="Picture 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0" name="Picture 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1" name="Picture 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02" name="Picture 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03" name="Picture 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4" name="Picture 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5" name="Picture 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6" name="Picture 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7" name="Picture 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8" name="Picture 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9" name="Picture 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0" name="Picture 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1" name="Picture 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2" name="Picture 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3" name="Picture 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4" name="Picture 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5" name="Picture 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6" name="Picture 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7" name="Picture 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8" name="Picture 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9" name="Picture 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0" name="Picture 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1" name="Picture 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2" name="Picture 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3" name="Picture 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4" name="Picture 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5" name="Picture 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26" name="Picture 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27" name="Picture 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8" name="Picture 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9" name="Picture 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0" name="Picture 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1" name="Picture 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2" name="Picture 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3" name="Picture 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34" name="Picture 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35" name="Picture 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6" name="Picture 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7" name="Picture 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8" name="Picture 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9" name="Picture 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0" name="Picture 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1" name="Picture 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42" name="Picture 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43" name="Picture 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4" name="Picture 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5" name="Picture 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6" name="Picture 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7" name="Picture 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8" name="Picture 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9" name="Picture 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0" name="Picture 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1" name="Picture 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2" name="Picture 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3" name="Picture 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4" name="Picture 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5" name="Picture 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6" name="Picture 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7" name="Picture 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8" name="Picture 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9" name="Picture 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0" name="Picture 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1" name="Picture 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2" name="Picture 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3" name="Picture 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4" name="Picture 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5" name="Picture 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66" name="Picture 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67" name="Picture 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8" name="Picture 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9" name="Picture 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0" name="Picture 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1" name="Picture 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2" name="Picture 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3" name="Picture 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74" name="Picture 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75" name="Picture 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6" name="Picture 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7" name="Picture 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8" name="Picture 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9" name="Picture 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0" name="Picture 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1" name="Picture 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82" name="Picture 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83" name="Picture 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4" name="Picture 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5" name="Picture 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6" name="Picture 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7" name="Picture 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8" name="Picture 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9" name="Picture 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0" name="Picture 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1" name="Picture 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2" name="Picture 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3" name="Picture 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4" name="Picture 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5" name="Picture 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6" name="Picture 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7" name="Picture 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8" name="Picture 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9" name="Picture 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0" name="Picture 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1" name="Picture 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2" name="Picture 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3" name="Picture 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4" name="Picture 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5" name="Picture 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06" name="Picture 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07" name="Picture 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8" name="Picture 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9" name="Picture 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0" name="Picture 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1" name="Picture 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2" name="Picture 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3" name="Picture 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14" name="Picture 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15" name="Picture 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6" name="Picture 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7" name="Picture 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18" name="Picture 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19" name="Picture 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20" name="Picture 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21" name="Picture 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22" name="Picture 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23" name="Picture 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24" name="Picture 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25" name="Picture 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26" name="Picture 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27" name="Picture 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28" name="Picture 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29" name="Picture 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30" name="Picture 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31" name="Picture 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32" name="Picture 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33" name="Picture 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34" name="Picture 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35" name="Picture 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36" name="Picture 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37" name="Picture 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38" name="Picture 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39" name="Picture 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0" name="Picture 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1" name="Picture 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42" name="Picture 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43" name="Picture 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44" name="Picture 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45" name="Picture 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46" name="Picture 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47" name="Picture 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8" name="Picture 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9" name="Picture 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50" name="Picture 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51" name="Picture 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52" name="Picture 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53" name="Picture 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54" name="Picture 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55" name="Picture 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56" name="Picture 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57" name="Picture 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58" name="Picture 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59" name="Picture 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60" name="Picture 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61" name="Picture 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62" name="Picture 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63" name="Picture 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64" name="Picture 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65" name="Picture 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66" name="Picture 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67" name="Picture 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68" name="Picture 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69" name="Picture 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70" name="Picture 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71" name="Picture 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72" name="Picture 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73" name="Picture 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74" name="Picture 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75" name="Picture 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76" name="Picture 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77" name="Picture 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78" name="Picture 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79" name="Picture 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0" name="Picture 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1" name="Picture 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82" name="Picture 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83" name="Picture 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84" name="Picture 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85" name="Picture 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86" name="Picture 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87" name="Picture 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8" name="Picture 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9" name="Picture 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90" name="Picture 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91" name="Picture 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92" name="Picture 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93" name="Picture 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94" name="Picture 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95" name="Picture 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96" name="Picture 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97" name="Picture 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98" name="Picture 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99" name="Picture 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00" name="Picture 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01" name="Picture 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02" name="Picture 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03" name="Picture 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04" name="Picture 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05" name="Picture 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06" name="Picture 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07" name="Picture 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08" name="Picture 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09" name="Picture 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10" name="Picture 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11" name="Picture 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12" name="Picture 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13" name="Picture 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14" name="Picture 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15" name="Picture 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16" name="Picture 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17" name="Picture 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18" name="Picture 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19" name="Picture 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0" name="Picture 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1" name="Picture 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22" name="Picture 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23" name="Picture 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24" name="Picture 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25" name="Picture 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26" name="Picture 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27" name="Picture 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8" name="Picture 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9" name="Picture 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30" name="Picture 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31" name="Picture 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32" name="Picture 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33" name="Picture 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34" name="Picture 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35" name="Picture 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36" name="Picture 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37" name="Picture 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38" name="Picture 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39" name="Picture 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40" name="Picture 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41" name="Picture 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42" name="Picture 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43" name="Picture 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44" name="Picture 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45" name="Picture 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46" name="Picture 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47" name="Picture 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48" name="Picture 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49" name="Picture 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50" name="Picture 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51" name="Picture 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52" name="Picture 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53" name="Picture 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54" name="Picture 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55" name="Picture 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56" name="Picture 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57" name="Picture 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58" name="Picture 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59" name="Picture 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0" name="Picture 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1" name="Picture 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62" name="Picture 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63" name="Picture 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64" name="Picture 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65" name="Picture 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66" name="Picture 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67" name="Picture 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8" name="Picture 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9" name="Picture 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70" name="Picture 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71" name="Picture 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72" name="Picture 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73" name="Picture 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74" name="Picture 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75" name="Picture 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76" name="Picture 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77" name="Picture 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78" name="Picture 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79" name="Picture 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80" name="Picture 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81" name="Picture 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82" name="Picture 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83" name="Picture 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84" name="Picture 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85" name="Picture 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86" name="Picture 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87" name="Picture 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88" name="Picture 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89" name="Picture 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90" name="Picture 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91" name="Picture 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2" name="Picture 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3" name="Picture 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4" name="Picture 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5" name="Picture 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6" name="Picture 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7" name="Picture 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8" name="Picture 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9" name="Picture 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0" name="Picture 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1" name="Picture 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2" name="Picture 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3" name="Picture 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4" name="Picture 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5" name="Picture 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6" name="Picture 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7" name="Picture 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8" name="Picture 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9" name="Picture 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0" name="Picture 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1" name="Picture 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2" name="Picture 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3" name="Picture 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4" name="Picture 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5" name="Picture 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6" name="Picture 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7" name="Picture 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8" name="Picture 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9" name="Picture 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0" name="Picture 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1" name="Picture 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2" name="Picture 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3" name="Picture 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4" name="Picture 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5" name="Picture 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6" name="Picture 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7" name="Picture 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8" name="Picture 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9" name="Picture 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0" name="Picture 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1" name="Picture 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2" name="Picture 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3" name="Picture 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4" name="Picture 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5" name="Picture 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6" name="Picture 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7" name="Picture 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8" name="Picture 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9" name="Picture 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0" name="Picture 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1" name="Picture 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2" name="Picture 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3" name="Picture 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4" name="Picture 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5" name="Picture 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6" name="Picture 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7" name="Picture 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8" name="Picture 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9" name="Picture 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0" name="Picture 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1" name="Picture 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2" name="Picture 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3" name="Picture 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4" name="Picture 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5" name="Picture 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6" name="Picture 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7" name="Picture 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8" name="Picture 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9" name="Picture 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0" name="Picture 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1" name="Picture 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2" name="Picture 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3" name="Picture 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4" name="Picture 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5" name="Picture 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6" name="Picture 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7" name="Picture 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8" name="Picture 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9" name="Picture 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0" name="Picture 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1" name="Picture 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2" name="Picture 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3" name="Picture 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4" name="Picture 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5" name="Picture 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6" name="Picture 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7" name="Picture 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8" name="Picture 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9" name="Picture 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0" name="Picture 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1" name="Picture 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2" name="Picture 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3" name="Picture 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4" name="Picture 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5" name="Picture 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6" name="Picture 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7" name="Picture 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8" name="Picture 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9" name="Picture 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0" name="Picture 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1" name="Picture 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2" name="Picture 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3" name="Picture 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4" name="Picture 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5" name="Picture 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6" name="Picture 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7" name="Picture 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8" name="Picture 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9" name="Picture 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0" name="Picture 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1" name="Picture 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2" name="Picture 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3" name="Picture 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4" name="Picture 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5" name="Picture 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6" name="Picture 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7" name="Picture 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8" name="Picture 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9" name="Picture 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0" name="Picture 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1" name="Picture 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2" name="Picture 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3" name="Picture 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4" name="Picture 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5" name="Picture 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6" name="Picture 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7" name="Picture 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8" name="Picture 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9" name="Picture 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0" name="Picture 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1" name="Picture 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2" name="Picture 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3" name="Picture 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4" name="Picture 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5" name="Picture 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6" name="Picture 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7" name="Picture 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8" name="Picture 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9" name="Picture 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0" name="Picture 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1" name="Picture 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2" name="Picture 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3" name="Picture 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4" name="Picture 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5" name="Picture 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6" name="Picture 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7" name="Picture 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8" name="Picture 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9" name="Picture 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0" name="Picture 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1" name="Picture 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2" name="Picture 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3" name="Picture 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4" name="Picture 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5" name="Picture 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6" name="Picture 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7" name="Picture 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8" name="Picture 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9" name="Picture 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0" name="Picture 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1" name="Picture 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2" name="Picture 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3" name="Picture 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4" name="Picture 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5" name="Picture 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6" name="Picture 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7" name="Picture 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8" name="Picture 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9" name="Picture 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0" name="Picture 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1" name="Picture 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2" name="Picture 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3" name="Picture 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4" name="Picture 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5" name="Picture 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6" name="Picture 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7" name="Picture 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8" name="Picture 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9" name="Picture 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0" name="Picture 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1" name="Picture 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2" name="Picture 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3" name="Picture 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4" name="Picture 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5" name="Picture 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6" name="Picture 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7" name="Picture 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8" name="Picture 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9" name="Picture 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0" name="Picture 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1" name="Picture 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82" name="Picture 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83" name="Picture 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4" name="Picture 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5" name="Picture 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6" name="Picture 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7" name="Picture 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8" name="Picture 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9" name="Picture 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0" name="Picture 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1" name="Picture 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2" name="Picture 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3" name="Picture 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4" name="Picture 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5" name="Picture 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96" name="Picture 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97" name="Picture 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8" name="Picture 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9" name="Picture 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0" name="Picture 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1" name="Picture 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02" name="Picture 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03" name="Picture 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04" name="Picture 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05" name="Picture 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06" name="Picture 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07" name="Picture 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8" name="Picture 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9" name="Picture 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10" name="Picture 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11" name="Picture 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12" name="Picture 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13" name="Picture 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14" name="Picture 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15" name="Picture 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0</xdr:row>
      <xdr:rowOff>0</xdr:rowOff>
    </xdr:from>
    <xdr:ext cx="7620" cy="7620"/>
    <xdr:pic>
      <xdr:nvPicPr>
        <xdr:cNvPr id="816" name="Picture 8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17" name="Picture 8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18" name="Picture 8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19" name="Picture 8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20" name="Picture 8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21" name="Picture 8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22" name="Picture 8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23" name="Picture 8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24" name="Picture 8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25" name="Picture 8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26" name="Picture 8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27" name="Picture 8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28" name="Picture 8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29" name="Picture 8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30" name="Picture 8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31" name="Picture 8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32" name="Picture 8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33" name="Picture 8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34" name="Picture 8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35" name="Picture 8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36" name="Picture 8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37" name="Picture 8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38" name="Picture 8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39" name="Picture 8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0" name="Picture 8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1" name="Picture 8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42" name="Picture 8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43" name="Picture 8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44" name="Picture 8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45" name="Picture 8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46" name="Picture 8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47" name="Picture 8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8" name="Picture 8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9" name="Picture 8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50" name="Picture 8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51" name="Picture 8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52" name="Picture 8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53" name="Picture 8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0</xdr:row>
      <xdr:rowOff>0</xdr:rowOff>
    </xdr:from>
    <xdr:to>
      <xdr:col>5</xdr:col>
      <xdr:colOff>7620</xdr:colOff>
      <xdr:row>0</xdr:row>
      <xdr:rowOff>7620</xdr:rowOff>
    </xdr:to>
    <xdr:pic>
      <xdr:nvPicPr>
        <xdr:cNvPr id="854" name="Picture 8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55" name="Picture 8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56" name="Picture 8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57" name="Picture 8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58" name="Picture 8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59" name="Picture 8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60" name="Picture 8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61" name="Picture 8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62" name="Picture 8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63" name="Picture 8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64" name="Picture 8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65" name="Picture 8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66" name="Picture 8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67" name="Picture 8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68" name="Picture 8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69" name="Picture 8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70" name="Picture 8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71" name="Picture 8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72" name="Picture 8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73" name="Picture 8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74" name="Picture 8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75" name="Picture 8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76" name="Picture 8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77" name="Picture 8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78" name="Picture 8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79" name="Picture 8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0" name="Picture 8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1" name="Picture 8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82" name="Picture 8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83" name="Picture 8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84" name="Picture 8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85" name="Picture 8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86" name="Picture 8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87" name="Picture 8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8" name="Picture 8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9" name="Picture 8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90" name="Picture 8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91" name="Picture 8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92" name="Picture 8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93" name="Picture 8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94" name="Picture 8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95" name="Picture 8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96" name="Picture 8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97" name="Picture 8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98" name="Picture 8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99" name="Picture 8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00" name="Picture 8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01" name="Picture 9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02" name="Picture 9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03" name="Picture 9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04" name="Picture 9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05" name="Picture 9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906" name="Picture 9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907" name="Picture 9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08" name="Picture 9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09" name="Picture 9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10" name="Picture 9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11" name="Picture 9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12" name="Picture 9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13" name="Picture 9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914" name="Picture 9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915" name="Picture 9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16" name="Picture 9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17" name="Picture 9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18" name="Picture 9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19" name="Picture 9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0" name="Picture 9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1" name="Picture 9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2" name="Picture 9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3" name="Picture 9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24" name="Picture 9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25" name="Picture 9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26" name="Picture 9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27" name="Picture 9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8" name="Picture 9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9" name="Picture 9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0" name="Picture 9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1" name="Picture 9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32" name="Picture 9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33" name="Picture 9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34" name="Picture 9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35" name="Picture 9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6" name="Picture 9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7" name="Picture 9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8" name="Picture 9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9" name="Picture 9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0" name="Picture 9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1" name="Picture 9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42" name="Picture 9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43" name="Picture 9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4" name="Picture 9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5" name="Picture 9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6" name="Picture 9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7" name="Picture 9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8" name="Picture 9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9" name="Picture 9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50" name="Picture 9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51" name="Picture 9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52" name="Picture 9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53" name="Picture 9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54" name="Picture 9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55" name="Picture 9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56" name="Picture 9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57" name="Picture 9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58" name="Picture 9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59" name="Picture 9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60" name="Picture 9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61" name="Picture 9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62" name="Picture 9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63" name="Picture 9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64" name="Picture 9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65" name="Picture 9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66" name="Picture 9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67" name="Picture 9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68" name="Picture 9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69" name="Picture 9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70" name="Picture 9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71" name="Picture 9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72" name="Picture 9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73" name="Picture 9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74" name="Picture 9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75" name="Picture 9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76" name="Picture 9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77" name="Picture 9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78" name="Picture 9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79" name="Picture 9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80" name="Picture 9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81" name="Picture 9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82" name="Picture 9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83" name="Picture 9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84" name="Picture 9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85" name="Picture 9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86" name="Picture 9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87" name="Picture 9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88" name="Picture 9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89" name="Picture 9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90" name="Picture 9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91" name="Picture 9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92" name="Picture 9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93" name="Picture 9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94" name="Picture 9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95" name="Picture 9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96" name="Picture 9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97" name="Picture 9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98" name="Picture 9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99" name="Picture 9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00" name="Picture 9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01" name="Picture 10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02" name="Picture 10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03" name="Picture 10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04" name="Picture 10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05" name="Picture 10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06" name="Picture 10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07" name="Picture 10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08" name="Picture 10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09" name="Picture 10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10" name="Picture 10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11" name="Picture 10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12" name="Picture 10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13" name="Picture 10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14" name="Picture 10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15" name="Picture 10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16" name="Picture 10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17" name="Picture 10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18" name="Picture 10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19" name="Picture 10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20" name="Picture 10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21" name="Picture 10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22" name="Picture 10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23" name="Picture 10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24" name="Picture 10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25" name="Picture 10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26" name="Picture 10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27" name="Picture 10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28" name="Picture 10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29" name="Picture 10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30" name="Picture 10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31" name="Picture 10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32" name="Picture 10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33" name="Picture 10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34" name="Picture 10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35" name="Picture 10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36" name="Picture 10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37" name="Picture 10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38" name="Picture 10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39" name="Picture 10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40" name="Picture 10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41" name="Picture 10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42" name="Picture 10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43" name="Picture 10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44" name="Picture 10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45" name="Picture 10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6" name="Picture 10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7" name="Picture 10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8" name="Picture 10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9" name="Picture 10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0" name="Picture 10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1" name="Picture 10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52" name="Picture 10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53" name="Picture 10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4" name="Picture 10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5" name="Picture 10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6" name="Picture 10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7" name="Picture 10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8" name="Picture 10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9" name="Picture 10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0" name="Picture 10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1" name="Picture 10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2" name="Picture 10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3" name="Picture 10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4" name="Picture 10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5" name="Picture 10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6" name="Picture 10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7" name="Picture 10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8" name="Picture 10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9" name="Picture 10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0" name="Picture 10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1" name="Picture 10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2" name="Picture 10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3" name="Picture 10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4" name="Picture 10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5" name="Picture 10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76" name="Picture 10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77" name="Picture 10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8" name="Picture 10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9" name="Picture 10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0" name="Picture 10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1" name="Picture 10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2" name="Picture 10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3" name="Picture 10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84" name="Picture 10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85" name="Picture 10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6" name="Picture 10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7" name="Picture 10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8" name="Picture 10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9" name="Picture 10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0" name="Picture 10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1" name="Picture 10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92" name="Picture 10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93" name="Picture 10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4" name="Picture 10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5" name="Picture 10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6" name="Picture 10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7" name="Picture 10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8" name="Picture 10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9" name="Picture 10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0" name="Picture 10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1" name="Picture 1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2" name="Picture 1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3" name="Picture 1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4" name="Picture 1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5" name="Picture 1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6" name="Picture 1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7" name="Picture 1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8" name="Picture 1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9" name="Picture 1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0" name="Picture 1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1" name="Picture 1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2" name="Picture 1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3" name="Picture 1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4" name="Picture 1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5" name="Picture 1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16" name="Picture 1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17" name="Picture 1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8" name="Picture 1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9" name="Picture 1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0" name="Picture 1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1" name="Picture 1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2" name="Picture 1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3" name="Picture 1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24" name="Picture 1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25" name="Picture 1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6" name="Picture 1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7" name="Picture 1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8" name="Picture 1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9" name="Picture 1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0" name="Picture 1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1" name="Picture 1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32" name="Picture 1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33" name="Picture 1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4" name="Picture 1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5" name="Picture 1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6" name="Picture 1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7" name="Picture 1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8" name="Picture 1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9" name="Picture 1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0" name="Picture 1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1" name="Picture 1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2" name="Picture 1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3" name="Picture 1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4" name="Picture 1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5" name="Picture 1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6" name="Picture 1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7" name="Picture 1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8" name="Picture 1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9" name="Picture 1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0" name="Picture 1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1" name="Picture 1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2" name="Picture 1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3" name="Picture 1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4" name="Picture 1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5" name="Picture 1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56" name="Picture 1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57" name="Picture 1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8" name="Picture 1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9" name="Picture 1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0" name="Picture 1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1" name="Picture 1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2" name="Picture 1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3" name="Picture 1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64" name="Picture 1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65" name="Picture 1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6" name="Picture 1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7" name="Picture 1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8" name="Picture 1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9" name="Picture 1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0" name="Picture 1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1" name="Picture 1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72" name="Picture 1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73" name="Picture 1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4" name="Picture 1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5" name="Picture 1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6" name="Picture 1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7" name="Picture 1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8" name="Picture 1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9" name="Picture 1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0" name="Picture 1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1" name="Picture 1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2" name="Picture 1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3" name="Picture 1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4" name="Picture 1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5" name="Picture 1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6" name="Picture 1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7" name="Picture 1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8" name="Picture 1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9" name="Picture 1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0" name="Picture 1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1" name="Picture 1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2" name="Picture 1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3" name="Picture 1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4" name="Picture 1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5" name="Picture 1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96" name="Picture 1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97" name="Picture 1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8" name="Picture 1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9" name="Picture 1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0" name="Picture 1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1" name="Picture 1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2" name="Picture 1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3" name="Picture 1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04" name="Picture 1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05" name="Picture 1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6" name="Picture 1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7" name="Picture 1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8" name="Picture 1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9" name="Picture 1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0" name="Picture 1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1" name="Picture 1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12" name="Picture 1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13" name="Picture 1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4" name="Picture 1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5" name="Picture 1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6" name="Picture 1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7" name="Picture 1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8" name="Picture 1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9" name="Picture 1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0" name="Picture 1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1" name="Picture 1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2" name="Picture 1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3" name="Picture 1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4" name="Picture 1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5" name="Picture 1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6" name="Picture 1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7" name="Picture 1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8" name="Picture 1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9" name="Picture 1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0" name="Picture 1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1" name="Picture 1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32" name="Picture 1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33" name="Picture 1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34" name="Picture 1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35" name="Picture 1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36" name="Picture 1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37" name="Picture 1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8" name="Picture 1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9" name="Picture 1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40" name="Picture 1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41" name="Picture 1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42" name="Picture 1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43" name="Picture 1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44" name="Picture 1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45" name="Picture 1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46" name="Picture 1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47" name="Picture 1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48" name="Picture 1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49" name="Picture 1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50" name="Picture 1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51" name="Picture 1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52" name="Picture 1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53" name="Picture 1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54" name="Picture 1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55" name="Picture 1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56" name="Picture 1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57" name="Picture 1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58" name="Picture 1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59" name="Picture 1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60" name="Picture 1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61" name="Picture 1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62" name="Picture 1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63" name="Picture 1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64" name="Picture 1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65" name="Picture 1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66" name="Picture 1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67" name="Picture 1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68" name="Picture 1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69" name="Picture 1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0" name="Picture 1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1" name="Picture 1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72" name="Picture 1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73" name="Picture 1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74" name="Picture 1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75" name="Picture 1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76" name="Picture 1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77" name="Picture 1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8" name="Picture 1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9" name="Picture 1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80" name="Picture 1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81" name="Picture 1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82" name="Picture 1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83" name="Picture 1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84" name="Picture 1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85" name="Picture 1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86" name="Picture 1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87" name="Picture 1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88" name="Picture 1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89" name="Picture 1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90" name="Picture 1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91" name="Picture 1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92" name="Picture 1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93" name="Picture 1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94" name="Picture 1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95" name="Picture 1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96" name="Picture 1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97" name="Picture 1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98" name="Picture 1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99" name="Picture 1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00" name="Picture 1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01" name="Picture 1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02" name="Picture 1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03" name="Picture 1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04" name="Picture 1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05" name="Picture 1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06" name="Picture 1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07" name="Picture 1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08" name="Picture 1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09" name="Picture 1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0" name="Picture 1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1" name="Picture 1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12" name="Picture 1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13" name="Picture 1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14" name="Picture 1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15" name="Picture 1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16" name="Picture 1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17" name="Picture 1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8" name="Picture 1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9" name="Picture 1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20" name="Picture 1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21" name="Picture 1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22" name="Picture 1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23" name="Picture 1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24" name="Picture 1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25" name="Picture 1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26" name="Picture 1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27" name="Picture 1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28" name="Picture 1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29" name="Picture 1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30" name="Picture 1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31" name="Picture 1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32" name="Picture 1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33" name="Picture 1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34" name="Picture 1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35" name="Picture 1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36" name="Picture 1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37" name="Picture 1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38" name="Picture 1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39" name="Picture 1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40" name="Picture 1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41" name="Picture 1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42" name="Picture 1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43" name="Picture 1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44" name="Picture 1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45" name="Picture 1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46" name="Picture 1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47" name="Picture 1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48" name="Picture 1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49" name="Picture 1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0" name="Picture 1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1" name="Picture 1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52" name="Picture 1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53" name="Picture 1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54" name="Picture 1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55" name="Picture 1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56" name="Picture 1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57" name="Picture 1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8" name="Picture 1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9" name="Picture 1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60" name="Picture 1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61" name="Picture 1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62" name="Picture 1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63" name="Picture 1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64" name="Picture 1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65" name="Picture 1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66" name="Picture 1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67" name="Picture 1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68" name="Picture 1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69" name="Picture 1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70" name="Picture 1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71" name="Picture 1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72" name="Picture 1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73" name="Picture 1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74" name="Picture 1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75" name="Picture 1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76" name="Picture 1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77" name="Picture 1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78" name="Picture 1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79" name="Picture 1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80" name="Picture 1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81" name="Picture 1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82" name="Picture 1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83" name="Picture 1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84" name="Picture 1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85" name="Picture 1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86" name="Picture 1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87" name="Picture 1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88" name="Picture 1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89" name="Picture 1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0" name="Picture 1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1" name="Picture 1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92" name="Picture 1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93" name="Picture 1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94" name="Picture 1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95" name="Picture 1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96" name="Picture 1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97" name="Picture 1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8" name="Picture 1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9" name="Picture 1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400" name="Picture 1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401" name="Picture 1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402" name="Picture 1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403" name="Picture 1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404" name="Picture 1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405" name="Picture 1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6" name="Picture 1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7" name="Picture 1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8" name="Picture 1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9" name="Picture 1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0" name="Picture 1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1" name="Picture 1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2" name="Picture 1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3" name="Picture 1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4" name="Picture 1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5" name="Picture 1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6" name="Picture 1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7" name="Picture 1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8" name="Picture 1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9" name="Picture 1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0" name="Picture 1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1" name="Picture 1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2" name="Picture 1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3" name="Picture 1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4" name="Picture 1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5" name="Picture 1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6" name="Picture 1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7" name="Picture 1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8" name="Picture 1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9" name="Picture 1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0" name="Picture 1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1" name="Picture 1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2" name="Picture 1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3" name="Picture 1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4" name="Picture 1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5" name="Picture 1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6" name="Picture 1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7" name="Picture 1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8" name="Picture 1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9" name="Picture 1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0" name="Picture 1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1" name="Picture 1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2" name="Picture 1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3" name="Picture 1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4" name="Picture 1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5" name="Picture 1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6" name="Picture 1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7" name="Picture 1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8" name="Picture 1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9" name="Picture 1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0" name="Picture 1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1" name="Picture 1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2" name="Picture 1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3" name="Picture 1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4" name="Picture 1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5" name="Picture 1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6" name="Picture 1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7" name="Picture 1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8" name="Picture 1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9" name="Picture 1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0" name="Picture 1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1" name="Picture 1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2" name="Picture 1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3" name="Picture 1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4" name="Picture 1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5" name="Picture 1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6" name="Picture 1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7" name="Picture 1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8" name="Picture 1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9" name="Picture 1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0" name="Picture 1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1" name="Picture 1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2" name="Picture 1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3" name="Picture 1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4" name="Picture 1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5" name="Picture 1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6" name="Picture 1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7" name="Picture 1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8" name="Picture 1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9" name="Picture 1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0" name="Picture 1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1" name="Picture 1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2" name="Picture 1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3" name="Picture 1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4" name="Picture 1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5" name="Picture 1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6" name="Picture 1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7" name="Picture 1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8" name="Picture 1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9" name="Picture 1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0" name="Picture 1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1" name="Picture 1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2" name="Picture 1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3" name="Picture 1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4" name="Picture 1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5" name="Picture 1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6" name="Picture 1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7" name="Picture 1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8" name="Picture 1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9" name="Picture 1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0" name="Picture 1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1" name="Picture 1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2" name="Picture 1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3" name="Picture 1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4" name="Picture 1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5" name="Picture 1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6" name="Picture 1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7" name="Picture 1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8" name="Picture 1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9" name="Picture 1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0" name="Picture 1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1" name="Picture 1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2" name="Picture 1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3" name="Picture 1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4" name="Picture 1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5" name="Picture 1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6" name="Picture 1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7" name="Picture 1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8" name="Picture 1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9" name="Picture 1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0" name="Picture 1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1" name="Picture 1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2" name="Picture 1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3" name="Picture 1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4" name="Picture 1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5" name="Picture 1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6" name="Picture 1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7" name="Picture 1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8" name="Picture 1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9" name="Picture 1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0" name="Picture 1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1" name="Picture 1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2" name="Picture 1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3" name="Picture 1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4" name="Picture 1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5" name="Picture 1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6" name="Picture 1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7" name="Picture 1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8" name="Picture 1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9" name="Picture 1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0" name="Picture 1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1" name="Picture 1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2" name="Picture 1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3" name="Picture 1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4" name="Picture 1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5" name="Picture 1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6" name="Picture 1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7" name="Picture 1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8" name="Picture 1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9" name="Picture 1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0" name="Picture 1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1" name="Picture 1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2" name="Picture 1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3" name="Picture 1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4" name="Picture 1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5" name="Picture 1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6" name="Picture 1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7" name="Picture 1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8" name="Picture 1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9" name="Picture 1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0" name="Picture 1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1" name="Picture 1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2" name="Picture 1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3" name="Picture 1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4" name="Picture 1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5" name="Picture 1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6" name="Picture 1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7" name="Picture 1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8" name="Picture 1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9" name="Picture 1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0" name="Picture 1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1" name="Picture 1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2" name="Picture 1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3" name="Picture 1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4" name="Picture 1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5" name="Picture 1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6" name="Picture 1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7" name="Picture 1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8" name="Picture 1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9" name="Picture 1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0" name="Picture 1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1" name="Picture 1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2" name="Picture 1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3" name="Picture 1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4" name="Picture 1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5" name="Picture 1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6" name="Picture 1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7" name="Picture 1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8" name="Picture 1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9" name="Picture 1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0" name="Picture 1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1" name="Picture 1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2" name="Picture 1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3" name="Picture 1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594" name="Picture 1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595" name="Picture 1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596" name="Picture 1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597" name="Picture 1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8" name="Picture 1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9" name="Picture 1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0" name="Picture 1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1" name="Picture 1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02" name="Picture 1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03" name="Picture 1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04" name="Picture 1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05" name="Picture 1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6" name="Picture 1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7" name="Picture 1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8" name="Picture 1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9" name="Picture 1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10" name="Picture 1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11" name="Picture 1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12" name="Picture 1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13" name="Picture 1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14" name="Picture 1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15" name="Picture 1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16" name="Picture 1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17" name="Picture 1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618" name="Picture 1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619" name="Picture 1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620" name="Picture 1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621" name="Picture 1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22" name="Picture 1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23" name="Picture 1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24" name="Picture 1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25" name="Picture 1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626" name="Picture 1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627" name="Picture 1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628" name="Picture 1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629" name="Picture 1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24</xdr:row>
      <xdr:rowOff>0</xdr:rowOff>
    </xdr:from>
    <xdr:ext cx="7620" cy="7620"/>
    <xdr:pic>
      <xdr:nvPicPr>
        <xdr:cNvPr id="2036" name="Picture 20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37" name="Picture 20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24</xdr:row>
      <xdr:rowOff>0</xdr:rowOff>
    </xdr:from>
    <xdr:ext cx="7620" cy="7620"/>
    <xdr:pic>
      <xdr:nvPicPr>
        <xdr:cNvPr id="2038" name="Picture 20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xdr:row>
      <xdr:rowOff>0</xdr:rowOff>
    </xdr:from>
    <xdr:ext cx="7620" cy="7620"/>
    <xdr:pic>
      <xdr:nvPicPr>
        <xdr:cNvPr id="2039" name="Picture 20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24</xdr:row>
      <xdr:rowOff>0</xdr:rowOff>
    </xdr:from>
    <xdr:ext cx="7620" cy="7620"/>
    <xdr:pic>
      <xdr:nvPicPr>
        <xdr:cNvPr id="2040" name="Picture 20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xdr:row>
      <xdr:rowOff>0</xdr:rowOff>
    </xdr:from>
    <xdr:ext cx="7620" cy="7620"/>
    <xdr:pic>
      <xdr:nvPicPr>
        <xdr:cNvPr id="2041" name="Picture 20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24</xdr:row>
      <xdr:rowOff>0</xdr:rowOff>
    </xdr:from>
    <xdr:ext cx="7620" cy="7620"/>
    <xdr:pic>
      <xdr:nvPicPr>
        <xdr:cNvPr id="2042" name="Picture 20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24</xdr:row>
      <xdr:rowOff>0</xdr:rowOff>
    </xdr:from>
    <xdr:ext cx="7620" cy="7620"/>
    <xdr:pic>
      <xdr:nvPicPr>
        <xdr:cNvPr id="2043" name="Picture 20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44" name="Picture 20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45" name="Picture 20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24</xdr:row>
      <xdr:rowOff>0</xdr:rowOff>
    </xdr:from>
    <xdr:ext cx="7620" cy="7620"/>
    <xdr:pic>
      <xdr:nvPicPr>
        <xdr:cNvPr id="2046" name="Picture 20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xdr:row>
      <xdr:rowOff>0</xdr:rowOff>
    </xdr:from>
    <xdr:ext cx="7620" cy="7620"/>
    <xdr:pic>
      <xdr:nvPicPr>
        <xdr:cNvPr id="2047" name="Picture 20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24</xdr:row>
      <xdr:rowOff>0</xdr:rowOff>
    </xdr:from>
    <xdr:ext cx="7620" cy="7620"/>
    <xdr:pic>
      <xdr:nvPicPr>
        <xdr:cNvPr id="2048" name="Picture 20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xdr:row>
      <xdr:rowOff>0</xdr:rowOff>
    </xdr:from>
    <xdr:ext cx="7620" cy="7620"/>
    <xdr:pic>
      <xdr:nvPicPr>
        <xdr:cNvPr id="2049" name="Picture 20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24</xdr:row>
      <xdr:rowOff>0</xdr:rowOff>
    </xdr:from>
    <xdr:ext cx="7620" cy="7620"/>
    <xdr:pic>
      <xdr:nvPicPr>
        <xdr:cNvPr id="2050" name="Picture 20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24</xdr:row>
      <xdr:rowOff>0</xdr:rowOff>
    </xdr:from>
    <xdr:ext cx="7620" cy="7620"/>
    <xdr:pic>
      <xdr:nvPicPr>
        <xdr:cNvPr id="2051" name="Picture 20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52" name="Picture 20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53" name="Picture 20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24</xdr:row>
      <xdr:rowOff>0</xdr:rowOff>
    </xdr:from>
    <xdr:ext cx="7620" cy="7620"/>
    <xdr:pic>
      <xdr:nvPicPr>
        <xdr:cNvPr id="2054" name="Picture 20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xdr:row>
      <xdr:rowOff>0</xdr:rowOff>
    </xdr:from>
    <xdr:ext cx="7620" cy="7620"/>
    <xdr:pic>
      <xdr:nvPicPr>
        <xdr:cNvPr id="2055" name="Picture 20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24</xdr:row>
      <xdr:rowOff>0</xdr:rowOff>
    </xdr:from>
    <xdr:ext cx="7620" cy="7620"/>
    <xdr:pic>
      <xdr:nvPicPr>
        <xdr:cNvPr id="2056" name="Picture 20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xdr:row>
      <xdr:rowOff>0</xdr:rowOff>
    </xdr:from>
    <xdr:ext cx="7620" cy="7620"/>
    <xdr:pic>
      <xdr:nvPicPr>
        <xdr:cNvPr id="2057" name="Picture 20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24</xdr:row>
      <xdr:rowOff>0</xdr:rowOff>
    </xdr:from>
    <xdr:ext cx="7620" cy="7620"/>
    <xdr:pic>
      <xdr:nvPicPr>
        <xdr:cNvPr id="2058" name="Picture 20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24</xdr:row>
      <xdr:rowOff>0</xdr:rowOff>
    </xdr:from>
    <xdr:ext cx="7620" cy="7620"/>
    <xdr:pic>
      <xdr:nvPicPr>
        <xdr:cNvPr id="2059" name="Picture 20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60" name="Picture 20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61" name="Picture 20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24</xdr:row>
      <xdr:rowOff>0</xdr:rowOff>
    </xdr:from>
    <xdr:ext cx="7620" cy="7620"/>
    <xdr:pic>
      <xdr:nvPicPr>
        <xdr:cNvPr id="2062" name="Picture 20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xdr:row>
      <xdr:rowOff>0</xdr:rowOff>
    </xdr:from>
    <xdr:ext cx="7620" cy="7620"/>
    <xdr:pic>
      <xdr:nvPicPr>
        <xdr:cNvPr id="2063" name="Picture 20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24</xdr:row>
      <xdr:rowOff>0</xdr:rowOff>
    </xdr:from>
    <xdr:ext cx="7620" cy="7620"/>
    <xdr:pic>
      <xdr:nvPicPr>
        <xdr:cNvPr id="2064" name="Picture 20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xdr:row>
      <xdr:rowOff>0</xdr:rowOff>
    </xdr:from>
    <xdr:ext cx="7620" cy="7620"/>
    <xdr:pic>
      <xdr:nvPicPr>
        <xdr:cNvPr id="2065" name="Picture 20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24</xdr:row>
      <xdr:rowOff>0</xdr:rowOff>
    </xdr:from>
    <xdr:ext cx="7620" cy="7620"/>
    <xdr:pic>
      <xdr:nvPicPr>
        <xdr:cNvPr id="2066" name="Picture 20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24</xdr:row>
      <xdr:rowOff>0</xdr:rowOff>
    </xdr:from>
    <xdr:ext cx="7620" cy="7620"/>
    <xdr:pic>
      <xdr:nvPicPr>
        <xdr:cNvPr id="2067" name="Picture 20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68" name="Picture 20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24</xdr:row>
      <xdr:rowOff>0</xdr:rowOff>
    </xdr:from>
    <xdr:ext cx="7620" cy="7620"/>
    <xdr:pic>
      <xdr:nvPicPr>
        <xdr:cNvPr id="2069" name="Picture 20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24</xdr:row>
      <xdr:rowOff>0</xdr:rowOff>
    </xdr:from>
    <xdr:ext cx="7620" cy="7620"/>
    <xdr:pic>
      <xdr:nvPicPr>
        <xdr:cNvPr id="2070" name="Picture 20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24</xdr:row>
      <xdr:rowOff>0</xdr:rowOff>
    </xdr:from>
    <xdr:ext cx="7620" cy="7620"/>
    <xdr:pic>
      <xdr:nvPicPr>
        <xdr:cNvPr id="2071" name="Picture 20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24</xdr:row>
      <xdr:rowOff>0</xdr:rowOff>
    </xdr:from>
    <xdr:ext cx="7620" cy="7620"/>
    <xdr:pic>
      <xdr:nvPicPr>
        <xdr:cNvPr id="2072" name="Picture 20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24</xdr:row>
      <xdr:rowOff>0</xdr:rowOff>
    </xdr:from>
    <xdr:ext cx="7620" cy="7620"/>
    <xdr:pic>
      <xdr:nvPicPr>
        <xdr:cNvPr id="2073" name="Picture 20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24</xdr:row>
      <xdr:rowOff>0</xdr:rowOff>
    </xdr:from>
    <xdr:to>
      <xdr:col>5</xdr:col>
      <xdr:colOff>7620</xdr:colOff>
      <xdr:row>24</xdr:row>
      <xdr:rowOff>7620</xdr:rowOff>
    </xdr:to>
    <xdr:pic>
      <xdr:nvPicPr>
        <xdr:cNvPr id="2074" name="Picture 20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075" name="Picture 20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076" name="Picture 20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077" name="Picture 20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078" name="Picture 20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079" name="Picture 20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080" name="Picture 20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081" name="Picture 20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082" name="Picture 20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083" name="Picture 20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084" name="Picture 20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085" name="Picture 20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086" name="Picture 20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087" name="Picture 20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088" name="Picture 20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089" name="Picture 20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090" name="Picture 20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091" name="Picture 20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092" name="Picture 20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093" name="Picture 20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094" name="Picture 20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095" name="Picture 20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096" name="Picture 20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097" name="Picture 20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098" name="Picture 20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099" name="Picture 20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00" name="Picture 20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01" name="Picture 2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102" name="Picture 2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103" name="Picture 2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104" name="Picture 2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105" name="Picture 2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106" name="Picture 2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107" name="Picture 2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08" name="Picture 2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09" name="Picture 2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110" name="Picture 2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111" name="Picture 2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112" name="Picture 2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113" name="Picture 2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114" name="Picture 2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115" name="Picture 2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16" name="Picture 2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17" name="Picture 2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118" name="Picture 2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119" name="Picture 2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120" name="Picture 2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121" name="Picture 2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122" name="Picture 2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123" name="Picture 2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24" name="Picture 2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25" name="Picture 2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126" name="Picture 2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127" name="Picture 2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128" name="Picture 2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129" name="Picture 2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130" name="Picture 2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131" name="Picture 2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32" name="Picture 2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133" name="Picture 2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134" name="Picture 2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135" name="Picture 2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136" name="Picture 2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137" name="Picture 2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138" name="Picture 2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139" name="Picture 2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40" name="Picture 2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41" name="Picture 2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42" name="Picture 2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43" name="Picture 2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44" name="Picture 2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45" name="Picture 2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46" name="Picture 2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47" name="Picture 2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48" name="Picture 2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49" name="Picture 2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50" name="Picture 2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51" name="Picture 2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52" name="Picture 2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53" name="Picture 2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54" name="Picture 2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55" name="Picture 2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56" name="Picture 2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57" name="Picture 2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58" name="Picture 2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59" name="Picture 2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60" name="Picture 2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61" name="Picture 2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62" name="Picture 2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63" name="Picture 2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64" name="Picture 2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65" name="Picture 2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66" name="Picture 2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67" name="Picture 2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68" name="Picture 2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69" name="Picture 2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70" name="Picture 2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71" name="Picture 2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72" name="Picture 2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73" name="Picture 2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174" name="Picture 2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75" name="Picture 2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76" name="Picture 2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177" name="Picture 2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178" name="Picture 2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79" name="Picture 2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80" name="Picture 2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81" name="Picture 2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182" name="Picture 2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83" name="Picture 2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84" name="Picture 2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185" name="Picture 2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186" name="Picture 2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87" name="Picture 2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88" name="Picture 2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89" name="Picture 2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190" name="Picture 2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91" name="Picture 2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192" name="Picture 2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193" name="Picture 2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194" name="Picture 2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95" name="Picture 2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196" name="Picture 2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197" name="Picture 2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198" name="Picture 2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199" name="Picture 2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00" name="Picture 2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01" name="Picture 2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02" name="Picture 2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03" name="Picture 2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04" name="Picture 2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05" name="Picture 2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06" name="Picture 2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07" name="Picture 2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08" name="Picture 2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09" name="Picture 2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10" name="Picture 2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11" name="Picture 2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12" name="Picture 2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13" name="Picture 2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14" name="Picture 2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15" name="Picture 2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16" name="Picture 2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17" name="Picture 2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18" name="Picture 2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19" name="Picture 2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20" name="Picture 2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21" name="Picture 2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22" name="Picture 2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23" name="Picture 2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24" name="Picture 2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25" name="Picture 2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26" name="Picture 2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27" name="Picture 2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28" name="Picture 2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29" name="Picture 2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30" name="Picture 2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31" name="Picture 2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32" name="Picture 2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33" name="Picture 2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34" name="Picture 2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35" name="Picture 2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36" name="Picture 2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37" name="Picture 2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38" name="Picture 2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39" name="Picture 2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40" name="Picture 2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41" name="Picture 2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42" name="Picture 2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43" name="Picture 2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44" name="Picture 2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45" name="Picture 2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46" name="Picture 2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47" name="Picture 2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48" name="Picture 2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49" name="Picture 2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50" name="Picture 2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51" name="Picture 2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52" name="Picture 2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53" name="Picture 2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54" name="Picture 2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55" name="Picture 2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56" name="Picture 2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57" name="Picture 2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58" name="Picture 2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9525</xdr:colOff>
      <xdr:row>24</xdr:row>
      <xdr:rowOff>9525</xdr:rowOff>
    </xdr:to>
    <xdr:pic>
      <xdr:nvPicPr>
        <xdr:cNvPr id="2259" name="Picture 2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9525</xdr:colOff>
      <xdr:row>24</xdr:row>
      <xdr:rowOff>9525</xdr:rowOff>
    </xdr:to>
    <xdr:pic>
      <xdr:nvPicPr>
        <xdr:cNvPr id="2260" name="Picture 2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9525</xdr:colOff>
      <xdr:row>24</xdr:row>
      <xdr:rowOff>9525</xdr:rowOff>
    </xdr:to>
    <xdr:pic>
      <xdr:nvPicPr>
        <xdr:cNvPr id="2261" name="Picture 2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9525</xdr:colOff>
      <xdr:row>24</xdr:row>
      <xdr:rowOff>9525</xdr:rowOff>
    </xdr:to>
    <xdr:pic>
      <xdr:nvPicPr>
        <xdr:cNvPr id="2262" name="Picture 2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9525</xdr:colOff>
      <xdr:row>24</xdr:row>
      <xdr:rowOff>9525</xdr:rowOff>
    </xdr:to>
    <xdr:pic>
      <xdr:nvPicPr>
        <xdr:cNvPr id="2263" name="Picture 2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9525</xdr:colOff>
      <xdr:row>24</xdr:row>
      <xdr:rowOff>9525</xdr:rowOff>
    </xdr:to>
    <xdr:pic>
      <xdr:nvPicPr>
        <xdr:cNvPr id="2264" name="Picture 2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9525</xdr:colOff>
      <xdr:row>24</xdr:row>
      <xdr:rowOff>9525</xdr:rowOff>
    </xdr:to>
    <xdr:pic>
      <xdr:nvPicPr>
        <xdr:cNvPr id="2265" name="Picture 2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66" name="Picture 2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67" name="Picture 2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68" name="Picture 2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69" name="Picture 2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0" name="Picture 2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1" name="Picture 2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72" name="Picture 2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73" name="Picture 2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4" name="Picture 2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5" name="Picture 2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6" name="Picture 2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7" name="Picture 2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8" name="Picture 2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79" name="Picture 2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80" name="Picture 2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81" name="Picture 2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82" name="Picture 2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83" name="Picture 2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84" name="Picture 2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85" name="Picture 2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86" name="Picture 2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87" name="Picture 2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88" name="Picture 2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89" name="Picture 2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0" name="Picture 2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1" name="Picture 2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2" name="Picture 2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3" name="Picture 2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4" name="Picture 2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5" name="Picture 2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96" name="Picture 2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297" name="Picture 2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8" name="Picture 2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299" name="Picture 2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0" name="Picture 2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1" name="Picture 2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2" name="Picture 2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3" name="Picture 2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04" name="Picture 2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05" name="Picture 2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6" name="Picture 2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7" name="Picture 2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8" name="Picture 2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09" name="Picture 2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0" name="Picture 2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1" name="Picture 2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12" name="Picture 2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13" name="Picture 2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4" name="Picture 2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5" name="Picture 2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6" name="Picture 2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7" name="Picture 2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8" name="Picture 2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19" name="Picture 2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20" name="Picture 2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21" name="Picture 2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22" name="Picture 2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23" name="Picture 2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24" name="Picture 2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25" name="Picture 2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26" name="Picture 2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27" name="Picture 2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28" name="Picture 2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29" name="Picture 2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0" name="Picture 2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1" name="Picture 2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2" name="Picture 2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3" name="Picture 2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4" name="Picture 2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5" name="Picture 2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36" name="Picture 2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37" name="Picture 2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8" name="Picture 2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39" name="Picture 2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0" name="Picture 2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1" name="Picture 2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2" name="Picture 2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3" name="Picture 2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44" name="Picture 2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45" name="Picture 2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6" name="Picture 2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7" name="Picture 2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8" name="Picture 2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49" name="Picture 2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0" name="Picture 2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1" name="Picture 2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52" name="Picture 2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53" name="Picture 2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4" name="Picture 2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5" name="Picture 2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6" name="Picture 2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7" name="Picture 2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8" name="Picture 2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59" name="Picture 2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60" name="Picture 2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61" name="Picture 2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62" name="Picture 2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63" name="Picture 2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64" name="Picture 2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65" name="Picture 2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66" name="Picture 2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67" name="Picture 2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68" name="Picture 2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69" name="Picture 2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0" name="Picture 2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1" name="Picture 2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2" name="Picture 2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3" name="Picture 2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4" name="Picture 2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5" name="Picture 2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76" name="Picture 2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77" name="Picture 2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8" name="Picture 2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79" name="Picture 2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0" name="Picture 2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1" name="Picture 2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2" name="Picture 2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3" name="Picture 2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84" name="Picture 2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85" name="Picture 2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6" name="Picture 2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7" name="Picture 2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8" name="Picture 2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89" name="Picture 2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0" name="Picture 2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1" name="Picture 2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92" name="Picture 2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393" name="Picture 2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4" name="Picture 2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5" name="Picture 2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6" name="Picture 2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7" name="Picture 2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8" name="Picture 2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399" name="Picture 2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00" name="Picture 2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01" name="Picture 2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02" name="Picture 2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03" name="Picture 2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04" name="Picture 2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05" name="Picture 2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06" name="Picture 2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07" name="Picture 2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08" name="Picture 2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09" name="Picture 2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0" name="Picture 2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1" name="Picture 2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2" name="Picture 2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3" name="Picture 2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4" name="Picture 2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5" name="Picture 2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16" name="Picture 2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17" name="Picture 2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8" name="Picture 2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19" name="Picture 2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0" name="Picture 2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1" name="Picture 2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2" name="Picture 2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3" name="Picture 2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24" name="Picture 2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25" name="Picture 2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6" name="Picture 2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7" name="Picture 2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8" name="Picture 2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29" name="Picture 2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0" name="Picture 2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1" name="Picture 2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32" name="Picture 2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33" name="Picture 2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4" name="Picture 2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5" name="Picture 2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6" name="Picture 2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7" name="Picture 2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8" name="Picture 2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39" name="Picture 2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40" name="Picture 2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41" name="Picture 2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42" name="Picture 2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43" name="Picture 2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44" name="Picture 2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45" name="Picture 2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46" name="Picture 2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47" name="Picture 2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48" name="Picture 2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49" name="Picture 2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50" name="Picture 2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51" name="Picture 2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52" name="Picture 2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453" name="Picture 2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454" name="Picture 2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455" name="Picture 2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456" name="Picture 2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457" name="Picture 2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58" name="Picture 2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59" name="Picture 2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60" name="Picture 2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461" name="Picture 2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462" name="Picture 2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463" name="Picture 2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464" name="Picture 2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465" name="Picture 2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66" name="Picture 2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67" name="Picture 2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68" name="Picture 2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469" name="Picture 2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470" name="Picture 2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471" name="Picture 2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472" name="Picture 2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473" name="Picture 2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74" name="Picture 2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75" name="Picture 2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76" name="Picture 2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477" name="Picture 2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478" name="Picture 2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479" name="Picture 2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480" name="Picture 2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481" name="Picture 2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82" name="Picture 2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83" name="Picture 2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84" name="Picture 2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485" name="Picture 2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486" name="Picture 2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487" name="Picture 2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488" name="Picture 2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489" name="Picture 2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90" name="Picture 2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91" name="Picture 2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492" name="Picture 2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493" name="Picture 2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494" name="Picture 2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495" name="Picture 2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496" name="Picture 2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497" name="Picture 2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98" name="Picture 2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499" name="Picture 2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00" name="Picture 2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01" name="Picture 2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02" name="Picture 2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03" name="Picture 2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04" name="Picture 2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05" name="Picture 2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06" name="Picture 2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07" name="Picture 2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08" name="Picture 2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09" name="Picture 2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10" name="Picture 2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11" name="Picture 2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12" name="Picture 2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13" name="Picture 2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14" name="Picture 2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15" name="Picture 2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16" name="Picture 2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17" name="Picture 2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18" name="Picture 2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19" name="Picture 2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20" name="Picture 2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21" name="Picture 2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22" name="Picture 2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23" name="Picture 2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24" name="Picture 2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25" name="Picture 2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26" name="Picture 2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27" name="Picture 2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28" name="Picture 2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29" name="Picture 2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30" name="Picture 2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31" name="Picture 2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32" name="Picture 2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33" name="Picture 2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34" name="Picture 2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35" name="Picture 2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36" name="Picture 2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37" name="Picture 2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38" name="Picture 2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39" name="Picture 2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40" name="Picture 2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41" name="Picture 2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42" name="Picture 2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43" name="Picture 2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44" name="Picture 2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45" name="Picture 2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46" name="Picture 2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47" name="Picture 2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48" name="Picture 2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49" name="Picture 2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50" name="Picture 2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51" name="Picture 2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52" name="Picture 2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53" name="Picture 2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54" name="Picture 2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55" name="Picture 2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56" name="Picture 2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57" name="Picture 2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58" name="Picture 2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59" name="Picture 2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60" name="Picture 2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61" name="Picture 2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62" name="Picture 2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63" name="Picture 2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64" name="Picture 2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65" name="Picture 2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66" name="Picture 2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67" name="Picture 2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68" name="Picture 2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69" name="Picture 2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70" name="Picture 2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71" name="Picture 2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72" name="Picture 2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73" name="Picture 2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74" name="Picture 2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75" name="Picture 2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76" name="Picture 2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77" name="Picture 2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78" name="Picture 2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79" name="Picture 2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80" name="Picture 2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81" name="Picture 2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82" name="Picture 2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83" name="Picture 2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84" name="Picture 2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85" name="Picture 2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86" name="Picture 2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87" name="Picture 2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88" name="Picture 2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89" name="Picture 2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90" name="Picture 2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91" name="Picture 2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592" name="Picture 2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593" name="Picture 2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94" name="Picture 2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595" name="Picture 2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596" name="Picture 2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597" name="Picture 2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598" name="Picture 2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599" name="Picture 2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600" name="Picture 2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601" name="Picture 2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02" name="Picture 2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03" name="Picture 2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604" name="Picture 2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605" name="Picture 2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606" name="Picture 2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607" name="Picture 2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608" name="Picture 2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609" name="Picture 2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10" name="Picture 2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11" name="Picture 2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612" name="Picture 2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613" name="Picture 2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614" name="Picture 2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615" name="Picture 2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616" name="Picture 2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617" name="Picture 2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18" name="Picture 2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19" name="Picture 2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620" name="Picture 2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621" name="Picture 2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622" name="Picture 2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623" name="Picture 2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624" name="Picture 2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625" name="Picture 2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26" name="Picture 2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27" name="Picture 2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28" name="Picture 2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29" name="Picture 2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0" name="Picture 2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1" name="Picture 2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2" name="Picture 2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3" name="Picture 2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4" name="Picture 2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5" name="Picture 2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6" name="Picture 2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7" name="Picture 2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8" name="Picture 2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39" name="Picture 2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0" name="Picture 2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1" name="Picture 2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2" name="Picture 2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3" name="Picture 2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4" name="Picture 2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5" name="Picture 2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6" name="Picture 2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7" name="Picture 2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8" name="Picture 2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49" name="Picture 2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0" name="Picture 2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1" name="Picture 2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2" name="Picture 2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3" name="Picture 2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4" name="Picture 2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5" name="Picture 2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6" name="Picture 2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7" name="Picture 2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8" name="Picture 2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59" name="Picture 2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0" name="Picture 2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1" name="Picture 2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2" name="Picture 2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3" name="Picture 2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4" name="Picture 2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5" name="Picture 2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6" name="Picture 2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7" name="Picture 2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8" name="Picture 2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69" name="Picture 2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0" name="Picture 2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1" name="Picture 2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2" name="Picture 2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3" name="Picture 2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4" name="Picture 2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5" name="Picture 2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6" name="Picture 2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7" name="Picture 2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8" name="Picture 2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79" name="Picture 2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0" name="Picture 2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1" name="Picture 2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2" name="Picture 2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3" name="Picture 2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4" name="Picture 2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5" name="Picture 2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6" name="Picture 2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7" name="Picture 2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8" name="Picture 2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89" name="Picture 2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0" name="Picture 2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1" name="Picture 2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2" name="Picture 2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3" name="Picture 2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4" name="Picture 2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5" name="Picture 2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6" name="Picture 2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7" name="Picture 2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8" name="Picture 2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699" name="Picture 2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0" name="Picture 2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1" name="Picture 2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2" name="Picture 2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3" name="Picture 2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4" name="Picture 2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5" name="Picture 2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6" name="Picture 2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7" name="Picture 2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8" name="Picture 2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09" name="Picture 2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0" name="Picture 2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1" name="Picture 2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2" name="Picture 2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3" name="Picture 2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4" name="Picture 2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5" name="Picture 2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6" name="Picture 2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7" name="Picture 2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8" name="Picture 2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19" name="Picture 2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0" name="Picture 2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1" name="Picture 2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2" name="Picture 2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3" name="Picture 2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4" name="Picture 2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5" name="Picture 2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6" name="Picture 2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7" name="Picture 2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8" name="Picture 2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29" name="Picture 2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0" name="Picture 2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1" name="Picture 2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2" name="Picture 2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3" name="Picture 2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4" name="Picture 2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5" name="Picture 2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6" name="Picture 2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7" name="Picture 2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8" name="Picture 2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39" name="Picture 2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0" name="Picture 2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1" name="Picture 2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2" name="Picture 2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3" name="Picture 2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4" name="Picture 2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5" name="Picture 2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6" name="Picture 2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7" name="Picture 2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8" name="Picture 2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49" name="Picture 2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0" name="Picture 2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1" name="Picture 2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2" name="Picture 2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3" name="Picture 2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4" name="Picture 2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5" name="Picture 2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6" name="Picture 2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7" name="Picture 2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8" name="Picture 2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59" name="Picture 2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0" name="Picture 2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1" name="Picture 2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2" name="Picture 2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3" name="Picture 2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4" name="Picture 2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5" name="Picture 2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6" name="Picture 2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7" name="Picture 2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8" name="Picture 2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69" name="Picture 2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0" name="Picture 2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1" name="Picture 2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2" name="Picture 2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3" name="Picture 2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4" name="Picture 2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5" name="Picture 2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6" name="Picture 2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7" name="Picture 2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8" name="Picture 2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79" name="Picture 2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0" name="Picture 2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1" name="Picture 2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2" name="Picture 2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3" name="Picture 2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4" name="Picture 2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5" name="Picture 2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6" name="Picture 2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7" name="Picture 2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8" name="Picture 2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89" name="Picture 2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0" name="Picture 2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1" name="Picture 2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2" name="Picture 2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3" name="Picture 2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4" name="Picture 2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5" name="Picture 2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6" name="Picture 2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7" name="Picture 2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8" name="Picture 2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799" name="Picture 2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0" name="Picture 2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1" name="Picture 2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2" name="Picture 2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3" name="Picture 2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4" name="Picture 2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5" name="Picture 2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6" name="Picture 2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7" name="Picture 2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8" name="Picture 2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09" name="Picture 2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10" name="Picture 2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11" name="Picture 2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12" name="Picture 2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13" name="Picture 2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14" name="Picture 2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15" name="Picture 2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16" name="Picture 28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17" name="Picture 28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18" name="Picture 28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19" name="Picture 28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20" name="Picture 28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21" name="Picture 28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22" name="Picture 28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23" name="Picture 28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24" name="Picture 28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25" name="Picture 28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26" name="Picture 28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27" name="Picture 28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28" name="Picture 28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29" name="Picture 28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30" name="Picture 28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31" name="Picture 28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32" name="Picture 28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33" name="Picture 28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34" name="Picture 28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35" name="Picture 28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36" name="Picture 28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37" name="Picture 28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838" name="Picture 28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839" name="Picture 28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840" name="Picture 28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841" name="Picture 28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42" name="Picture 28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24</xdr:row>
      <xdr:rowOff>0</xdr:rowOff>
    </xdr:from>
    <xdr:to>
      <xdr:col>0</xdr:col>
      <xdr:colOff>7620</xdr:colOff>
      <xdr:row>24</xdr:row>
      <xdr:rowOff>7620</xdr:rowOff>
    </xdr:to>
    <xdr:pic>
      <xdr:nvPicPr>
        <xdr:cNvPr id="2843" name="Picture 28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24</xdr:row>
      <xdr:rowOff>0</xdr:rowOff>
    </xdr:from>
    <xdr:to>
      <xdr:col>1</xdr:col>
      <xdr:colOff>7620</xdr:colOff>
      <xdr:row>24</xdr:row>
      <xdr:rowOff>7620</xdr:rowOff>
    </xdr:to>
    <xdr:pic>
      <xdr:nvPicPr>
        <xdr:cNvPr id="2844" name="Picture 28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24</xdr:row>
      <xdr:rowOff>0</xdr:rowOff>
    </xdr:from>
    <xdr:to>
      <xdr:col>2</xdr:col>
      <xdr:colOff>7620</xdr:colOff>
      <xdr:row>24</xdr:row>
      <xdr:rowOff>7620</xdr:rowOff>
    </xdr:to>
    <xdr:pic>
      <xdr:nvPicPr>
        <xdr:cNvPr id="2845" name="Picture 28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70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xdr:row>
      <xdr:rowOff>0</xdr:rowOff>
    </xdr:from>
    <xdr:to>
      <xdr:col>3</xdr:col>
      <xdr:colOff>7620</xdr:colOff>
      <xdr:row>24</xdr:row>
      <xdr:rowOff>7620</xdr:rowOff>
    </xdr:to>
    <xdr:pic>
      <xdr:nvPicPr>
        <xdr:cNvPr id="2846" name="Picture 28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0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xdr:row>
      <xdr:rowOff>0</xdr:rowOff>
    </xdr:from>
    <xdr:to>
      <xdr:col>4</xdr:col>
      <xdr:colOff>7620</xdr:colOff>
      <xdr:row>24</xdr:row>
      <xdr:rowOff>7620</xdr:rowOff>
    </xdr:to>
    <xdr:pic>
      <xdr:nvPicPr>
        <xdr:cNvPr id="2847" name="Picture 28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471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24</xdr:row>
      <xdr:rowOff>0</xdr:rowOff>
    </xdr:from>
    <xdr:to>
      <xdr:col>5</xdr:col>
      <xdr:colOff>7620</xdr:colOff>
      <xdr:row>24</xdr:row>
      <xdr:rowOff>7620</xdr:rowOff>
    </xdr:to>
    <xdr:pic>
      <xdr:nvPicPr>
        <xdr:cNvPr id="2848" name="Picture 28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253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24</xdr:row>
      <xdr:rowOff>0</xdr:rowOff>
    </xdr:from>
    <xdr:to>
      <xdr:col>6</xdr:col>
      <xdr:colOff>7620</xdr:colOff>
      <xdr:row>24</xdr:row>
      <xdr:rowOff>7620</xdr:rowOff>
    </xdr:to>
    <xdr:pic>
      <xdr:nvPicPr>
        <xdr:cNvPr id="2849" name="Picture 28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47900" y="243332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7620" cy="7620"/>
    <xdr:pic>
      <xdr:nvPicPr>
        <xdr:cNvPr id="2" name="Picture 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3" name="Picture 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4" name="Picture 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5" name="Picture 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6" name="Picture 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7" name="Picture 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 name="Picture 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9" name="Picture 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0" name="Picture 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1" name="Picture 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12" name="Picture 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13" name="Picture 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14" name="Picture 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15" name="Picture 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16" name="Picture 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17" name="Picture 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8" name="Picture 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19" name="Picture 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20" name="Picture 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21" name="Picture 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22" name="Picture 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23" name="Picture 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24" name="Picture 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25" name="Picture 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26" name="Picture 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27" name="Picture 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28" name="Picture 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29" name="Picture 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30" name="Picture 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31" name="Picture 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32" name="Picture 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33" name="Picture 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34" name="Picture 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35" name="Picture 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36" name="Picture 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37" name="Picture 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38" name="Picture 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39" name="Picture 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0</xdr:row>
      <xdr:rowOff>0</xdr:rowOff>
    </xdr:from>
    <xdr:to>
      <xdr:col>5</xdr:col>
      <xdr:colOff>7620</xdr:colOff>
      <xdr:row>0</xdr:row>
      <xdr:rowOff>7620</xdr:rowOff>
    </xdr:to>
    <xdr:pic>
      <xdr:nvPicPr>
        <xdr:cNvPr id="40" name="Picture 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1" name="Picture 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2" name="Picture 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3" name="Picture 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4" name="Picture 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5" name="Picture 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6" name="Picture 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7" name="Picture 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8" name="Picture 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9" name="Picture 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0" name="Picture 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1" name="Picture 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2" name="Picture 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3" name="Picture 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4" name="Picture 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5" name="Picture 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6" name="Picture 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7" name="Picture 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8" name="Picture 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 name="Picture 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60" name="Picture 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61" name="Picture 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62" name="Picture 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63" name="Picture 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64" name="Picture 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65" name="Picture 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 name="Picture 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 name="Picture 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68" name="Picture 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69" name="Picture 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70" name="Picture 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71" name="Picture 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72" name="Picture 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73" name="Picture 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 name="Picture 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 name="Picture 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6" name="Picture 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7" name="Picture 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78" name="Picture 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79" name="Picture 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0" name="Picture 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1" name="Picture 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2" name="Picture 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3" name="Picture 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4" name="Picture 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5" name="Picture 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6" name="Picture 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7" name="Picture 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8" name="Picture 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9" name="Picture 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0" name="Picture 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1" name="Picture 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92" name="Picture 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93" name="Picture 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4" name="Picture 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5" name="Picture 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6" name="Picture 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7" name="Picture 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8" name="Picture 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9" name="Picture 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0" name="Picture 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01" name="Picture 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02" name="Picture 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03" name="Picture 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04" name="Picture 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05" name="Picture 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6" name="Picture 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7" name="Picture 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8" name="Picture 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9" name="Picture 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0" name="Picture 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1" name="Picture 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12" name="Picture 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13" name="Picture 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4" name="Picture 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5" name="Picture 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6" name="Picture 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17" name="Picture 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8" name="Picture 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19" name="Picture 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20" name="Picture 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21" name="Picture 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2" name="Picture 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3" name="Picture 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4" name="Picture 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25" name="Picture 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26" name="Picture 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27" name="Picture 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28" name="Picture 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29" name="Picture 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0" name="Picture 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1" name="Picture 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2" name="Picture 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3" name="Picture 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34" name="Picture 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35" name="Picture 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36" name="Picture 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37" name="Picture 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38" name="Picture 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39" name="Picture 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40" name="Picture 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41" name="Picture 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42" name="Picture 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43" name="Picture 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44" name="Picture 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45" name="Picture 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46" name="Picture 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47" name="Picture 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48" name="Picture 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49" name="Picture 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50" name="Picture 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51" name="Picture 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52" name="Picture 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53" name="Picture 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54" name="Picture 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55" name="Picture 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56" name="Picture 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57" name="Picture 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58" name="Picture 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59" name="Picture 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60" name="Picture 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61" name="Picture 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62" name="Picture 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63" name="Picture 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64" name="Picture 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65" name="Picture 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66" name="Picture 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67" name="Picture 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68" name="Picture 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69" name="Picture 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70" name="Picture 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71" name="Picture 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72" name="Picture 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73" name="Picture 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74" name="Picture 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75" name="Picture 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76" name="Picture 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77" name="Picture 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78" name="Picture 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79" name="Picture 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80" name="Picture 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81" name="Picture 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82" name="Picture 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83" name="Picture 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84" name="Picture 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85" name="Picture 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86" name="Picture 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87" name="Picture 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88" name="Picture 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89" name="Picture 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90" name="Picture 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91" name="Picture 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92" name="Picture 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93" name="Picture 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94" name="Picture 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95" name="Picture 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96" name="Picture 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97" name="Picture 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98" name="Picture 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99" name="Picture 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00" name="Picture 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01" name="Picture 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02" name="Picture 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03" name="Picture 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04" name="Picture 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05" name="Picture 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06" name="Picture 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07" name="Picture 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08" name="Picture 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09" name="Picture 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10" name="Picture 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11" name="Picture 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12" name="Picture 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13" name="Picture 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14" name="Picture 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15" name="Picture 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16" name="Picture 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17" name="Picture 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18" name="Picture 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19" name="Picture 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20" name="Picture 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21" name="Picture 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22" name="Picture 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23" name="Picture 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24" name="Picture 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225" name="Picture 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226" name="Picture 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227" name="Picture 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228" name="Picture 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229" name="Picture 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230" name="Picture 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231" name="Picture 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2" name="Picture 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3" name="Picture 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4" name="Picture 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5" name="Picture 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6" name="Picture 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37" name="Picture 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38" name="Picture 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39" name="Picture 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0" name="Picture 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1" name="Picture 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2" name="Picture 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3" name="Picture 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4" name="Picture 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5" name="Picture 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46" name="Picture 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47" name="Picture 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8" name="Picture 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49" name="Picture 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0" name="Picture 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1" name="Picture 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2" name="Picture 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3" name="Picture 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54" name="Picture 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55" name="Picture 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6" name="Picture 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7" name="Picture 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8" name="Picture 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59" name="Picture 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0" name="Picture 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1" name="Picture 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62" name="Picture 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63" name="Picture 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4" name="Picture 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5" name="Picture 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6" name="Picture 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7" name="Picture 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8" name="Picture 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69" name="Picture 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0" name="Picture 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1" name="Picture 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2" name="Picture 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3" name="Picture 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4" name="Picture 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5" name="Picture 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6" name="Picture 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77" name="Picture 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8" name="Picture 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79" name="Picture 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0" name="Picture 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1" name="Picture 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2" name="Picture 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3" name="Picture 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4" name="Picture 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5" name="Picture 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86" name="Picture 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87" name="Picture 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8" name="Picture 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89" name="Picture 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0" name="Picture 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1" name="Picture 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2" name="Picture 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3" name="Picture 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94" name="Picture 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295" name="Picture 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6" name="Picture 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7" name="Picture 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8" name="Picture 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299" name="Picture 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0" name="Picture 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1" name="Picture 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02" name="Picture 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03" name="Picture 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4" name="Picture 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5" name="Picture 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6" name="Picture 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7" name="Picture 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8" name="Picture 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09" name="Picture 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0" name="Picture 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1" name="Picture 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2" name="Picture 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3" name="Picture 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4" name="Picture 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5" name="Picture 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6" name="Picture 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17" name="Picture 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8" name="Picture 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19" name="Picture 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0" name="Picture 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1" name="Picture 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2" name="Picture 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3" name="Picture 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4" name="Picture 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5" name="Picture 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26" name="Picture 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27" name="Picture 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8" name="Picture 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29" name="Picture 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0" name="Picture 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1" name="Picture 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2" name="Picture 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3" name="Picture 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34" name="Picture 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35" name="Picture 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6" name="Picture 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7" name="Picture 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8" name="Picture 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39" name="Picture 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0" name="Picture 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1" name="Picture 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42" name="Picture 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43" name="Picture 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4" name="Picture 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5" name="Picture 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6" name="Picture 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7" name="Picture 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8" name="Picture 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49" name="Picture 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0" name="Picture 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1" name="Picture 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2" name="Picture 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3" name="Picture 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4" name="Picture 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5" name="Picture 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6" name="Picture 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57" name="Picture 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8" name="Picture 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59" name="Picture 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0" name="Picture 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1" name="Picture 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2" name="Picture 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3" name="Picture 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4" name="Picture 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5" name="Picture 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66" name="Picture 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67" name="Picture 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8" name="Picture 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69" name="Picture 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0" name="Picture 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1" name="Picture 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2" name="Picture 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3" name="Picture 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74" name="Picture 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75" name="Picture 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6" name="Picture 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7" name="Picture 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8" name="Picture 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79" name="Picture 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0" name="Picture 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1" name="Picture 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82" name="Picture 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83" name="Picture 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4" name="Picture 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5" name="Picture 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6" name="Picture 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7" name="Picture 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8" name="Picture 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89" name="Picture 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0" name="Picture 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1" name="Picture 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2" name="Picture 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3" name="Picture 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4" name="Picture 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5" name="Picture 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6" name="Picture 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397" name="Picture 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8" name="Picture 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399" name="Picture 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0" name="Picture 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1" name="Picture 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2" name="Picture 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3" name="Picture 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4" name="Picture 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5" name="Picture 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06" name="Picture 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07" name="Picture 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8" name="Picture 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09" name="Picture 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0" name="Picture 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1" name="Picture 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2" name="Picture 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3" name="Picture 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14" name="Picture 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15" name="Picture 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6" name="Picture 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17" name="Picture 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18" name="Picture 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19" name="Picture 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20" name="Picture 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21" name="Picture 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22" name="Picture 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23" name="Picture 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24" name="Picture 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25" name="Picture 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26" name="Picture 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27" name="Picture 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28" name="Picture 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29" name="Picture 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30" name="Picture 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31" name="Picture 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32" name="Picture 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33" name="Picture 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34" name="Picture 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35" name="Picture 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36" name="Picture 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37" name="Picture 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38" name="Picture 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39" name="Picture 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0" name="Picture 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1" name="Picture 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42" name="Picture 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43" name="Picture 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44" name="Picture 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45" name="Picture 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46" name="Picture 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47" name="Picture 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8" name="Picture 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49" name="Picture 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50" name="Picture 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51" name="Picture 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52" name="Picture 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53" name="Picture 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54" name="Picture 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55" name="Picture 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56" name="Picture 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57" name="Picture 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58" name="Picture 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59" name="Picture 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60" name="Picture 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61" name="Picture 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62" name="Picture 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63" name="Picture 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64" name="Picture 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65" name="Picture 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66" name="Picture 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67" name="Picture 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68" name="Picture 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69" name="Picture 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70" name="Picture 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71" name="Picture 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72" name="Picture 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73" name="Picture 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74" name="Picture 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75" name="Picture 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76" name="Picture 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77" name="Picture 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78" name="Picture 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79" name="Picture 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0" name="Picture 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1" name="Picture 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82" name="Picture 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83" name="Picture 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84" name="Picture 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85" name="Picture 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86" name="Picture 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87" name="Picture 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8" name="Picture 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89" name="Picture 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90" name="Picture 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91" name="Picture 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492" name="Picture 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493" name="Picture 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494" name="Picture 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495" name="Picture 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96" name="Picture 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497" name="Picture 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498" name="Picture 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499" name="Picture 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00" name="Picture 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01" name="Picture 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02" name="Picture 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03" name="Picture 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04" name="Picture 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05" name="Picture 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06" name="Picture 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07" name="Picture 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08" name="Picture 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09" name="Picture 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10" name="Picture 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11" name="Picture 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12" name="Picture 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13" name="Picture 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14" name="Picture 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15" name="Picture 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16" name="Picture 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17" name="Picture 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18" name="Picture 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19" name="Picture 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0" name="Picture 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1" name="Picture 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22" name="Picture 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23" name="Picture 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24" name="Picture 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25" name="Picture 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26" name="Picture 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27" name="Picture 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8" name="Picture 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29" name="Picture 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30" name="Picture 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31" name="Picture 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32" name="Picture 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33" name="Picture 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34" name="Picture 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35" name="Picture 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36" name="Picture 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37" name="Picture 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38" name="Picture 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39" name="Picture 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40" name="Picture 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41" name="Picture 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42" name="Picture 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43" name="Picture 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44" name="Picture 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45" name="Picture 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46" name="Picture 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47" name="Picture 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48" name="Picture 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49" name="Picture 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50" name="Picture 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51" name="Picture 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52" name="Picture 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53" name="Picture 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54" name="Picture 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55" name="Picture 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56" name="Picture 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57" name="Picture 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58" name="Picture 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59" name="Picture 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0" name="Picture 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1" name="Picture 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62" name="Picture 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63" name="Picture 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64" name="Picture 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65" name="Picture 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66" name="Picture 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67" name="Picture 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8" name="Picture 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69" name="Picture 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70" name="Picture 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71" name="Picture 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72" name="Picture 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73" name="Picture 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74" name="Picture 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75" name="Picture 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76" name="Picture 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77" name="Picture 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78" name="Picture 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79" name="Picture 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80" name="Picture 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81" name="Picture 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82" name="Picture 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83" name="Picture 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84" name="Picture 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85" name="Picture 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586" name="Picture 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587" name="Picture 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588" name="Picture 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589" name="Picture 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590" name="Picture 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591" name="Picture 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2" name="Picture 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3" name="Picture 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4" name="Picture 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5" name="Picture 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6" name="Picture 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7" name="Picture 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8" name="Picture 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599" name="Picture 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0" name="Picture 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1" name="Picture 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2" name="Picture 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3" name="Picture 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4" name="Picture 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5" name="Picture 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6" name="Picture 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7" name="Picture 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8" name="Picture 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09" name="Picture 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0" name="Picture 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1" name="Picture 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2" name="Picture 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3" name="Picture 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4" name="Picture 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5" name="Picture 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6" name="Picture 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7" name="Picture 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8" name="Picture 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19" name="Picture 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0" name="Picture 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1" name="Picture 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2" name="Picture 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3" name="Picture 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4" name="Picture 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5" name="Picture 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6" name="Picture 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7" name="Picture 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8" name="Picture 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29" name="Picture 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0" name="Picture 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1" name="Picture 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2" name="Picture 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3" name="Picture 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4" name="Picture 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5" name="Picture 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6" name="Picture 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7" name="Picture 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8" name="Picture 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39" name="Picture 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0" name="Picture 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1" name="Picture 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2" name="Picture 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3" name="Picture 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4" name="Picture 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5" name="Picture 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6" name="Picture 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7" name="Picture 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8" name="Picture 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49" name="Picture 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0" name="Picture 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1" name="Picture 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2" name="Picture 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3" name="Picture 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4" name="Picture 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5" name="Picture 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6" name="Picture 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7" name="Picture 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8" name="Picture 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59" name="Picture 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0" name="Picture 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1" name="Picture 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2" name="Picture 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3" name="Picture 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4" name="Picture 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5" name="Picture 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6" name="Picture 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7" name="Picture 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8" name="Picture 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69" name="Picture 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0" name="Picture 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1" name="Picture 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2" name="Picture 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3" name="Picture 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4" name="Picture 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5" name="Picture 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6" name="Picture 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7" name="Picture 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8" name="Picture 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79" name="Picture 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0" name="Picture 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1" name="Picture 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2" name="Picture 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3" name="Picture 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4" name="Picture 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5" name="Picture 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6" name="Picture 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7" name="Picture 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8" name="Picture 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89" name="Picture 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0" name="Picture 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1" name="Picture 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2" name="Picture 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3" name="Picture 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4" name="Picture 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5" name="Picture 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6" name="Picture 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7" name="Picture 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8" name="Picture 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699" name="Picture 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0" name="Picture 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1" name="Picture 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2" name="Picture 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3" name="Picture 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4" name="Picture 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5" name="Picture 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6" name="Picture 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7" name="Picture 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8" name="Picture 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09" name="Picture 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0" name="Picture 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1" name="Picture 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2" name="Picture 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3" name="Picture 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4" name="Picture 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5" name="Picture 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6" name="Picture 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7" name="Picture 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8" name="Picture 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19" name="Picture 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0" name="Picture 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1" name="Picture 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2" name="Picture 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3" name="Picture 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4" name="Picture 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5" name="Picture 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6" name="Picture 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7" name="Picture 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8" name="Picture 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29" name="Picture 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0" name="Picture 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1" name="Picture 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2" name="Picture 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3" name="Picture 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4" name="Picture 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5" name="Picture 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6" name="Picture 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7" name="Picture 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8" name="Picture 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39" name="Picture 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0" name="Picture 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1" name="Picture 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2" name="Picture 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3" name="Picture 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4" name="Picture 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5" name="Picture 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6" name="Picture 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7" name="Picture 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8" name="Picture 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49" name="Picture 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0" name="Picture 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1" name="Picture 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2" name="Picture 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3" name="Picture 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4" name="Picture 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5" name="Picture 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6" name="Picture 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7" name="Picture 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8" name="Picture 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59" name="Picture 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0" name="Picture 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1" name="Picture 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2" name="Picture 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3" name="Picture 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4" name="Picture 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5" name="Picture 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6" name="Picture 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7" name="Picture 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8" name="Picture 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69" name="Picture 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0" name="Picture 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1" name="Picture 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2" name="Picture 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3" name="Picture 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4" name="Picture 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5" name="Picture 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6" name="Picture 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7" name="Picture 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8" name="Picture 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79" name="Picture 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0" name="Picture 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1" name="Picture 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82" name="Picture 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83" name="Picture 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4" name="Picture 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5" name="Picture 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6" name="Picture 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87" name="Picture 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8" name="Picture 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89" name="Picture 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0" name="Picture 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1" name="Picture 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2" name="Picture 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3" name="Picture 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4" name="Picture 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795" name="Picture 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96" name="Picture 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797" name="Picture 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8" name="Picture 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799" name="Picture 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0" name="Picture 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1" name="Picture 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02" name="Picture 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03" name="Picture 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04" name="Picture 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05" name="Picture 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06" name="Picture 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07" name="Picture 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8" name="Picture 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09" name="Picture 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10" name="Picture 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11" name="Picture 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12" name="Picture 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13" name="Picture 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14" name="Picture 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15" name="Picture 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0</xdr:row>
      <xdr:rowOff>0</xdr:rowOff>
    </xdr:from>
    <xdr:ext cx="7620" cy="7620"/>
    <xdr:pic>
      <xdr:nvPicPr>
        <xdr:cNvPr id="816" name="Picture 8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17" name="Picture 8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18" name="Picture 8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19" name="Picture 8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20" name="Picture 8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21" name="Picture 8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22" name="Picture 8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23" name="Picture 8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24" name="Picture 8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25" name="Picture 8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26" name="Picture 8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27" name="Picture 8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28" name="Picture 8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29" name="Picture 8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30" name="Picture 8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31" name="Picture 8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32" name="Picture 8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33" name="Picture 8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34" name="Picture 8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35" name="Picture 8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36" name="Picture 8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37" name="Picture 8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38" name="Picture 8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39" name="Picture 8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0" name="Picture 8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1" name="Picture 8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42" name="Picture 8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43" name="Picture 8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44" name="Picture 8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45" name="Picture 8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0</xdr:row>
      <xdr:rowOff>0</xdr:rowOff>
    </xdr:from>
    <xdr:ext cx="7620" cy="7620"/>
    <xdr:pic>
      <xdr:nvPicPr>
        <xdr:cNvPr id="846" name="Picture 8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7620" cy="7620"/>
    <xdr:pic>
      <xdr:nvPicPr>
        <xdr:cNvPr id="847" name="Picture 8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8" name="Picture 8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0</xdr:row>
      <xdr:rowOff>0</xdr:rowOff>
    </xdr:from>
    <xdr:ext cx="7620" cy="7620"/>
    <xdr:pic>
      <xdr:nvPicPr>
        <xdr:cNvPr id="849" name="Picture 8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0</xdr:row>
      <xdr:rowOff>0</xdr:rowOff>
    </xdr:from>
    <xdr:ext cx="7620" cy="7620"/>
    <xdr:pic>
      <xdr:nvPicPr>
        <xdr:cNvPr id="850" name="Picture 8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0</xdr:row>
      <xdr:rowOff>0</xdr:rowOff>
    </xdr:from>
    <xdr:ext cx="7620" cy="7620"/>
    <xdr:pic>
      <xdr:nvPicPr>
        <xdr:cNvPr id="851" name="Picture 8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7620" cy="7620"/>
    <xdr:pic>
      <xdr:nvPicPr>
        <xdr:cNvPr id="852" name="Picture 8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0</xdr:row>
      <xdr:rowOff>0</xdr:rowOff>
    </xdr:from>
    <xdr:ext cx="7620" cy="7620"/>
    <xdr:pic>
      <xdr:nvPicPr>
        <xdr:cNvPr id="853" name="Picture 8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0</xdr:row>
      <xdr:rowOff>0</xdr:rowOff>
    </xdr:from>
    <xdr:to>
      <xdr:col>5</xdr:col>
      <xdr:colOff>7620</xdr:colOff>
      <xdr:row>0</xdr:row>
      <xdr:rowOff>7620</xdr:rowOff>
    </xdr:to>
    <xdr:pic>
      <xdr:nvPicPr>
        <xdr:cNvPr id="854" name="Picture 8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55" name="Picture 8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56" name="Picture 8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57" name="Picture 8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58" name="Picture 8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59" name="Picture 8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60" name="Picture 8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61" name="Picture 8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62" name="Picture 8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63" name="Picture 8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64" name="Picture 8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65" name="Picture 8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66" name="Picture 8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67" name="Picture 8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68" name="Picture 8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69" name="Picture 8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70" name="Picture 8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71" name="Picture 8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72" name="Picture 8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73" name="Picture 8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74" name="Picture 8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75" name="Picture 8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76" name="Picture 8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77" name="Picture 8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78" name="Picture 8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79" name="Picture 8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0" name="Picture 8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1" name="Picture 8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82" name="Picture 8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83" name="Picture 8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84" name="Picture 8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85" name="Picture 8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86" name="Picture 8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87" name="Picture 8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8" name="Picture 8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89" name="Picture 8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90" name="Picture 8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91" name="Picture 8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892" name="Picture 8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893" name="Picture 8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894" name="Picture 8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895" name="Picture 8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96" name="Picture 8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897" name="Picture 8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898" name="Picture 8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899" name="Picture 8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00" name="Picture 8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01" name="Picture 9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02" name="Picture 9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03" name="Picture 9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04" name="Picture 9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05" name="Picture 9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906" name="Picture 9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907" name="Picture 9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08" name="Picture 9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09" name="Picture 9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10" name="Picture 9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11" name="Picture 9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12" name="Picture 9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913" name="Picture 9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914" name="Picture 9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915" name="Picture 9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916" name="Picture 9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917" name="Picture 9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918" name="Picture 9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919" name="Picture 9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0" name="Picture 9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1" name="Picture 9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2" name="Picture 9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3" name="Picture 9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24" name="Picture 9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25" name="Picture 9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26" name="Picture 9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27" name="Picture 9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8" name="Picture 9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29" name="Picture 9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0" name="Picture 9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1" name="Picture 9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32" name="Picture 9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33" name="Picture 9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34" name="Picture 9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35" name="Picture 9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6" name="Picture 9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7" name="Picture 9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8" name="Picture 9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39" name="Picture 9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0" name="Picture 9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1" name="Picture 9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42" name="Picture 9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43" name="Picture 9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4" name="Picture 9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5" name="Picture 9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6" name="Picture 9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47" name="Picture 9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8" name="Picture 9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49" name="Picture 9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50" name="Picture 9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51" name="Picture 9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52" name="Picture 9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53" name="Picture 9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54" name="Picture 9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55" name="Picture 9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56" name="Picture 9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57" name="Picture 9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58" name="Picture 9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59" name="Picture 9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60" name="Picture 9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61" name="Picture 9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62" name="Picture 9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63" name="Picture 9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64" name="Picture 9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65" name="Picture 9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66" name="Picture 9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67" name="Picture 9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68" name="Picture 9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69" name="Picture 9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70" name="Picture 9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71" name="Picture 9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72" name="Picture 9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73" name="Picture 9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74" name="Picture 9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75" name="Picture 9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76" name="Picture 9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77" name="Picture 9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78" name="Picture 9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79" name="Picture 9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80" name="Picture 9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81" name="Picture 9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82" name="Picture 9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83" name="Picture 9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84" name="Picture 9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85" name="Picture 9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86" name="Picture 9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87" name="Picture 9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88" name="Picture 9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89" name="Picture 9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90" name="Picture 9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91" name="Picture 9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92" name="Picture 9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993" name="Picture 9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994" name="Picture 9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995" name="Picture 9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996" name="Picture 9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997" name="Picture 9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998" name="Picture 9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999" name="Picture 9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00" name="Picture 9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01" name="Picture 10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02" name="Picture 10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03" name="Picture 10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04" name="Picture 10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05" name="Picture 10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06" name="Picture 10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07" name="Picture 10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08" name="Picture 10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09" name="Picture 10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10" name="Picture 10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11" name="Picture 10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12" name="Picture 10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13" name="Picture 10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14" name="Picture 10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15" name="Picture 10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16" name="Picture 10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17" name="Picture 10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18" name="Picture 10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19" name="Picture 10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20" name="Picture 10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21" name="Picture 10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22" name="Picture 10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23" name="Picture 10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24" name="Picture 10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25" name="Picture 10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26" name="Picture 10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27" name="Picture 10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28" name="Picture 10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29" name="Picture 10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30" name="Picture 10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31" name="Picture 10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32" name="Picture 10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33" name="Picture 10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34" name="Picture 10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35" name="Picture 10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36" name="Picture 10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37" name="Picture 10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38" name="Picture 10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9525</xdr:colOff>
      <xdr:row>0</xdr:row>
      <xdr:rowOff>9525</xdr:rowOff>
    </xdr:to>
    <xdr:pic>
      <xdr:nvPicPr>
        <xdr:cNvPr id="1039" name="Picture 10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9525</xdr:colOff>
      <xdr:row>0</xdr:row>
      <xdr:rowOff>9525</xdr:rowOff>
    </xdr:to>
    <xdr:pic>
      <xdr:nvPicPr>
        <xdr:cNvPr id="1040" name="Picture 10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9525</xdr:colOff>
      <xdr:row>0</xdr:row>
      <xdr:rowOff>9525</xdr:rowOff>
    </xdr:to>
    <xdr:pic>
      <xdr:nvPicPr>
        <xdr:cNvPr id="1041" name="Picture 10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9525</xdr:colOff>
      <xdr:row>0</xdr:row>
      <xdr:rowOff>9525</xdr:rowOff>
    </xdr:to>
    <xdr:pic>
      <xdr:nvPicPr>
        <xdr:cNvPr id="1042" name="Picture 10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9525</xdr:colOff>
      <xdr:row>0</xdr:row>
      <xdr:rowOff>9525</xdr:rowOff>
    </xdr:to>
    <xdr:pic>
      <xdr:nvPicPr>
        <xdr:cNvPr id="1043" name="Picture 10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9525</xdr:colOff>
      <xdr:row>0</xdr:row>
      <xdr:rowOff>9525</xdr:rowOff>
    </xdr:to>
    <xdr:pic>
      <xdr:nvPicPr>
        <xdr:cNvPr id="1044" name="Picture 10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9525</xdr:colOff>
      <xdr:row>0</xdr:row>
      <xdr:rowOff>9525</xdr:rowOff>
    </xdr:to>
    <xdr:pic>
      <xdr:nvPicPr>
        <xdr:cNvPr id="1045" name="Picture 10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6" name="Picture 10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7" name="Picture 10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8" name="Picture 10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49" name="Picture 10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0" name="Picture 10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1" name="Picture 10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52" name="Picture 10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53" name="Picture 10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4" name="Picture 10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5" name="Picture 10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6" name="Picture 10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7" name="Picture 10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8" name="Picture 10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59" name="Picture 10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0" name="Picture 10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1" name="Picture 10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2" name="Picture 10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3" name="Picture 10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4" name="Picture 10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5" name="Picture 10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6" name="Picture 10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67" name="Picture 10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8" name="Picture 10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69" name="Picture 10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0" name="Picture 10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1" name="Picture 10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2" name="Picture 10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3" name="Picture 10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4" name="Picture 10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5" name="Picture 10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76" name="Picture 10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77" name="Picture 10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8" name="Picture 10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79" name="Picture 10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0" name="Picture 10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1" name="Picture 10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2" name="Picture 10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3" name="Picture 10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84" name="Picture 10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85" name="Picture 10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6" name="Picture 10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7" name="Picture 10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8" name="Picture 10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89" name="Picture 10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0" name="Picture 10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1" name="Picture 10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92" name="Picture 10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093" name="Picture 10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4" name="Picture 10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5" name="Picture 10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6" name="Picture 10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7" name="Picture 10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8" name="Picture 10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099" name="Picture 10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0" name="Picture 10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1" name="Picture 1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2" name="Picture 1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3" name="Picture 1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4" name="Picture 1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5" name="Picture 1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6" name="Picture 1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07" name="Picture 1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8" name="Picture 1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09" name="Picture 1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0" name="Picture 1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1" name="Picture 1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2" name="Picture 1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3" name="Picture 1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4" name="Picture 1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5" name="Picture 1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16" name="Picture 1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17" name="Picture 1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8" name="Picture 1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19" name="Picture 1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0" name="Picture 1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1" name="Picture 1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2" name="Picture 1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3" name="Picture 1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24" name="Picture 1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25" name="Picture 1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6" name="Picture 1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7" name="Picture 1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8" name="Picture 1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29" name="Picture 1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0" name="Picture 1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1" name="Picture 1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32" name="Picture 1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33" name="Picture 1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4" name="Picture 1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5" name="Picture 1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6" name="Picture 1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7" name="Picture 1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8" name="Picture 1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39" name="Picture 1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0" name="Picture 1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1" name="Picture 1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2" name="Picture 1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3" name="Picture 1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4" name="Picture 1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5" name="Picture 1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6" name="Picture 1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47" name="Picture 1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8" name="Picture 1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49" name="Picture 1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0" name="Picture 1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1" name="Picture 1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2" name="Picture 1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3" name="Picture 1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4" name="Picture 1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5" name="Picture 1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56" name="Picture 1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57" name="Picture 1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8" name="Picture 1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59" name="Picture 1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0" name="Picture 1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1" name="Picture 1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2" name="Picture 1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3" name="Picture 1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64" name="Picture 1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65" name="Picture 1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6" name="Picture 1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7" name="Picture 1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8" name="Picture 1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69" name="Picture 1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0" name="Picture 1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1" name="Picture 1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72" name="Picture 1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73" name="Picture 1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4" name="Picture 1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5" name="Picture 1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6" name="Picture 1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7" name="Picture 1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8" name="Picture 1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79" name="Picture 1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0" name="Picture 1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1" name="Picture 1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2" name="Picture 1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3" name="Picture 1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4" name="Picture 1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5" name="Picture 1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6" name="Picture 1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87" name="Picture 1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8" name="Picture 1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89" name="Picture 1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0" name="Picture 1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1" name="Picture 1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2" name="Picture 1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3" name="Picture 1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4" name="Picture 1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5" name="Picture 1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96" name="Picture 1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197" name="Picture 1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8" name="Picture 1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199" name="Picture 1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0" name="Picture 1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1" name="Picture 1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2" name="Picture 1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3" name="Picture 1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04" name="Picture 1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05" name="Picture 1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6" name="Picture 1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7" name="Picture 1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8" name="Picture 1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09" name="Picture 1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0" name="Picture 1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1" name="Picture 1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12" name="Picture 1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13" name="Picture 1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4" name="Picture 1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5" name="Picture 1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6" name="Picture 1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7" name="Picture 1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8" name="Picture 1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19" name="Picture 1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0" name="Picture 1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1" name="Picture 1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2" name="Picture 1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3" name="Picture 1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4" name="Picture 1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5" name="Picture 1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6" name="Picture 1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27" name="Picture 1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8" name="Picture 1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29" name="Picture 1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0" name="Picture 1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1" name="Picture 1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32" name="Picture 1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33" name="Picture 1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34" name="Picture 1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35" name="Picture 1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36" name="Picture 1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37" name="Picture 1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8" name="Picture 1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39" name="Picture 1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40" name="Picture 1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41" name="Picture 1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42" name="Picture 1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43" name="Picture 1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44" name="Picture 1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45" name="Picture 1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46" name="Picture 1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47" name="Picture 1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48" name="Picture 1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49" name="Picture 1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50" name="Picture 1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51" name="Picture 1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52" name="Picture 1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53" name="Picture 1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54" name="Picture 1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55" name="Picture 1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56" name="Picture 1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57" name="Picture 1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58" name="Picture 1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59" name="Picture 1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60" name="Picture 1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61" name="Picture 1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62" name="Picture 1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63" name="Picture 1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64" name="Picture 1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65" name="Picture 1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66" name="Picture 1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67" name="Picture 1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68" name="Picture 1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69" name="Picture 1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0" name="Picture 1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1" name="Picture 1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72" name="Picture 1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73" name="Picture 1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74" name="Picture 1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75" name="Picture 1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76" name="Picture 1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77" name="Picture 1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8" name="Picture 1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79" name="Picture 1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80" name="Picture 1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81" name="Picture 1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82" name="Picture 1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83" name="Picture 1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84" name="Picture 1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85" name="Picture 1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86" name="Picture 1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87" name="Picture 1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88" name="Picture 1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89" name="Picture 1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90" name="Picture 1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91" name="Picture 1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292" name="Picture 1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293" name="Picture 1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94" name="Picture 1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295" name="Picture 1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296" name="Picture 1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297" name="Picture 1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298" name="Picture 1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299" name="Picture 1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00" name="Picture 1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01" name="Picture 1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02" name="Picture 1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03" name="Picture 1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04" name="Picture 1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05" name="Picture 1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06" name="Picture 1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07" name="Picture 1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08" name="Picture 1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09" name="Picture 1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0" name="Picture 1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1" name="Picture 1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12" name="Picture 1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13" name="Picture 1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14" name="Picture 1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15" name="Picture 1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16" name="Picture 1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17" name="Picture 1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8" name="Picture 1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19" name="Picture 1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20" name="Picture 1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21" name="Picture 1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22" name="Picture 1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23" name="Picture 1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24" name="Picture 1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25" name="Picture 1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26" name="Picture 1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27" name="Picture 1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28" name="Picture 1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29" name="Picture 1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30" name="Picture 1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31" name="Picture 1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32" name="Picture 1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33" name="Picture 1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34" name="Picture 1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35" name="Picture 1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36" name="Picture 1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37" name="Picture 1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38" name="Picture 1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39" name="Picture 1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40" name="Picture 1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41" name="Picture 1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42" name="Picture 1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43" name="Picture 1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44" name="Picture 1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45" name="Picture 1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46" name="Picture 1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47" name="Picture 1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48" name="Picture 1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49" name="Picture 1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0" name="Picture 1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1" name="Picture 1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52" name="Picture 1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53" name="Picture 1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54" name="Picture 1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55" name="Picture 1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56" name="Picture 1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57" name="Picture 1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8" name="Picture 1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59" name="Picture 1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60" name="Picture 1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61" name="Picture 1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62" name="Picture 1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63" name="Picture 1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64" name="Picture 1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65" name="Picture 1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66" name="Picture 1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67" name="Picture 1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68" name="Picture 1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69" name="Picture 1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70" name="Picture 1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71" name="Picture 1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72" name="Picture 1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73" name="Picture 1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74" name="Picture 1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75" name="Picture 1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76" name="Picture 1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77" name="Picture 1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78" name="Picture 1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79" name="Picture 1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80" name="Picture 1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81" name="Picture 1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82" name="Picture 1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83" name="Picture 1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84" name="Picture 1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85" name="Picture 1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86" name="Picture 1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87" name="Picture 1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88" name="Picture 1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89" name="Picture 1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0" name="Picture 1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1" name="Picture 1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392" name="Picture 1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393" name="Picture 1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394" name="Picture 1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395" name="Picture 1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396" name="Picture 1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397" name="Picture 1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8" name="Picture 1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399" name="Picture 1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400" name="Picture 1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401" name="Picture 1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402" name="Picture 1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403" name="Picture 1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404" name="Picture 1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405" name="Picture 1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6" name="Picture 1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7" name="Picture 1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8" name="Picture 1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09" name="Picture 1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0" name="Picture 1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1" name="Picture 1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2" name="Picture 1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3" name="Picture 1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4" name="Picture 1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5" name="Picture 1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6" name="Picture 1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7" name="Picture 1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8" name="Picture 1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19" name="Picture 1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0" name="Picture 1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1" name="Picture 1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2" name="Picture 1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3" name="Picture 1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4" name="Picture 1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5" name="Picture 1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6" name="Picture 1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7" name="Picture 1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8" name="Picture 1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29" name="Picture 1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0" name="Picture 1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1" name="Picture 1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2" name="Picture 1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3" name="Picture 1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4" name="Picture 1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5" name="Picture 1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6" name="Picture 1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7" name="Picture 1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8" name="Picture 1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39" name="Picture 1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0" name="Picture 1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1" name="Picture 1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2" name="Picture 1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3" name="Picture 1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4" name="Picture 14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5" name="Picture 14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6" name="Picture 14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7" name="Picture 14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8" name="Picture 14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49" name="Picture 14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0" name="Picture 14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1" name="Picture 14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2" name="Picture 14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3" name="Picture 14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4" name="Picture 14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5" name="Picture 14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6" name="Picture 14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7" name="Picture 14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8" name="Picture 14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59" name="Picture 14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0" name="Picture 14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1" name="Picture 14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2" name="Picture 14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3" name="Picture 14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4" name="Picture 14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5" name="Picture 14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6" name="Picture 14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7" name="Picture 14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8" name="Picture 14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69" name="Picture 14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0" name="Picture 14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1" name="Picture 14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2" name="Picture 14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3" name="Picture 14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4" name="Picture 14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5" name="Picture 14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6" name="Picture 14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7" name="Picture 14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8" name="Picture 14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79" name="Picture 14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0" name="Picture 14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1" name="Picture 14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2" name="Picture 14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3" name="Picture 14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4" name="Picture 14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5" name="Picture 14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6" name="Picture 14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7" name="Picture 14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8" name="Picture 14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89" name="Picture 14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0" name="Picture 14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1" name="Picture 14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2" name="Picture 14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3" name="Picture 14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4" name="Picture 14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5" name="Picture 14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6" name="Picture 14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7" name="Picture 14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8" name="Picture 14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499" name="Picture 14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0" name="Picture 14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1" name="Picture 15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2" name="Picture 15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3" name="Picture 15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4" name="Picture 15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5" name="Picture 15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6" name="Picture 15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7" name="Picture 15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8" name="Picture 15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09" name="Picture 15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0" name="Picture 15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1" name="Picture 15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2" name="Picture 15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3" name="Picture 15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4" name="Picture 15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5" name="Picture 15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6" name="Picture 15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7" name="Picture 15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8" name="Picture 15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19" name="Picture 15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0" name="Picture 15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1" name="Picture 15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2" name="Picture 15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3" name="Picture 15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4" name="Picture 15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5" name="Picture 15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6" name="Picture 15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7" name="Picture 15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8" name="Picture 15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29" name="Picture 15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0" name="Picture 15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1" name="Picture 15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2" name="Picture 15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3" name="Picture 15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4" name="Picture 15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5" name="Picture 15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6" name="Picture 15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7" name="Picture 15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8" name="Picture 15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39" name="Picture 15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0" name="Picture 15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1" name="Picture 15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2" name="Picture 15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3" name="Picture 15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4" name="Picture 15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5" name="Picture 15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6" name="Picture 15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7" name="Picture 15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8" name="Picture 15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49" name="Picture 15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0" name="Picture 15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1" name="Picture 15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2" name="Picture 15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3" name="Picture 15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4" name="Picture 15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5" name="Picture 15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6" name="Picture 15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7" name="Picture 15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8" name="Picture 15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59" name="Picture 15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0" name="Picture 15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1" name="Picture 15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2" name="Picture 15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3" name="Picture 15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4" name="Picture 15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5" name="Picture 15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6" name="Picture 15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7" name="Picture 15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8" name="Picture 15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69" name="Picture 15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0" name="Picture 15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1" name="Picture 15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2" name="Picture 15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3" name="Picture 15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4" name="Picture 15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5" name="Picture 15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6" name="Picture 15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7" name="Picture 15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8" name="Picture 15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79" name="Picture 15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0" name="Picture 15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1" name="Picture 15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2" name="Picture 15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3" name="Picture 15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4" name="Picture 15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5" name="Picture 15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6" name="Picture 15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7" name="Picture 15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8" name="Picture 15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89" name="Picture 15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0" name="Picture 15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1" name="Picture 15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2" name="Picture 15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3" name="Picture 15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594" name="Picture 15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595" name="Picture 15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596" name="Picture 15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597" name="Picture 15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8" name="Picture 15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599" name="Picture 15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0" name="Picture 15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1" name="Picture 16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02" name="Picture 16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03" name="Picture 16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04" name="Picture 16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05" name="Picture 16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6" name="Picture 16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7" name="Picture 16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8" name="Picture 16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09" name="Picture 16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10" name="Picture 16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11" name="Picture 16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12" name="Picture 16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13" name="Picture 16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14" name="Picture 16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15" name="Picture 16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16" name="Picture 16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17" name="Picture 16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618" name="Picture 16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619" name="Picture 16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620" name="Picture 16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621" name="Picture 16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22" name="Picture 16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7620</xdr:colOff>
      <xdr:row>0</xdr:row>
      <xdr:rowOff>7620</xdr:rowOff>
    </xdr:to>
    <xdr:pic>
      <xdr:nvPicPr>
        <xdr:cNvPr id="1623" name="Picture 16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0</xdr:rowOff>
    </xdr:from>
    <xdr:to>
      <xdr:col>1</xdr:col>
      <xdr:colOff>7620</xdr:colOff>
      <xdr:row>0</xdr:row>
      <xdr:rowOff>7620</xdr:rowOff>
    </xdr:to>
    <xdr:pic>
      <xdr:nvPicPr>
        <xdr:cNvPr id="1624" name="Picture 16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0</xdr:row>
      <xdr:rowOff>0</xdr:rowOff>
    </xdr:from>
    <xdr:to>
      <xdr:col>2</xdr:col>
      <xdr:colOff>7620</xdr:colOff>
      <xdr:row>0</xdr:row>
      <xdr:rowOff>7620</xdr:rowOff>
    </xdr:to>
    <xdr:pic>
      <xdr:nvPicPr>
        <xdr:cNvPr id="1625" name="Picture 16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7620</xdr:colOff>
      <xdr:row>0</xdr:row>
      <xdr:rowOff>7620</xdr:rowOff>
    </xdr:to>
    <xdr:pic>
      <xdr:nvPicPr>
        <xdr:cNvPr id="1626" name="Picture 16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0</xdr:row>
      <xdr:rowOff>0</xdr:rowOff>
    </xdr:from>
    <xdr:to>
      <xdr:col>4</xdr:col>
      <xdr:colOff>7620</xdr:colOff>
      <xdr:row>0</xdr:row>
      <xdr:rowOff>7620</xdr:rowOff>
    </xdr:to>
    <xdr:pic>
      <xdr:nvPicPr>
        <xdr:cNvPr id="1627" name="Picture 16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0</xdr:row>
      <xdr:rowOff>0</xdr:rowOff>
    </xdr:from>
    <xdr:to>
      <xdr:col>5</xdr:col>
      <xdr:colOff>7620</xdr:colOff>
      <xdr:row>0</xdr:row>
      <xdr:rowOff>7620</xdr:rowOff>
    </xdr:to>
    <xdr:pic>
      <xdr:nvPicPr>
        <xdr:cNvPr id="1628" name="Picture 16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0</xdr:row>
      <xdr:rowOff>0</xdr:rowOff>
    </xdr:from>
    <xdr:to>
      <xdr:col>6</xdr:col>
      <xdr:colOff>7620</xdr:colOff>
      <xdr:row>0</xdr:row>
      <xdr:rowOff>7620</xdr:rowOff>
    </xdr:to>
    <xdr:pic>
      <xdr:nvPicPr>
        <xdr:cNvPr id="1629" name="Picture 16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0</xdr:colOff>
      <xdr:row>28</xdr:row>
      <xdr:rowOff>0</xdr:rowOff>
    </xdr:from>
    <xdr:ext cx="7620" cy="7620"/>
    <xdr:pic>
      <xdr:nvPicPr>
        <xdr:cNvPr id="1630" name="Picture 16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31" name="Picture 16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28</xdr:row>
      <xdr:rowOff>0</xdr:rowOff>
    </xdr:from>
    <xdr:ext cx="7620" cy="7620"/>
    <xdr:pic>
      <xdr:nvPicPr>
        <xdr:cNvPr id="1632" name="Picture 16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28</xdr:row>
      <xdr:rowOff>0</xdr:rowOff>
    </xdr:from>
    <xdr:ext cx="7620" cy="7620"/>
    <xdr:pic>
      <xdr:nvPicPr>
        <xdr:cNvPr id="1633" name="Picture 16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xdr:row>
      <xdr:rowOff>0</xdr:rowOff>
    </xdr:from>
    <xdr:ext cx="7620" cy="7620"/>
    <xdr:pic>
      <xdr:nvPicPr>
        <xdr:cNvPr id="1634" name="Picture 16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xdr:row>
      <xdr:rowOff>0</xdr:rowOff>
    </xdr:from>
    <xdr:ext cx="7620" cy="7620"/>
    <xdr:pic>
      <xdr:nvPicPr>
        <xdr:cNvPr id="1635" name="Picture 16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28</xdr:row>
      <xdr:rowOff>0</xdr:rowOff>
    </xdr:from>
    <xdr:ext cx="7620" cy="7620"/>
    <xdr:pic>
      <xdr:nvPicPr>
        <xdr:cNvPr id="1636" name="Picture 16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28</xdr:row>
      <xdr:rowOff>0</xdr:rowOff>
    </xdr:from>
    <xdr:ext cx="7620" cy="7620"/>
    <xdr:pic>
      <xdr:nvPicPr>
        <xdr:cNvPr id="1637" name="Picture 16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38" name="Picture 16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39" name="Picture 16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28</xdr:row>
      <xdr:rowOff>0</xdr:rowOff>
    </xdr:from>
    <xdr:ext cx="7620" cy="7620"/>
    <xdr:pic>
      <xdr:nvPicPr>
        <xdr:cNvPr id="1640" name="Picture 16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28</xdr:row>
      <xdr:rowOff>0</xdr:rowOff>
    </xdr:from>
    <xdr:ext cx="7620" cy="7620"/>
    <xdr:pic>
      <xdr:nvPicPr>
        <xdr:cNvPr id="1641" name="Picture 16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xdr:row>
      <xdr:rowOff>0</xdr:rowOff>
    </xdr:from>
    <xdr:ext cx="7620" cy="7620"/>
    <xdr:pic>
      <xdr:nvPicPr>
        <xdr:cNvPr id="1642" name="Picture 16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xdr:row>
      <xdr:rowOff>0</xdr:rowOff>
    </xdr:from>
    <xdr:ext cx="7620" cy="7620"/>
    <xdr:pic>
      <xdr:nvPicPr>
        <xdr:cNvPr id="1643" name="Picture 16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28</xdr:row>
      <xdr:rowOff>0</xdr:rowOff>
    </xdr:from>
    <xdr:ext cx="7620" cy="7620"/>
    <xdr:pic>
      <xdr:nvPicPr>
        <xdr:cNvPr id="1644" name="Picture 16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28</xdr:row>
      <xdr:rowOff>0</xdr:rowOff>
    </xdr:from>
    <xdr:ext cx="7620" cy="7620"/>
    <xdr:pic>
      <xdr:nvPicPr>
        <xdr:cNvPr id="1645" name="Picture 16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46" name="Picture 16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47" name="Picture 16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28</xdr:row>
      <xdr:rowOff>0</xdr:rowOff>
    </xdr:from>
    <xdr:ext cx="7620" cy="7620"/>
    <xdr:pic>
      <xdr:nvPicPr>
        <xdr:cNvPr id="1648" name="Picture 16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28</xdr:row>
      <xdr:rowOff>0</xdr:rowOff>
    </xdr:from>
    <xdr:ext cx="7620" cy="7620"/>
    <xdr:pic>
      <xdr:nvPicPr>
        <xdr:cNvPr id="1649" name="Picture 16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xdr:row>
      <xdr:rowOff>0</xdr:rowOff>
    </xdr:from>
    <xdr:ext cx="7620" cy="7620"/>
    <xdr:pic>
      <xdr:nvPicPr>
        <xdr:cNvPr id="1650" name="Picture 16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xdr:row>
      <xdr:rowOff>0</xdr:rowOff>
    </xdr:from>
    <xdr:ext cx="7620" cy="7620"/>
    <xdr:pic>
      <xdr:nvPicPr>
        <xdr:cNvPr id="1651" name="Picture 16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28</xdr:row>
      <xdr:rowOff>0</xdr:rowOff>
    </xdr:from>
    <xdr:ext cx="7620" cy="7620"/>
    <xdr:pic>
      <xdr:nvPicPr>
        <xdr:cNvPr id="1652" name="Picture 16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28</xdr:row>
      <xdr:rowOff>0</xdr:rowOff>
    </xdr:from>
    <xdr:ext cx="7620" cy="7620"/>
    <xdr:pic>
      <xdr:nvPicPr>
        <xdr:cNvPr id="1653" name="Picture 16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54" name="Picture 16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55" name="Picture 16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28</xdr:row>
      <xdr:rowOff>0</xdr:rowOff>
    </xdr:from>
    <xdr:ext cx="7620" cy="7620"/>
    <xdr:pic>
      <xdr:nvPicPr>
        <xdr:cNvPr id="1656" name="Picture 16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28</xdr:row>
      <xdr:rowOff>0</xdr:rowOff>
    </xdr:from>
    <xdr:ext cx="7620" cy="7620"/>
    <xdr:pic>
      <xdr:nvPicPr>
        <xdr:cNvPr id="1657" name="Picture 16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xdr:row>
      <xdr:rowOff>0</xdr:rowOff>
    </xdr:from>
    <xdr:ext cx="7620" cy="7620"/>
    <xdr:pic>
      <xdr:nvPicPr>
        <xdr:cNvPr id="1658" name="Picture 16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xdr:row>
      <xdr:rowOff>0</xdr:rowOff>
    </xdr:from>
    <xdr:ext cx="7620" cy="7620"/>
    <xdr:pic>
      <xdr:nvPicPr>
        <xdr:cNvPr id="1659" name="Picture 16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0</xdr:colOff>
      <xdr:row>28</xdr:row>
      <xdr:rowOff>0</xdr:rowOff>
    </xdr:from>
    <xdr:ext cx="7620" cy="7620"/>
    <xdr:pic>
      <xdr:nvPicPr>
        <xdr:cNvPr id="1660" name="Picture 16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28</xdr:row>
      <xdr:rowOff>0</xdr:rowOff>
    </xdr:from>
    <xdr:ext cx="7620" cy="7620"/>
    <xdr:pic>
      <xdr:nvPicPr>
        <xdr:cNvPr id="1661" name="Picture 16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62" name="Picture 16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0</xdr:colOff>
      <xdr:row>28</xdr:row>
      <xdr:rowOff>0</xdr:rowOff>
    </xdr:from>
    <xdr:ext cx="7620" cy="7620"/>
    <xdr:pic>
      <xdr:nvPicPr>
        <xdr:cNvPr id="1663" name="Picture 16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0</xdr:colOff>
      <xdr:row>28</xdr:row>
      <xdr:rowOff>0</xdr:rowOff>
    </xdr:from>
    <xdr:ext cx="7620" cy="7620"/>
    <xdr:pic>
      <xdr:nvPicPr>
        <xdr:cNvPr id="1664" name="Picture 16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28</xdr:row>
      <xdr:rowOff>0</xdr:rowOff>
    </xdr:from>
    <xdr:ext cx="7620" cy="7620"/>
    <xdr:pic>
      <xdr:nvPicPr>
        <xdr:cNvPr id="1665" name="Picture 16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28</xdr:row>
      <xdr:rowOff>0</xdr:rowOff>
    </xdr:from>
    <xdr:ext cx="7620" cy="7620"/>
    <xdr:pic>
      <xdr:nvPicPr>
        <xdr:cNvPr id="1666" name="Picture 16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28</xdr:row>
      <xdr:rowOff>0</xdr:rowOff>
    </xdr:from>
    <xdr:ext cx="7620" cy="7620"/>
    <xdr:pic>
      <xdr:nvPicPr>
        <xdr:cNvPr id="1667" name="Picture 16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0</xdr:colOff>
      <xdr:row>28</xdr:row>
      <xdr:rowOff>0</xdr:rowOff>
    </xdr:from>
    <xdr:to>
      <xdr:col>5</xdr:col>
      <xdr:colOff>7620</xdr:colOff>
      <xdr:row>28</xdr:row>
      <xdr:rowOff>7620</xdr:rowOff>
    </xdr:to>
    <xdr:pic>
      <xdr:nvPicPr>
        <xdr:cNvPr id="1668" name="Picture 16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669" name="Picture 16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70" name="Picture 16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71" name="Picture 16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672" name="Picture 16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673" name="Picture 16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674" name="Picture 16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675" name="Picture 16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676" name="Picture 16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677" name="Picture 16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78" name="Picture 16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79" name="Picture 16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680" name="Picture 16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681" name="Picture 16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682" name="Picture 16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683" name="Picture 16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684" name="Picture 16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685" name="Picture 16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86" name="Picture 16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87" name="Picture 16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688" name="Picture 16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689" name="Picture 16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690" name="Picture 16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691" name="Picture 16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692" name="Picture 16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693" name="Picture 16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94" name="Picture 16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695" name="Picture 16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696" name="Picture 16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697" name="Picture 16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698" name="Picture 16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699" name="Picture 16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700" name="Picture 16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701" name="Picture 17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02" name="Picture 17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03" name="Picture 17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704" name="Picture 17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705" name="Picture 17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706" name="Picture 17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707" name="Picture 17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708" name="Picture 17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709" name="Picture 17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10" name="Picture 17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11" name="Picture 17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712" name="Picture 17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713" name="Picture 17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714" name="Picture 17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715" name="Picture 17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716" name="Picture 17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717" name="Picture 17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18" name="Picture 17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19" name="Picture 17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720" name="Picture 17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721" name="Picture 17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722" name="Picture 17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723" name="Picture 17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724" name="Picture 17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725" name="Picture 17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26" name="Picture 17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727" name="Picture 17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728" name="Picture 17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1729" name="Picture 17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1730" name="Picture 17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1731" name="Picture 17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1732" name="Picture 17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1733" name="Picture 17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34" name="Picture 17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35" name="Picture 17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36" name="Picture 17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37" name="Picture 17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38" name="Picture 17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39" name="Picture 17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40" name="Picture 17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41" name="Picture 17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42" name="Picture 17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43" name="Picture 17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44" name="Picture 17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45" name="Picture 17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46" name="Picture 17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47" name="Picture 17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48" name="Picture 17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49" name="Picture 17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50" name="Picture 17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51" name="Picture 17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52" name="Picture 17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53" name="Picture 17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54" name="Picture 17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55" name="Picture 17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56" name="Picture 17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57" name="Picture 17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58" name="Picture 17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59" name="Picture 17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60" name="Picture 17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61" name="Picture 17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62" name="Picture 17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63" name="Picture 17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64" name="Picture 17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65" name="Picture 17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66" name="Picture 17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67" name="Picture 17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768" name="Picture 17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69" name="Picture 17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70" name="Picture 17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771" name="Picture 17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772" name="Picture 17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73" name="Picture 17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74" name="Picture 17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75" name="Picture 17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776" name="Picture 17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77" name="Picture 17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78" name="Picture 17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779" name="Picture 17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780" name="Picture 17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81" name="Picture 17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82" name="Picture 17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83" name="Picture 17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784" name="Picture 17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85" name="Picture 17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86" name="Picture 17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787" name="Picture 17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788" name="Picture 17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89" name="Picture 17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90" name="Picture 17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91" name="Picture 17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792" name="Picture 17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793" name="Picture 17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794" name="Picture 17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795" name="Picture 17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796" name="Picture 17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97" name="Picture 17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798" name="Picture 17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799" name="Picture 17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00" name="Picture 17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01" name="Picture 18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02" name="Picture 18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03" name="Picture 18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04" name="Picture 18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05" name="Picture 18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06" name="Picture 18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07" name="Picture 18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08" name="Picture 18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09" name="Picture 18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10" name="Picture 18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11" name="Picture 18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12" name="Picture 18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13" name="Picture 18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14" name="Picture 18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15" name="Picture 18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16" name="Picture 18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17" name="Picture 18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18" name="Picture 18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19" name="Picture 18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20" name="Picture 18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21" name="Picture 18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22" name="Picture 18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23" name="Picture 18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24" name="Picture 18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25" name="Picture 18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26" name="Picture 18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27" name="Picture 18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28" name="Picture 18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29" name="Picture 18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30" name="Picture 18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31" name="Picture 18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32" name="Picture 18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33" name="Picture 18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34" name="Picture 18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35" name="Picture 18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36" name="Picture 18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37" name="Picture 18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38" name="Picture 18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39" name="Picture 18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40" name="Picture 18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41" name="Picture 18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42" name="Picture 18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43" name="Picture 18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44" name="Picture 18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45" name="Picture 18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46" name="Picture 18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47" name="Picture 18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48" name="Picture 18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49" name="Picture 18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50" name="Picture 18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51" name="Picture 18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52" name="Picture 18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9525</xdr:colOff>
      <xdr:row>28</xdr:row>
      <xdr:rowOff>9525</xdr:rowOff>
    </xdr:to>
    <xdr:pic>
      <xdr:nvPicPr>
        <xdr:cNvPr id="1853" name="Picture 18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9525</xdr:colOff>
      <xdr:row>28</xdr:row>
      <xdr:rowOff>9525</xdr:rowOff>
    </xdr:to>
    <xdr:pic>
      <xdr:nvPicPr>
        <xdr:cNvPr id="1854" name="Picture 18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9525</xdr:colOff>
      <xdr:row>28</xdr:row>
      <xdr:rowOff>9525</xdr:rowOff>
    </xdr:to>
    <xdr:pic>
      <xdr:nvPicPr>
        <xdr:cNvPr id="1855" name="Picture 18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9525</xdr:colOff>
      <xdr:row>28</xdr:row>
      <xdr:rowOff>9525</xdr:rowOff>
    </xdr:to>
    <xdr:pic>
      <xdr:nvPicPr>
        <xdr:cNvPr id="1856" name="Picture 18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9525</xdr:colOff>
      <xdr:row>28</xdr:row>
      <xdr:rowOff>9525</xdr:rowOff>
    </xdr:to>
    <xdr:pic>
      <xdr:nvPicPr>
        <xdr:cNvPr id="1857" name="Picture 18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9525</xdr:colOff>
      <xdr:row>28</xdr:row>
      <xdr:rowOff>9525</xdr:rowOff>
    </xdr:to>
    <xdr:pic>
      <xdr:nvPicPr>
        <xdr:cNvPr id="1858" name="Picture 18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9525</xdr:colOff>
      <xdr:row>28</xdr:row>
      <xdr:rowOff>9525</xdr:rowOff>
    </xdr:to>
    <xdr:pic>
      <xdr:nvPicPr>
        <xdr:cNvPr id="1859" name="Picture 18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0" name="Picture 18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1" name="Picture 18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2" name="Picture 18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3" name="Picture 18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4" name="Picture 18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5" name="Picture 18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66" name="Picture 18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67" name="Picture 18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8" name="Picture 18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69" name="Picture 18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0" name="Picture 18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1" name="Picture 18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2" name="Picture 18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3" name="Picture 18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74" name="Picture 18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75" name="Picture 18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6" name="Picture 18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7" name="Picture 18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8" name="Picture 18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79" name="Picture 18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0" name="Picture 18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1" name="Picture 18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82" name="Picture 18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83" name="Picture 18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4" name="Picture 18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5" name="Picture 18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6" name="Picture 18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7" name="Picture 18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8" name="Picture 18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89" name="Picture 18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90" name="Picture 18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91" name="Picture 18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92" name="Picture 18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93" name="Picture 18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94" name="Picture 18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95" name="Picture 18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96" name="Picture 18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897" name="Picture 18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98" name="Picture 18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899" name="Picture 18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0" name="Picture 18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1" name="Picture 19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2" name="Picture 19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3" name="Picture 19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4" name="Picture 19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5" name="Picture 19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06" name="Picture 19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07" name="Picture 19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8" name="Picture 19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09" name="Picture 19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0" name="Picture 19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1" name="Picture 19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2" name="Picture 19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3" name="Picture 19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14" name="Picture 19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15" name="Picture 19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6" name="Picture 19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7" name="Picture 19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8" name="Picture 19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19" name="Picture 19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0" name="Picture 19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1" name="Picture 19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22" name="Picture 19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23" name="Picture 19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4" name="Picture 19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5" name="Picture 19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6" name="Picture 19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7" name="Picture 19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8" name="Picture 19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29" name="Picture 19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30" name="Picture 19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31" name="Picture 19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32" name="Picture 19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33" name="Picture 19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34" name="Picture 19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35" name="Picture 19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36" name="Picture 19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37" name="Picture 19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38" name="Picture 19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39" name="Picture 19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0" name="Picture 19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1" name="Picture 19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2" name="Picture 19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3" name="Picture 19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4" name="Picture 19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5" name="Picture 19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46" name="Picture 19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47" name="Picture 19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8" name="Picture 19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49" name="Picture 19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0" name="Picture 19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1" name="Picture 19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2" name="Picture 19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3" name="Picture 19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54" name="Picture 19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55" name="Picture 19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6" name="Picture 19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7" name="Picture 19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8" name="Picture 19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59" name="Picture 19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0" name="Picture 19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1" name="Picture 19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62" name="Picture 19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63" name="Picture 19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4" name="Picture 19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5" name="Picture 19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6" name="Picture 19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7" name="Picture 19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8" name="Picture 19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69" name="Picture 19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70" name="Picture 19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71" name="Picture 19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72" name="Picture 19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73" name="Picture 19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74" name="Picture 19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75" name="Picture 19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76" name="Picture 19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77" name="Picture 19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78" name="Picture 19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79" name="Picture 19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0" name="Picture 19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1" name="Picture 19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2" name="Picture 19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3" name="Picture 19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4" name="Picture 19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5" name="Picture 19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86" name="Picture 19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87" name="Picture 19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8" name="Picture 19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89" name="Picture 19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0" name="Picture 19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1" name="Picture 19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2" name="Picture 19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3" name="Picture 19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94" name="Picture 19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1995" name="Picture 19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6" name="Picture 19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7" name="Picture 19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8" name="Picture 19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1999" name="Picture 19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0" name="Picture 19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1" name="Picture 20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02" name="Picture 20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03" name="Picture 20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4" name="Picture 20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5" name="Picture 20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6" name="Picture 20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7" name="Picture 20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8" name="Picture 20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09" name="Picture 20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10" name="Picture 20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11" name="Picture 20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12" name="Picture 20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13" name="Picture 20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14" name="Picture 20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15" name="Picture 20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16" name="Picture 20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17" name="Picture 20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18" name="Picture 20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19" name="Picture 20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0" name="Picture 20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1" name="Picture 20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2" name="Picture 20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3" name="Picture 20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4" name="Picture 20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5" name="Picture 20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26" name="Picture 20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27" name="Picture 20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8" name="Picture 20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29" name="Picture 20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0" name="Picture 20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1" name="Picture 20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2" name="Picture 20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3" name="Picture 20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34" name="Picture 20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35" name="Picture 20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6" name="Picture 20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7" name="Picture 20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8" name="Picture 20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39" name="Picture 20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40" name="Picture 20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41" name="Picture 20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42" name="Picture 20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43" name="Picture 20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44" name="Picture 20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45" name="Picture 20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46" name="Picture 20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47" name="Picture 20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48" name="Picture 20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49" name="Picture 20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50" name="Picture 20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51" name="Picture 20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52" name="Picture 20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53" name="Picture 20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54" name="Picture 20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55" name="Picture 20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56" name="Picture 20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57" name="Picture 20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58" name="Picture 20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59" name="Picture 20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60" name="Picture 20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61" name="Picture 20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62" name="Picture 20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63" name="Picture 20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64" name="Picture 20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65" name="Picture 20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66" name="Picture 20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67" name="Picture 20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68" name="Picture 20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69" name="Picture 20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70" name="Picture 20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71" name="Picture 20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72" name="Picture 20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73" name="Picture 20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74" name="Picture 20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75" name="Picture 20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76" name="Picture 20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77" name="Picture 20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78" name="Picture 20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79" name="Picture 20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80" name="Picture 20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81" name="Picture 20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82" name="Picture 20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83" name="Picture 20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84" name="Picture 20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85" name="Picture 20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86" name="Picture 20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87" name="Picture 20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88" name="Picture 20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89" name="Picture 20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90" name="Picture 20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91" name="Picture 20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92" name="Picture 20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093" name="Picture 20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094" name="Picture 20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095" name="Picture 20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096" name="Picture 20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097" name="Picture 20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098" name="Picture 20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099" name="Picture 20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00" name="Picture 20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01" name="Picture 21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02" name="Picture 21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03" name="Picture 21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04" name="Picture 21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05" name="Picture 21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06" name="Picture 21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07" name="Picture 21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08" name="Picture 21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09" name="Picture 21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10" name="Picture 21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11" name="Picture 21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12" name="Picture 21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13" name="Picture 21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14" name="Picture 21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15" name="Picture 21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16" name="Picture 21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17" name="Picture 21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18" name="Picture 21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19" name="Picture 21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20" name="Picture 21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21" name="Picture 21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22" name="Picture 21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23" name="Picture 21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24" name="Picture 21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25" name="Picture 21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26" name="Picture 21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27" name="Picture 21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28" name="Picture 21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29" name="Picture 21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30" name="Picture 21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31" name="Picture 21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32" name="Picture 21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33" name="Picture 21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34" name="Picture 21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35" name="Picture 21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36" name="Picture 21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37" name="Picture 21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38" name="Picture 21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39" name="Picture 21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40" name="Picture 21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41" name="Picture 21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42" name="Picture 21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43" name="Picture 21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44" name="Picture 21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45" name="Picture 21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46" name="Picture 21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47" name="Picture 21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48" name="Picture 21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49" name="Picture 21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50" name="Picture 21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51" name="Picture 21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52" name="Picture 21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53" name="Picture 21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54" name="Picture 21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55" name="Picture 21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56" name="Picture 21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57" name="Picture 21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58" name="Picture 21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59" name="Picture 21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60" name="Picture 21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61" name="Picture 21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62" name="Picture 21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63" name="Picture 21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64" name="Picture 21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65" name="Picture 21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66" name="Picture 21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67" name="Picture 21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68" name="Picture 21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69" name="Picture 21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70" name="Picture 21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71" name="Picture 21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72" name="Picture 21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73" name="Picture 21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74" name="Picture 21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75" name="Picture 21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76" name="Picture 21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77" name="Picture 21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78" name="Picture 21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79" name="Picture 21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80" name="Picture 21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81" name="Picture 21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82" name="Picture 21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83" name="Picture 21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84" name="Picture 21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85" name="Picture 21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86" name="Picture 21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87" name="Picture 21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88" name="Picture 21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89" name="Picture 21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90" name="Picture 21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91" name="Picture 21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192" name="Picture 21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193" name="Picture 21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194" name="Picture 21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195" name="Picture 21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96" name="Picture 21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197" name="Picture 21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198" name="Picture 21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199" name="Picture 21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200" name="Picture 21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201" name="Picture 22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202" name="Picture 22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203" name="Picture 22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04" name="Picture 22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05" name="Picture 22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206" name="Picture 22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207" name="Picture 22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208" name="Picture 22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209" name="Picture 22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210" name="Picture 22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211" name="Picture 22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12" name="Picture 22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13" name="Picture 22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214" name="Picture 22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215" name="Picture 22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216" name="Picture 22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217" name="Picture 22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218" name="Picture 22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219" name="Picture 22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0" name="Picture 22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1" name="Picture 22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2" name="Picture 22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3" name="Picture 22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4" name="Picture 22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5" name="Picture 22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6" name="Picture 22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7" name="Picture 22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8" name="Picture 22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29" name="Picture 22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0" name="Picture 22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1" name="Picture 22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2" name="Picture 22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3" name="Picture 22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4" name="Picture 22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5" name="Picture 22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6" name="Picture 22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7" name="Picture 22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8" name="Picture 22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39" name="Picture 22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0" name="Picture 22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1" name="Picture 22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2" name="Picture 22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3" name="Picture 22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4" name="Picture 22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5" name="Picture 22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6" name="Picture 22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7" name="Picture 22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8" name="Picture 22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49" name="Picture 22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0" name="Picture 22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1" name="Picture 22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2" name="Picture 22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3" name="Picture 22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4" name="Picture 22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5" name="Picture 22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6" name="Picture 22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7" name="Picture 22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8" name="Picture 22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59" name="Picture 22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0" name="Picture 22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1" name="Picture 22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2" name="Picture 22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3" name="Picture 22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4" name="Picture 22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5" name="Picture 22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6" name="Picture 22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7" name="Picture 22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8" name="Picture 22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69" name="Picture 22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0" name="Picture 22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1" name="Picture 22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2" name="Picture 22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3" name="Picture 22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4" name="Picture 22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5" name="Picture 22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6" name="Picture 22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7" name="Picture 22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8" name="Picture 22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79" name="Picture 22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0" name="Picture 22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1" name="Picture 22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2" name="Picture 22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3" name="Picture 22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4" name="Picture 22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5" name="Picture 22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6" name="Picture 22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7" name="Picture 22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8" name="Picture 22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89" name="Picture 22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0" name="Picture 22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1" name="Picture 22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2" name="Picture 22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3" name="Picture 22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4" name="Picture 22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5" name="Picture 22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6" name="Picture 22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7" name="Picture 22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8" name="Picture 22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299" name="Picture 22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0" name="Picture 22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1" name="Picture 23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2" name="Picture 23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3" name="Picture 23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4" name="Picture 23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5" name="Picture 23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6" name="Picture 23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7" name="Picture 23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8" name="Picture 23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09" name="Picture 23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0" name="Picture 23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1" name="Picture 23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2" name="Picture 23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3" name="Picture 23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4" name="Picture 23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5" name="Picture 23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6" name="Picture 23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7" name="Picture 23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8" name="Picture 23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19" name="Picture 23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0" name="Picture 23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1" name="Picture 23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2" name="Picture 23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3" name="Picture 23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4" name="Picture 23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5" name="Picture 23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6" name="Picture 23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7" name="Picture 23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8" name="Picture 23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29" name="Picture 23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0" name="Picture 23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1" name="Picture 23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2" name="Picture 23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3" name="Picture 23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4" name="Picture 23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5" name="Picture 23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6" name="Picture 23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7" name="Picture 23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8" name="Picture 23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39" name="Picture 23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0" name="Picture 23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1" name="Picture 23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2" name="Picture 23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3" name="Picture 23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4" name="Picture 234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5" name="Picture 234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6" name="Picture 234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7" name="Picture 234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8" name="Picture 234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49" name="Picture 234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0" name="Picture 234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1" name="Picture 235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2" name="Picture 235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3" name="Picture 235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4" name="Picture 235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5" name="Picture 235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6" name="Picture 235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7" name="Picture 235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8" name="Picture 235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59" name="Picture 235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0" name="Picture 235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1" name="Picture 236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2" name="Picture 236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3" name="Picture 236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4" name="Picture 236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5" name="Picture 236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6" name="Picture 236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7" name="Picture 236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8" name="Picture 236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69" name="Picture 236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0" name="Picture 236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1" name="Picture 237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2" name="Picture 237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3" name="Picture 237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4" name="Picture 237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5" name="Picture 237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6" name="Picture 237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7" name="Picture 237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8" name="Picture 237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79" name="Picture 237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0" name="Picture 237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1" name="Picture 238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2" name="Picture 238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3" name="Picture 238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4" name="Picture 238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5" name="Picture 238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6" name="Picture 238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7" name="Picture 238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8" name="Picture 238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89" name="Picture 238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0" name="Picture 238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1" name="Picture 239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2" name="Picture 239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3" name="Picture 239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4" name="Picture 239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5" name="Picture 239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6" name="Picture 239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7" name="Picture 239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8" name="Picture 239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399" name="Picture 239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0" name="Picture 239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1" name="Picture 240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2" name="Picture 240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3" name="Picture 240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4" name="Picture 240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5" name="Picture 240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6" name="Picture 240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07" name="Picture 240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08" name="Picture 240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09" name="Picture 240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10" name="Picture 240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11" name="Picture 241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12" name="Picture 241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13" name="Picture 241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14" name="Picture 241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15" name="Picture 241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16" name="Picture 241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17" name="Picture 241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18" name="Picture 241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19" name="Picture 241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20" name="Picture 241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21" name="Picture 242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22" name="Picture 242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23" name="Picture 242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24" name="Picture 242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25" name="Picture 242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26" name="Picture 242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27" name="Picture 242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28" name="Picture 242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29" name="Picture 242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30" name="Picture 242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31" name="Picture 243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432" name="Picture 243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433" name="Picture 243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434" name="Picture 2433"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435" name="Picture 2434"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36" name="Picture 2435"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28</xdr:row>
      <xdr:rowOff>0</xdr:rowOff>
    </xdr:from>
    <xdr:to>
      <xdr:col>0</xdr:col>
      <xdr:colOff>7620</xdr:colOff>
      <xdr:row>28</xdr:row>
      <xdr:rowOff>7620</xdr:rowOff>
    </xdr:to>
    <xdr:pic>
      <xdr:nvPicPr>
        <xdr:cNvPr id="2437" name="Picture 2436"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28</xdr:row>
      <xdr:rowOff>0</xdr:rowOff>
    </xdr:from>
    <xdr:to>
      <xdr:col>1</xdr:col>
      <xdr:colOff>7620</xdr:colOff>
      <xdr:row>28</xdr:row>
      <xdr:rowOff>7620</xdr:rowOff>
    </xdr:to>
    <xdr:pic>
      <xdr:nvPicPr>
        <xdr:cNvPr id="2438" name="Picture 2437"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20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28</xdr:row>
      <xdr:rowOff>0</xdr:rowOff>
    </xdr:from>
    <xdr:to>
      <xdr:col>2</xdr:col>
      <xdr:colOff>7620</xdr:colOff>
      <xdr:row>28</xdr:row>
      <xdr:rowOff>7620</xdr:rowOff>
    </xdr:to>
    <xdr:pic>
      <xdr:nvPicPr>
        <xdr:cNvPr id="2439" name="Picture 2438"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8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28</xdr:row>
      <xdr:rowOff>0</xdr:rowOff>
    </xdr:from>
    <xdr:to>
      <xdr:col>3</xdr:col>
      <xdr:colOff>7620</xdr:colOff>
      <xdr:row>28</xdr:row>
      <xdr:rowOff>7620</xdr:rowOff>
    </xdr:to>
    <xdr:pic>
      <xdr:nvPicPr>
        <xdr:cNvPr id="2440" name="Picture 2439"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28</xdr:row>
      <xdr:rowOff>0</xdr:rowOff>
    </xdr:from>
    <xdr:to>
      <xdr:col>4</xdr:col>
      <xdr:colOff>7620</xdr:colOff>
      <xdr:row>28</xdr:row>
      <xdr:rowOff>7620</xdr:rowOff>
    </xdr:to>
    <xdr:pic>
      <xdr:nvPicPr>
        <xdr:cNvPr id="2441" name="Picture 2440"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28</xdr:row>
      <xdr:rowOff>0</xdr:rowOff>
    </xdr:from>
    <xdr:to>
      <xdr:col>5</xdr:col>
      <xdr:colOff>7620</xdr:colOff>
      <xdr:row>28</xdr:row>
      <xdr:rowOff>7620</xdr:rowOff>
    </xdr:to>
    <xdr:pic>
      <xdr:nvPicPr>
        <xdr:cNvPr id="2442" name="Picture 2441"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3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28</xdr:row>
      <xdr:rowOff>0</xdr:rowOff>
    </xdr:from>
    <xdr:to>
      <xdr:col>6</xdr:col>
      <xdr:colOff>7620</xdr:colOff>
      <xdr:row>28</xdr:row>
      <xdr:rowOff>7620</xdr:rowOff>
    </xdr:to>
    <xdr:pic>
      <xdr:nvPicPr>
        <xdr:cNvPr id="2443" name="Picture 2442" descr="https://portal.hcbo.com/wps/PA_hcbo/images/blank.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5100" y="65659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71</xdr:row>
      <xdr:rowOff>0</xdr:rowOff>
    </xdr:from>
    <xdr:to>
      <xdr:col>6</xdr:col>
      <xdr:colOff>2004060</xdr:colOff>
      <xdr:row>86</xdr:row>
      <xdr:rowOff>199644</xdr:rowOff>
    </xdr:to>
    <xdr:pic>
      <xdr:nvPicPr>
        <xdr:cNvPr id="2444" name="Picture 2443"/>
        <xdr:cNvPicPr>
          <a:picLocks noChangeAspect="1"/>
        </xdr:cNvPicPr>
      </xdr:nvPicPr>
      <xdr:blipFill>
        <a:blip xmlns:r="http://schemas.openxmlformats.org/officeDocument/2006/relationships" r:embed="rId2"/>
        <a:stretch>
          <a:fillRect/>
        </a:stretch>
      </xdr:blipFill>
      <xdr:spPr>
        <a:xfrm>
          <a:off x="7848600" y="15415260"/>
          <a:ext cx="8016240" cy="48097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NEdQMk44OTA1MDAzMC8yOTI2MTYxODk4MDMvY2xhaW1OdW1iZXIvMjcxNTEyNTMwMDc0MDAvc3BmX3N0cnV0c0FjdGlvbi8hMmZjbGFpbXMhMmZ2aWV3RGV0YWlscy5kby9zcGZfQWN0aW9uTmFtZS9zcGZfQWN0aW9uTGlzdGVuZXI!/" TargetMode="External"/><Relationship Id="rId13"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S0dQMk44OTA1MDAzNS8yOTI2MTYxODk4MDkvY2xhaW1OdW1iZXIvMjAxNDM2NTA3MzEzMDAvc3BmX3N0cnV0c0FjdGlvbi8hMmZjbGFpbXMhMmZ2aWV3RGV0YWlscy5kby9zcGZfQWN0aW9uTmFtZS9zcGZfQWN0aW9uTGlzdGVuZXI!/" TargetMode="External"/><Relationship Id="rId18" Type="http://schemas.openxmlformats.org/officeDocument/2006/relationships/hyperlink" Target="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cDNzVDc2ODIyMDAzMS8yOTI2MTY4ODA1ODUvY2xhaW1OdW1iZXIvMjYxNDMzMDc0MzY1MDAvc3BmX3N0cnV0c0FjdGlvbi8hMmZjbGFpbXMhMmZ2aWV3RGV0YWlscy5kby9zcGZfQWN0aW9uTmFtZS9zcGZfQWN0aW9uTGlzdGVuZXI!/" TargetMode="External"/><Relationship Id="rId3"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2hHUDJOODkwNTAwMjQvMjkyNjE2MTg5Nzk5L3JldmVyc2VTb3J0L3NvcnRPbi82L3NwZl9zdHJ1dHNBY3Rpb24vITJmY2xhaW1zITJmYnJvd3NlQ2xhaW1zLmRvL3NwZl9BY3Rpb25OYW1lL3NwZl9BY3Rpb25MaXN0ZW5lcg!!/" TargetMode="External"/><Relationship Id="rId7"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aUdQMk44OTA1MDAyOS8yOTI2MTYxODk4MDIvY2xhaW1OdW1iZXIvMjcxNTEyMTEwOTI3MDAvc3BmX3N0cnV0c0FjdGlvbi8hMmZjbGFpbXMhMmZ2aWV3RGV0YWlscy5kby9zcGZfQWN0aW9uTmFtZS9zcGZfQWN0aW9uTGlzdGVuZXI!/" TargetMode="External"/><Relationship Id="rId12"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OEdQMk44OTA1MDAzNC8yOTI2MTYxODk4MDgvY2xhaW1OdW1iZXIvMjcxNTA4NDA1OTY2MDAvc3BmX3N0cnV0c0FjdGlvbi8hMmZjbGFpbXMhMmZ2aWV3RGV0YWlscy5kby9zcGZfQWN0aW9uTmFtZS9zcGZfQWN0aW9uTGlzdGVuZXI!/" TargetMode="External"/><Relationship Id="rId17" Type="http://schemas.openxmlformats.org/officeDocument/2006/relationships/hyperlink" Target="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QzNzVDc2ODIyMDAzMC8yOTI2MTY4ODA1ODQvY2xhaW1OdW1iZXIvMjAxNDMzNzA4MDI0MDAvc3BmX3N0cnV0c0FjdGlvbi8hMmZjbGFpbXMhMmZ2aWV3RGV0YWlscy5kby9zcGZfQWN0aW9uTmFtZS9zcGZfQWN0aW9uTGlzdGVuZXI!/" TargetMode="External"/><Relationship Id="rId2"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2JHUDJOODkwNTAwMjYvMjkyNjE2MTg5ODAwL3JldmVyc2VTb3J0L3NvcnRPbi8xL3NwZl9zdHJ1dHNBY3Rpb24vITJmY2xhaW1zITJmYnJvd3NlQ2xhaW1zLmRvL3NwZl9BY3Rpb25OYW1lL3NwZl9BY3Rpb25MaXN0ZW5lcg!!/" TargetMode="External"/><Relationship Id="rId16" Type="http://schemas.openxmlformats.org/officeDocument/2006/relationships/hyperlink" Target="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SzNzVDc2ODIyMDAyOS8yOTI2MTY4ODA1ODMvY2xhaW1OdW1iZXIvMjYxNDMzNTQ3NjA2MDAvc3BmX3N0cnV0c0FjdGlvbi8hMmZjbGFpbXMhMmZ2aWV3RGV0YWlscy5kby9zcGZfQWN0aW9uTmFtZS9zcGZfQWN0aW9uTGlzdGVuZXI!/" TargetMode="External"/><Relationship Id="rId20" Type="http://schemas.openxmlformats.org/officeDocument/2006/relationships/drawing" Target="../drawings/drawing1.xml"/><Relationship Id="rId1"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3pHUDJOODkwNTAwMjcvMjkyNjE2MTg5ODAwL3JldmVyc2VTb3J0L3NvcnRPbi80L3NwZl9zdHJ1dHNBY3Rpb24vITJmY2xhaW1zITJmYnJvd3NlQ2xhaW1zLmRvL3NwZl9BY3Rpb25OYW1lL3NwZl9BY3Rpb25MaXN0ZW5lcg!!/" TargetMode="External"/><Relationship Id="rId6"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bUdQMk44OTA1MDAyOC8yOTI2MTYxODk4MDEvY2xhaW1OdW1iZXIvMjAxNTEyODE4ODY4MDAvc3BmX3N0cnV0c0FjdGlvbi8hMmZjbGFpbXMhMmZ2aWV3RGV0YWlscy5kby9zcGZfQWN0aW9uTmFtZS9zcGZfQWN0aW9uTGlzdGVuZXI!/" TargetMode="External"/><Relationship Id="rId11"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N0dQMk44OTA1MDAzMy8yOTI2MTYxODk4MDcvY2xhaW1OdW1iZXIvMjAxNTA5MjE0OTI2MDAvc3BmX3N0cnV0c0FjdGlvbi8hMmZjbGFpbXMhMmZ2aWV3RGV0YWlscy5kby9zcGZfQWN0aW9uTmFtZS9zcGZfQWN0aW9uTGlzdGVuZXI!/" TargetMode="External"/><Relationship Id="rId5"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1FHUDJOODkwNTAwMjIvMjkyNjE2MTg5Nzk5L3JldmVyc2VTb3J0L3NvcnRPbi83L3NwZl9zdHJ1dHNBY3Rpb24vITJmY2xhaW1zITJmYnJvd3NlQ2xhaW1zLmRvL3NwZl9BY3Rpb25OYW1lL3NwZl9BY3Rpb25MaXN0ZW5lcg!!/" TargetMode="External"/><Relationship Id="rId15" Type="http://schemas.openxmlformats.org/officeDocument/2006/relationships/hyperlink" Target="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TzNzVDc2ODIyMDAyOC8yOTI2MTY4ODA1ODIvY2xhaW1OdW1iZXIvMjAxNDMzOTA5MjY0MDAvc3BmX3N0cnV0c0FjdGlvbi8hMmZjbGFpbXMhMmZ2aWV3RGV0YWlscy5kby9zcGZfQWN0aW9uTmFtZS9zcGZfQWN0aW9uTGlzdGVuZXI!/" TargetMode="External"/><Relationship Id="rId10"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MEdQMk44OTA1MDAzMi8yOTI2MTYxODk4MDYvY2xhaW1OdW1iZXIvMjYxNTExMTg5NjQ1MDAvc3BmX3N0cnV0c0FjdGlvbi8hMmZjbGFpbXMhMmZ2aWV3RGV0YWlscy5kby9zcGZfQWN0aW9uTmFtZS9zcGZfQWN0aW9uTGlzdGVuZXI!/" TargetMode="External"/><Relationship Id="rId19" Type="http://schemas.openxmlformats.org/officeDocument/2006/relationships/printerSettings" Target="../printerSettings/printerSettings1.bin"/><Relationship Id="rId4"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0FHUDJOODkwNTAwMjMvMjkyNjE2MTg5Nzk5L3JldmVyc2VTb3J0L3NvcnRPbi81L3NwZl9zdHJ1dHNBY3Rpb24vITJmY2xhaW1zITJmYnJvd3NlQ2xhaW1zLmRvL3NwZl9BY3Rpb25OYW1lL3NwZl9BY3Rpb25MaXN0ZW5lcg!!/" TargetMode="External"/><Relationship Id="rId9"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OUdQMk44OTA1MDAzMS8yOTI2MTYxODk4MDUvY2xhaW1OdW1iZXIvMjAxNTExMzEzODg4MDAvc3BmX3N0cnV0c0FjdGlvbi8hMmZjbGFpbXMhMmZ2aWV3RGV0YWlscy5kby9zcGZfQWN0aW9uTmFtZS9zcGZfQWN0aW9uTGlzdGVuZXI!/" TargetMode="External"/><Relationship Id="rId14"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T0dQMk44OTA1MDAzNi8yOTI2MTYxODk4MTAvY2xhaW1OdW1iZXIvMjcxNDM1ODA2MTcwMDAvc3BmX3N0cnV0c0FjdGlvbi8hMmZjbGFpbXMhMmZ2aWV3RGV0YWlscy5kby9zcGZfQWN0aW9uTmFtZS9zcGZfQWN0aW9uTGlzdGVuZX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1BBeUFlMjA1NzAwMzQvMzEzNzM3MjM5NzQ0L2NsYWltTnVtYmVyLzI3MTUzNTcxNjgwNzAwL3NwZl9BY3Rpb25OYW1lL3NwZl9BY3Rpb25MaXN0ZW5lci9zcGZfc3RydXRzQWN0aW9uLyEyZmNsYWltcyEyZnZpZXdEZXRhaWxzLmRv/" TargetMode="External"/><Relationship Id="rId13"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tBeUFlMjA1NzAwMzkvMzEzNzM3MjM5NzUxL2NsYWltTnVtYmVyLzI3MTUzMTQxODcyODAwL3NwZl9BY3Rpb25OYW1lL3NwZl9BY3Rpb25MaXN0ZW5lci9zcGZfc3RydXRzQWN0aW9uLyEyZmNsYWltcyEyZnZpZXdEZXRhaWxzLmRv/" TargetMode="External"/><Relationship Id="rId18"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VBeUFlMjA1NzAwNDQvMzEzNzM3MjM5NzU3L2NsYWltTnVtYmVyLzIwMTUyMTcxMjYwNDAwL3NwZl9BY3Rpb25OYW1lL3NwZl9BY3Rpb25MaXN0ZW5lci9zcGZfc3RydXRzQWN0aW9uLyEyZmNsYWltcyEyZnZpZXdEZXRhaWxzLmRv/" TargetMode="External"/><Relationship Id="rId26"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RBeUFlMjA1NzAwNTIvMzEzNzM3MjM5NzY3L2NsYWltTnVtYmVyLzI3MTUxNDk0NDQ1MDAwL3NwZl9BY3Rpb25OYW1lL3NwZl9BY3Rpb25MaXN0ZW5lci9zcGZfc3RydXRzQWN0aW9uLyEyZmNsYWltcyEyZnZpZXdEZXRhaWxzLmRv/" TargetMode="External"/><Relationship Id="rId3"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2hHUDJOODkwNTAwMjQvMjkyNjE2MTg5Nzk5L3JldmVyc2VTb3J0L3NvcnRPbi82L3NwZl9zdHJ1dHNBY3Rpb24vITJmY2xhaW1zITJmYnJvd3NlQ2xhaW1zLmRvL3NwZl9BY3Rpb25OYW1lL3NwZl9BY3Rpb25MaXN0ZW5lcg!!/" TargetMode="External"/><Relationship Id="rId21"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lBeUFlMjA1NzAwNDcvMzEzNzM3MjM5NzYwL2NsYWltTnVtYmVyLzI3MTUyNTkwNjEwNTAwL3NwZl9BY3Rpb25OYW1lL3NwZl9BY3Rpb25MaXN0ZW5lci9zcGZfc3RydXRzQWN0aW9uLyEyZmNsYWltcyEyZnZpZXdEZXRhaWxzLmRv/" TargetMode="External"/><Relationship Id="rId7"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xBeUFlMjA1NzAwMzMvMzEzNzM3MjM5NzQzL2NsYWltTnVtYmVyLzI2MTUzNDk3ODkzMjAwL3NwZl9BY3Rpb25OYW1lL3NwZl9BY3Rpb25MaXN0ZW5lci9zcGZfc3RydXRzQWN0aW9uLyEyZmNsYWltcyEyZnZpZXdEZXRhaWxzLmRv/" TargetMode="External"/><Relationship Id="rId12"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lBeUFlMjA1NzAwMzgvMzEzNzM3MjM5NzQ5L2NsYWltTnVtYmVyLzIwMTUzNDUxNzExNDAwL3NwZl9BY3Rpb25OYW1lL3NwZl9BY3Rpb25MaXN0ZW5lci9zcGZfc3RydXRzQWN0aW9uLyEyZmNsYWltcyEyZnZpZXdEZXRhaWxzLmRv/" TargetMode="External"/><Relationship Id="rId17"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1pBeUFlMjA1NzAwNDMvMzEzNzM3MjM5NzU2L2NsYWltTnVtYmVyLzI2MTUyMzA4ODg2MjAwL3NwZl9BY3Rpb25OYW1lL3NwZl9BY3Rpb25MaXN0ZW5lci9zcGZfc3RydXRzQWN0aW9uLyEyZmNsYWltcyEyZnZpZXdEZXRhaWxzLmRv/" TargetMode="External"/><Relationship Id="rId25"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VBeUFlMjA1NzAwNTEvMzEzNzM3MjM5NzY2L2NsYWltTnVtYmVyLzIwMTUxNTMxMjkxMzAwL3NwZl9BY3Rpb25OYW1lL3NwZl9BY3Rpb25MaXN0ZW5lci9zcGZfc3RydXRzQWN0aW9uLyEyZmNsYWltcyEyZnZpZXdEZXRhaWxzLmRv/" TargetMode="External"/><Relationship Id="rId2"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2JHUDJOODkwNTAwMjYvMjkyNjE2MTg5ODAwL3JldmVyc2VTb3J0L3NvcnRPbi8xL3NwZl9zdHJ1dHNBY3Rpb24vITJmY2xhaW1zITJmYnJvd3NlQ2xhaW1zLmRvL3NwZl9BY3Rpb25OYW1lL3NwZl9BY3Rpb25MaXN0ZW5lcg!!/" TargetMode="External"/><Relationship Id="rId16"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JBeUFlMjA1NzAwNDIvMzEzNzM3MjM5NzU1L2NsYWltTnVtYmVyLzIwMTUyMzcxODEyMjAwL3NwZl9BY3Rpb25OYW1lL3NwZl9BY3Rpb25MaXN0ZW5lci9zcGZfc3RydXRzQWN0aW9uLyEyZmNsYWltcyEyZnZpZXdEZXRhaWxzLmRv/" TargetMode="External"/><Relationship Id="rId20"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1BeUFlMjA1NzAwNDYvMzEzNzM3MjM5NzU5L2NsYWltTnVtYmVyLzI3MTUyMTAwMzIwMTAwL3NwZl9BY3Rpb25OYW1lL3NwZl9BY3Rpb25MaXN0ZW5lci9zcGZfc3RydXRzQWN0aW9uLyEyZmNsYWltcyEyZnZpZXdEZXRhaWxzLmRv/" TargetMode="External"/><Relationship Id="rId29" Type="http://schemas.openxmlformats.org/officeDocument/2006/relationships/hyperlink" Target="https://portal.hcbo.com/wps/myportal/hcbo/!ut/p/b1/hc3NDkNAFAXgZ_EEc2fGz1iOSpAMQVXNbETaRoifLkRTT1-6x92d5DvnIoUkZoxiHbDBUIHUUM1NXU3NOFTdlpVZcqIndmgAQOxZEDDHy4kJBARdgTwAAGf9OypAL68te4ffqRDLZc7aJSGRK-nUJjTKgiW0RfzM05vDuQDyMNaOOpzdvv4B7ByHkwUbo8gf-xeSK7N2mYtRrzphpv6n5pr2A_bReFE!/dl4/d5/L0lDU0lKSmdwcGlRb0tVUW9LVVFvS1VRIS9ZQVVJQUFJSUlJTU1JQ0tDRUFBSUFDR0lLQUdJT0JKQkpPQkZORk5PRkRMRExPREEvNEczYUQyZ2p2eWhEVXdwTWhRalVvNUNqR3B4eUZCTlNTQSEhL1o3X0EyNFE5TTUwMDBQRzcwSThCR1YyNjAyMEQxL1VpNEJFMTU4MDAzMy8zMTM3Mzk3NjY1MzgvY2xhaW1OdW1iZXIvMjAxNTM0MzE4NzU3MDAvc3BmX0FjdGlvbk5hbWUvc3BmX0FjdGlvbkxpc3RlbmVyL3NwZl9zdHJ1dHNBY3Rpb24vITJmY2xhaW1zITJmdmlld0RldGFpbHMuZG8!/" TargetMode="External"/><Relationship Id="rId1"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3pHUDJOODkwNTAwMjcvMjkyNjE2MTg5ODAwL3JldmVyc2VTb3J0L3NvcnRPbi80L3NwZl9zdHJ1dHNBY3Rpb24vITJmY2xhaW1zITJmYnJvd3NlQ2xhaW1zLmRvL3NwZl9BY3Rpb25OYW1lL3NwZl9BY3Rpb25MaXN0ZW5lcg!!/" TargetMode="External"/><Relationship Id="rId6"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JReUFlMjA1NzAwMzIvMzEzNzM3MjM5NzQyL2NsYWltTnVtYmVyLzIwMTUzNTUzMjU0NjAwL3NwZl9BY3Rpb25OYW1lL3NwZl9BY3Rpb25MaXN0ZW5lci9zcGZfc3RydXRzQWN0aW9uLyEyZmNsYWltcyEyZnZpZXdEZXRhaWxzLmRv/" TargetMode="External"/><Relationship Id="rId11"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1BeUFlMjA1NzAwMzcvMzEzNzM3MjM5NzQ3L2NsYWltTnVtYmVyLzIwMTUzNDMxODc0MDAwL3NwZl9BY3Rpb25OYW1lL3NwZl9BY3Rpb25MaXN0ZW5lci9zcGZfc3RydXRzQWN0aW9uLyEyZmNsYWltcyEyZnZpZXdEZXRhaWxzLmRv/" TargetMode="External"/><Relationship Id="rId24"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dBeUFlMjA1NzAwNTAvMzEzNzM3MjM5NzY1L2NsYWltTnVtYmVyLzI3MTUxOTUwMTM2OTAwL3NwZl9BY3Rpb25OYW1lL3NwZl9BY3Rpb25MaXN0ZW5lci9zcGZfc3RydXRzQWN0aW9uLyEyZmNsYWltcyEyZnZpZXdEZXRhaWxzLmRv/" TargetMode="External"/><Relationship Id="rId5"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1FHUDJOODkwNTAwMjIvMjkyNjE2MTg5Nzk5L3JldmVyc2VTb3J0L3NvcnRPbi83L3NwZl9zdHJ1dHNBY3Rpb24vITJmY2xhaW1zITJmYnJvd3NlQ2xhaW1zLmRvL3NwZl9BY3Rpb25OYW1lL3NwZl9BY3Rpb25MaXN0ZW5lcg!!/" TargetMode="External"/><Relationship Id="rId15"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dBeUFlMjA1NzAwNDEvMzEzNzM3MjM5NzU0L2NsYWltTnVtYmVyLzI3MTUyNDcwMTM5OTAwL3NwZl9BY3Rpb25OYW1lL3NwZl9BY3Rpb25MaXN0ZW5lci9zcGZfc3RydXRzQWN0aW9uLyEyZmNsYWltcyEyZnZpZXdEZXRhaWxzLmRv/" TargetMode="External"/><Relationship Id="rId23"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pBeUFlMjA1NzAwNDkvMzEzNzM3MjM5NzYzL2NsYWltTnVtYmVyLzIwMTUyMDIxMTc2MDAwL3NwZl9BY3Rpb25OYW1lL3NwZl9BY3Rpb25MaXN0ZW5lci9zcGZfc3RydXRzQWN0aW9uLyEyZmNsYWltcyEyZnZpZXdEZXRhaWxzLmRv/" TargetMode="External"/><Relationship Id="rId28"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JBeUFlMjA1NzAwNTQvMzEzNzM3MjM5NzcwL2NsYWltTnVtYmVyLzI3MTUxNjkxNTUyODAwL3NwZl9BY3Rpb25OYW1lL3NwZl9BY3Rpb25MaXN0ZW5lci9zcGZfc3RydXRzQWN0aW9uLyEyZmNsYWltcyEyZnZpZXdEZXRhaWxzLmRv/" TargetMode="External"/><Relationship Id="rId10"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zJBeUFlMjA1NzAwMzYvMzEzNzM3MjM5NzQ3L2NsYWltTnVtYmVyLzIwMTUzMjExNTkwNzAwL3NwZl9BY3Rpb25OYW1lL3NwZl9BY3Rpb25MaXN0ZW5lci9zcGZfc3RydXRzQWN0aW9uLyEyZmNsYWltcyEyZnZpZXdEZXRhaWxzLmRv/" TargetMode="External"/><Relationship Id="rId19"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pBeUFlMjA1NzAwNDUvMzEzNzM3MjM5NzU4L2NsYWltTnVtYmVyLzI3MTUyMTAwMzE5OTAwL3NwZl9BY3Rpb25OYW1lL3NwZl9BY3Rpb25MaXN0ZW5lci9zcGZfc3RydXRzQWN0aW9uLyEyZmNsYWltcyEyZnZpZXdEZXRhaWxzLmRv/" TargetMode="External"/><Relationship Id="rId31" Type="http://schemas.openxmlformats.org/officeDocument/2006/relationships/drawing" Target="../drawings/drawing2.xml"/><Relationship Id="rId4" Type="http://schemas.openxmlformats.org/officeDocument/2006/relationships/hyperlink" Target="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0FHUDJOODkwNTAwMjMvMjkyNjE2MTg5Nzk5L3JldmVyc2VTb3J0L3NvcnRPbi81L3NwZl9zdHJ1dHNBY3Rpb24vITJmY2xhaW1zITJmYnJvd3NlQ2xhaW1zLmRvL3NwZl9BY3Rpb25OYW1lL3NwZl9BY3Rpb25MaXN0ZW5lcg!!/" TargetMode="External"/><Relationship Id="rId9"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zFBeUFlMjA1NzAwMzUvMzEzNzM3MjM5NzQ2L2NsYWltTnVtYmVyLzI3MTUzNTcxNjgwODAwL3NwZl9BY3Rpb25OYW1lL3NwZl9BY3Rpb25MaXN0ZW5lci9zcGZfc3RydXRzQWN0aW9uLyEyZmNsYWltcyEyZnZpZXdEZXRhaWxzLmRv/" TargetMode="External"/><Relationship Id="rId14"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1RBeUFlMjA1NzAwNDAvMzEzNzM3MjM5NzUzL2NsYWltTnVtYmVyLzIwMTUyNTQxMzEzMzAwL3NwZl9BY3Rpb25OYW1lL3NwZl9BY3Rpb25MaXN0ZW5lci9zcGZfc3RydXRzQWN0aW9uLyEyZmNsYWltcyEyZnZpZXdEZXRhaWxzLmRv/" TargetMode="External"/><Relationship Id="rId22"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JBeUFlMjA1NzAwNDgvMzEzNzM3MjM5NzYyL2NsYWltTnVtYmVyLzIwMTUyMTAxNjU2MjAwL3NwZl9BY3Rpb25OYW1lL3NwZl9BY3Rpb25MaXN0ZW5lci9zcGZfc3RydXRzQWN0aW9uLyEyZmNsYWltcyEyZnZpZXdEZXRhaWxzLmRv/" TargetMode="External"/><Relationship Id="rId27" Type="http://schemas.openxmlformats.org/officeDocument/2006/relationships/hyperlink" Target="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NBeUFlMjA1NzAwNTMvMzEzNzM3MjM5NzY5L2NsYWltTnVtYmVyLzIwMTUxNzQyMTk2MDAwL3NwZl9BY3Rpb25OYW1lL3NwZl9BY3Rpb25MaXN0ZW5lci9zcGZfc3RydXRzQWN0aW9uLyEyZmNsYWltcyEyZnZpZXdEZXRhaWxzLmRv/" TargetMode="External"/><Relationship Id="rId30" Type="http://schemas.openxmlformats.org/officeDocument/2006/relationships/hyperlink" Target="https://portal.hcbo.com/wps/myportal/hcbo/!ut/p/b1/hc3NDkNAFAXgZ_EEc2fGz1iOSpAMQVXNbETaRoifLkRTT1-6x92d5DvnIoUkZoxiHbDBUIHUUM1NXU3NOFTdlpVZcqIndmgAQOxZEDDHy4kJBARdgTwAAGf9OypAL68te4ffqRDLZc7aJSGRK-nUJjTKgiW0RfzM05vDuQDyMNaOOpzdvv4B7ByHkwUbo8gf-xeSK7N2mYtRrzphpv6n5pr2A_bReFE!/dl4/d5/L0lDU0lKSmdwcGlRb0tVUW9LVVFvS1VRIS9ZQVVJQUFJSUlJTU1JQ0tDRUFBSUFDR0lLQUdJT0JKQkpPQkZORk5PRkRMRExPREEvNEczYUQyZ2p2eWhEVXdwTWhRalVvNUNqR3B4eUZCTlNTQSEhL1o3X0EyNFE5TTUwMDBQRzcwSThCR1YyNjAyMEQxL0ppNEJFMTU4MDAzNC8zMTM3Mzk3NjY1MzkvY2xhaW1OdW1iZXIvMjAxNTMxNDE4NzEyMDAvc3BmX0FjdGlvbk5hbWUvc3BmX0FjdGlvbkxpc3RlbmVyL3NwZl9zdHJ1dHNBY3Rpb24vITJmY2xhaW1zITJmdmlld0RldGFpbHMuZG8!/"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hyperlink" Target="https://employee.hrcts.com/Dashboard/ExpenseTracker.aspx" TargetMode="External"/><Relationship Id="rId2" Type="http://schemas.openxmlformats.org/officeDocument/2006/relationships/hyperlink" Target="https://employee.hrcts.com/Dashboard/ExpenseTracker.aspx" TargetMode="External"/><Relationship Id="rId1" Type="http://schemas.openxmlformats.org/officeDocument/2006/relationships/hyperlink" Target="https://employee.hrcts.com/Dashboard/ExpenseTracker.aspx" TargetMode="External"/><Relationship Id="rId6" Type="http://schemas.openxmlformats.org/officeDocument/2006/relationships/drawing" Target="../drawings/drawing5.xml"/><Relationship Id="rId5" Type="http://schemas.openxmlformats.org/officeDocument/2006/relationships/hyperlink" Target="https://employee.hrcts.com/Dashboard/ExpenseTracker.aspx" TargetMode="External"/><Relationship Id="rId4" Type="http://schemas.openxmlformats.org/officeDocument/2006/relationships/hyperlink" Target="https://employee.hrcts.com/Dashboard/ExpenseTracker.aspx"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77"/>
  <sheetViews>
    <sheetView topLeftCell="A42" workbookViewId="0">
      <selection activeCell="B26" sqref="B26"/>
    </sheetView>
  </sheetViews>
  <sheetFormatPr defaultColWidth="8.77734375" defaultRowHeight="14.4"/>
  <cols>
    <col min="1" max="1" width="14.109375" customWidth="1"/>
    <col min="2" max="2" width="16.44140625" bestFit="1" customWidth="1"/>
    <col min="3" max="3" width="20.77734375" bestFit="1" customWidth="1"/>
    <col min="4" max="4" width="20.6640625" bestFit="1" customWidth="1"/>
    <col min="5" max="5" width="17.6640625" bestFit="1" customWidth="1"/>
    <col min="6" max="6" width="18.44140625" bestFit="1" customWidth="1"/>
    <col min="7" max="7" width="16.77734375" customWidth="1"/>
    <col min="8" max="8" width="33.44140625" customWidth="1"/>
    <col min="9" max="9" width="14" bestFit="1" customWidth="1"/>
  </cols>
  <sheetData>
    <row r="2" spans="1:4">
      <c r="A2" s="160" t="s">
        <v>25</v>
      </c>
      <c r="B2" s="160"/>
    </row>
    <row r="3" spans="1:4">
      <c r="A3" s="159" t="s">
        <v>24</v>
      </c>
      <c r="B3" s="159"/>
      <c r="C3">
        <v>18884043721</v>
      </c>
    </row>
    <row r="5" spans="1:4">
      <c r="A5" s="160" t="s">
        <v>9</v>
      </c>
      <c r="B5" s="160"/>
    </row>
    <row r="6" spans="1:4">
      <c r="A6" s="7"/>
      <c r="B6" s="7"/>
    </row>
    <row r="7" spans="1:4">
      <c r="A7" s="9" t="s">
        <v>10</v>
      </c>
      <c r="B7" s="9" t="s">
        <v>11</v>
      </c>
      <c r="C7" s="9" t="s">
        <v>12</v>
      </c>
    </row>
    <row r="8" spans="1:4">
      <c r="A8" s="8" t="s">
        <v>2</v>
      </c>
    </row>
    <row r="9" spans="1:4">
      <c r="A9" s="2">
        <v>42133</v>
      </c>
      <c r="C9" s="4" t="s">
        <v>13</v>
      </c>
      <c r="D9" s="4"/>
    </row>
    <row r="10" spans="1:4">
      <c r="A10" s="2">
        <v>41970</v>
      </c>
      <c r="B10" s="4">
        <v>432.75</v>
      </c>
    </row>
    <row r="11" spans="1:4">
      <c r="A11" s="2">
        <v>41830</v>
      </c>
      <c r="B11" s="4">
        <v>118.53</v>
      </c>
    </row>
    <row r="12" spans="1:4">
      <c r="A12" s="2">
        <v>41704</v>
      </c>
      <c r="B12" s="4">
        <v>328.88</v>
      </c>
    </row>
    <row r="13" spans="1:4">
      <c r="A13" s="2">
        <v>41408</v>
      </c>
      <c r="B13" s="5">
        <v>1471.88</v>
      </c>
    </row>
    <row r="14" spans="1:4">
      <c r="A14" s="2">
        <v>41310</v>
      </c>
      <c r="B14" s="4">
        <v>498.12</v>
      </c>
    </row>
    <row r="15" spans="1:4">
      <c r="A15" s="2">
        <v>41051</v>
      </c>
      <c r="B15" s="4">
        <v>356.81</v>
      </c>
    </row>
    <row r="16" spans="1:4">
      <c r="A16" s="8" t="s">
        <v>14</v>
      </c>
    </row>
    <row r="17" spans="1:8">
      <c r="A17" s="2">
        <v>41704</v>
      </c>
      <c r="B17" s="4">
        <v>64.760000000000005</v>
      </c>
    </row>
    <row r="18" spans="1:8">
      <c r="A18" s="2">
        <v>41408</v>
      </c>
      <c r="B18" s="4">
        <v>755.63</v>
      </c>
    </row>
    <row r="19" spans="1:8">
      <c r="A19" s="8" t="s">
        <v>18</v>
      </c>
    </row>
    <row r="20" spans="1:8">
      <c r="A20" s="2">
        <v>42143</v>
      </c>
      <c r="B20" s="4">
        <v>79.760000000000005</v>
      </c>
    </row>
    <row r="21" spans="1:8">
      <c r="A21" s="2">
        <v>41830</v>
      </c>
      <c r="B21" s="4">
        <v>79.760000000000005</v>
      </c>
    </row>
    <row r="22" spans="1:8">
      <c r="A22" s="2">
        <v>41704</v>
      </c>
      <c r="B22" s="4">
        <v>79.760000000000005</v>
      </c>
    </row>
    <row r="23" spans="1:8">
      <c r="A23" s="8" t="s">
        <v>16</v>
      </c>
      <c r="B23" s="4"/>
    </row>
    <row r="24" spans="1:8">
      <c r="A24" s="2">
        <v>42143</v>
      </c>
      <c r="B24" s="4">
        <v>1434.58</v>
      </c>
      <c r="C24" t="s">
        <v>91</v>
      </c>
    </row>
    <row r="25" spans="1:8">
      <c r="A25" s="2">
        <v>41970</v>
      </c>
      <c r="B25" s="4">
        <v>117.93</v>
      </c>
    </row>
    <row r="26" spans="1:8">
      <c r="A26" s="2">
        <v>41830</v>
      </c>
      <c r="B26" s="5">
        <v>1168.67</v>
      </c>
    </row>
    <row r="27" spans="1:8">
      <c r="A27" s="2">
        <v>41310</v>
      </c>
      <c r="B27" s="4">
        <v>67.8</v>
      </c>
    </row>
    <row r="28" spans="1:8">
      <c r="A28" s="2"/>
      <c r="B28" s="4"/>
    </row>
    <row r="29" spans="1:8">
      <c r="A29" s="160" t="s">
        <v>3</v>
      </c>
      <c r="B29" s="159"/>
    </row>
    <row r="31" spans="1:8">
      <c r="A31" s="9" t="s">
        <v>0</v>
      </c>
      <c r="B31" s="9" t="s">
        <v>1</v>
      </c>
      <c r="C31" s="9" t="s">
        <v>4</v>
      </c>
      <c r="D31" s="9" t="s">
        <v>15</v>
      </c>
      <c r="E31" s="9" t="s">
        <v>5</v>
      </c>
      <c r="F31" s="9" t="s">
        <v>8</v>
      </c>
      <c r="G31" s="9" t="s">
        <v>6</v>
      </c>
      <c r="H31" s="9" t="s">
        <v>23</v>
      </c>
    </row>
    <row r="32" spans="1:8">
      <c r="A32" s="8" t="s">
        <v>2</v>
      </c>
    </row>
    <row r="33" spans="1:8">
      <c r="A33" s="2">
        <v>42122</v>
      </c>
      <c r="B33" s="11" t="s">
        <v>7</v>
      </c>
      <c r="C33" s="11">
        <v>269</v>
      </c>
      <c r="D33" s="11"/>
      <c r="E33" s="11">
        <v>269</v>
      </c>
      <c r="F33" s="11">
        <v>15</v>
      </c>
      <c r="G33" s="11">
        <v>-15</v>
      </c>
    </row>
    <row r="34" spans="1:8">
      <c r="A34" s="8" t="s">
        <v>14</v>
      </c>
    </row>
    <row r="35" spans="1:8" ht="41.4">
      <c r="A35" s="2">
        <v>42107</v>
      </c>
      <c r="B35" s="12" t="s">
        <v>20</v>
      </c>
      <c r="C35" s="11">
        <v>445</v>
      </c>
      <c r="D35" s="11">
        <v>215.1</v>
      </c>
      <c r="E35" s="11">
        <v>150.13999999999999</v>
      </c>
      <c r="F35" s="11">
        <v>15</v>
      </c>
      <c r="G35" s="11">
        <v>64.760000000000005</v>
      </c>
    </row>
    <row r="36" spans="1:8">
      <c r="A36" s="8" t="s">
        <v>18</v>
      </c>
    </row>
    <row r="37" spans="1:8">
      <c r="A37" s="36">
        <v>42084</v>
      </c>
      <c r="B37" s="34" t="s">
        <v>19</v>
      </c>
      <c r="C37" s="34">
        <v>308</v>
      </c>
      <c r="D37" s="34">
        <v>228.24</v>
      </c>
      <c r="E37" s="34"/>
      <c r="F37" s="34"/>
      <c r="G37" s="34">
        <v>79.760000000000005</v>
      </c>
      <c r="H37" s="27"/>
    </row>
    <row r="38" spans="1:8">
      <c r="A38" s="36">
        <v>41992</v>
      </c>
      <c r="B38" s="34" t="s">
        <v>21</v>
      </c>
      <c r="C38" s="34">
        <v>353</v>
      </c>
      <c r="D38" s="34">
        <v>353</v>
      </c>
      <c r="E38" s="34">
        <v>0</v>
      </c>
      <c r="F38" s="34"/>
      <c r="G38" s="34">
        <v>0</v>
      </c>
      <c r="H38" s="27"/>
    </row>
    <row r="39" spans="1:8">
      <c r="A39" s="8" t="s">
        <v>16</v>
      </c>
    </row>
    <row r="40" spans="1:8" ht="28.8">
      <c r="A40" s="33" t="s">
        <v>22</v>
      </c>
      <c r="B40" s="34" t="s">
        <v>17</v>
      </c>
      <c r="C40" s="34">
        <v>1870</v>
      </c>
      <c r="D40" s="34">
        <v>376.97</v>
      </c>
      <c r="E40" s="34"/>
      <c r="F40" s="34"/>
      <c r="G40" s="34">
        <v>1493.03</v>
      </c>
      <c r="H40" s="35" t="s">
        <v>26</v>
      </c>
    </row>
    <row r="41" spans="1:8">
      <c r="A41" s="10"/>
      <c r="B41" s="11"/>
      <c r="C41" s="11"/>
      <c r="D41" s="11"/>
      <c r="E41" s="11"/>
      <c r="F41" s="11"/>
      <c r="G41" s="11"/>
      <c r="H41" s="6"/>
    </row>
    <row r="42" spans="1:8">
      <c r="A42" s="160" t="s">
        <v>30</v>
      </c>
      <c r="B42" s="159"/>
      <c r="C42" s="159"/>
      <c r="D42" s="11"/>
      <c r="E42" s="11"/>
      <c r="F42" s="11"/>
      <c r="G42" s="11"/>
      <c r="H42" s="6"/>
    </row>
    <row r="43" spans="1:8">
      <c r="A43" s="2"/>
    </row>
    <row r="44" spans="1:8">
      <c r="A44" s="23" t="s">
        <v>29</v>
      </c>
      <c r="B44" s="24" t="s">
        <v>40</v>
      </c>
      <c r="C44" s="24" t="s">
        <v>41</v>
      </c>
      <c r="D44" s="24" t="s">
        <v>42</v>
      </c>
      <c r="E44" s="24" t="s">
        <v>43</v>
      </c>
      <c r="F44" s="24" t="s">
        <v>44</v>
      </c>
      <c r="G44" s="24" t="s">
        <v>45</v>
      </c>
      <c r="H44" s="24" t="s">
        <v>64</v>
      </c>
    </row>
    <row r="45" spans="1:8">
      <c r="A45" s="18" t="s">
        <v>27</v>
      </c>
      <c r="B45" s="19" t="s">
        <v>2</v>
      </c>
      <c r="C45" s="20">
        <v>28754</v>
      </c>
      <c r="D45" s="21" t="s">
        <v>46</v>
      </c>
      <c r="E45" s="21" t="s">
        <v>47</v>
      </c>
      <c r="F45" s="19" t="s">
        <v>48</v>
      </c>
      <c r="G45" s="13" t="s">
        <v>49</v>
      </c>
      <c r="H45" s="18" t="s">
        <v>65</v>
      </c>
    </row>
    <row r="46" spans="1:8" ht="22.8">
      <c r="A46" s="22" t="s">
        <v>27</v>
      </c>
      <c r="B46" s="15" t="s">
        <v>2</v>
      </c>
      <c r="C46" s="16">
        <v>28754</v>
      </c>
      <c r="D46" s="17" t="s">
        <v>35</v>
      </c>
      <c r="E46" s="17" t="s">
        <v>36</v>
      </c>
      <c r="F46" s="15" t="s">
        <v>50</v>
      </c>
      <c r="G46" s="14" t="s">
        <v>51</v>
      </c>
      <c r="H46" s="22" t="s">
        <v>66</v>
      </c>
    </row>
    <row r="47" spans="1:8" ht="22.8">
      <c r="A47" s="18" t="s">
        <v>27</v>
      </c>
      <c r="B47" s="19" t="s">
        <v>2</v>
      </c>
      <c r="C47" s="20">
        <v>28754</v>
      </c>
      <c r="D47" s="21" t="s">
        <v>52</v>
      </c>
      <c r="E47" s="21" t="s">
        <v>53</v>
      </c>
      <c r="F47" s="19" t="s">
        <v>50</v>
      </c>
      <c r="G47" s="13" t="s">
        <v>54</v>
      </c>
      <c r="H47" s="18" t="s">
        <v>66</v>
      </c>
    </row>
    <row r="48" spans="1:8">
      <c r="A48" s="22" t="s">
        <v>28</v>
      </c>
      <c r="B48" s="15" t="s">
        <v>55</v>
      </c>
      <c r="C48" s="16">
        <v>40441</v>
      </c>
      <c r="D48" s="17" t="s">
        <v>56</v>
      </c>
      <c r="E48" s="17" t="s">
        <v>57</v>
      </c>
      <c r="F48" s="15" t="s">
        <v>48</v>
      </c>
      <c r="G48" s="14" t="s">
        <v>58</v>
      </c>
      <c r="H48" s="22" t="s">
        <v>66</v>
      </c>
    </row>
    <row r="49" spans="1:9" ht="22.8">
      <c r="A49" s="18" t="s">
        <v>28</v>
      </c>
      <c r="B49" s="19" t="s">
        <v>55</v>
      </c>
      <c r="C49" s="20">
        <v>40441</v>
      </c>
      <c r="D49" s="21" t="s">
        <v>35</v>
      </c>
      <c r="E49" s="21" t="s">
        <v>36</v>
      </c>
      <c r="F49" s="19" t="s">
        <v>50</v>
      </c>
      <c r="G49" s="13" t="s">
        <v>59</v>
      </c>
      <c r="H49" s="18" t="s">
        <v>66</v>
      </c>
    </row>
    <row r="50" spans="1:9">
      <c r="A50" s="28" t="s">
        <v>34</v>
      </c>
      <c r="B50" s="29" t="s">
        <v>31</v>
      </c>
      <c r="C50" s="30">
        <v>40930</v>
      </c>
      <c r="D50" s="31" t="s">
        <v>32</v>
      </c>
      <c r="E50" s="31" t="s">
        <v>33</v>
      </c>
      <c r="F50" s="29" t="s">
        <v>48</v>
      </c>
      <c r="G50" s="32" t="s">
        <v>60</v>
      </c>
      <c r="H50" s="28" t="s">
        <v>66</v>
      </c>
    </row>
    <row r="51" spans="1:9" ht="22.8">
      <c r="A51" s="28" t="s">
        <v>34</v>
      </c>
      <c r="B51" s="29" t="s">
        <v>31</v>
      </c>
      <c r="C51" s="30">
        <v>40930</v>
      </c>
      <c r="D51" s="31" t="s">
        <v>35</v>
      </c>
      <c r="E51" s="31" t="s">
        <v>36</v>
      </c>
      <c r="F51" s="29" t="s">
        <v>50</v>
      </c>
      <c r="G51" s="32" t="s">
        <v>61</v>
      </c>
      <c r="H51" s="28" t="s">
        <v>66</v>
      </c>
    </row>
    <row r="52" spans="1:9">
      <c r="A52" s="28" t="s">
        <v>37</v>
      </c>
      <c r="B52" s="29" t="s">
        <v>31</v>
      </c>
      <c r="C52" s="30">
        <v>40930</v>
      </c>
      <c r="D52" s="31" t="s">
        <v>38</v>
      </c>
      <c r="E52" s="31" t="s">
        <v>33</v>
      </c>
      <c r="F52" s="29" t="s">
        <v>48</v>
      </c>
      <c r="G52" s="32" t="s">
        <v>62</v>
      </c>
      <c r="H52" s="28" t="s">
        <v>66</v>
      </c>
    </row>
    <row r="53" spans="1:9" ht="22.8">
      <c r="A53" s="28" t="s">
        <v>37</v>
      </c>
      <c r="B53" s="29" t="s">
        <v>31</v>
      </c>
      <c r="C53" s="30">
        <v>40930</v>
      </c>
      <c r="D53" s="31" t="s">
        <v>39</v>
      </c>
      <c r="E53" s="31" t="s">
        <v>33</v>
      </c>
      <c r="F53" s="29" t="s">
        <v>50</v>
      </c>
      <c r="G53" s="32" t="s">
        <v>63</v>
      </c>
      <c r="H53" s="28" t="s">
        <v>66</v>
      </c>
    </row>
    <row r="54" spans="1:9">
      <c r="A54" s="28" t="s">
        <v>67</v>
      </c>
      <c r="B54" s="29" t="s">
        <v>16</v>
      </c>
      <c r="C54" s="30">
        <v>30427</v>
      </c>
      <c r="D54" s="31" t="s">
        <v>68</v>
      </c>
      <c r="E54" s="31" t="s">
        <v>69</v>
      </c>
      <c r="F54" s="29" t="s">
        <v>48</v>
      </c>
      <c r="G54" s="32" t="s">
        <v>70</v>
      </c>
      <c r="H54" s="28" t="s">
        <v>66</v>
      </c>
    </row>
    <row r="55" spans="1:9" ht="22.8">
      <c r="A55" s="28" t="s">
        <v>67</v>
      </c>
      <c r="B55" s="29" t="s">
        <v>16</v>
      </c>
      <c r="C55" s="30">
        <v>30427</v>
      </c>
      <c r="D55" s="31" t="s">
        <v>71</v>
      </c>
      <c r="E55" s="31" t="s">
        <v>72</v>
      </c>
      <c r="F55" s="29" t="s">
        <v>50</v>
      </c>
      <c r="G55" s="32" t="s">
        <v>73</v>
      </c>
      <c r="H55" s="28" t="s">
        <v>66</v>
      </c>
    </row>
    <row r="56" spans="1:9">
      <c r="A56" s="28" t="s">
        <v>74</v>
      </c>
      <c r="B56" s="29" t="s">
        <v>16</v>
      </c>
      <c r="C56" s="30">
        <v>30427</v>
      </c>
      <c r="D56" s="31" t="s">
        <v>75</v>
      </c>
      <c r="E56" s="31" t="s">
        <v>33</v>
      </c>
      <c r="F56" s="29" t="s">
        <v>48</v>
      </c>
      <c r="G56" s="32" t="s">
        <v>76</v>
      </c>
      <c r="H56" s="28" t="s">
        <v>66</v>
      </c>
    </row>
    <row r="57" spans="1:9" ht="22.8">
      <c r="A57" s="28" t="s">
        <v>74</v>
      </c>
      <c r="B57" s="29" t="s">
        <v>16</v>
      </c>
      <c r="C57" s="30">
        <v>30427</v>
      </c>
      <c r="D57" s="31" t="s">
        <v>77</v>
      </c>
      <c r="E57" s="31" t="s">
        <v>78</v>
      </c>
      <c r="F57" s="29" t="s">
        <v>50</v>
      </c>
      <c r="G57" s="32" t="s">
        <v>79</v>
      </c>
      <c r="H57" s="28" t="s">
        <v>66</v>
      </c>
    </row>
    <row r="59" spans="1:9">
      <c r="A59" s="160" t="s">
        <v>80</v>
      </c>
      <c r="B59" s="159"/>
      <c r="C59" s="159"/>
    </row>
    <row r="61" spans="1:9">
      <c r="A61" s="9" t="s">
        <v>10</v>
      </c>
      <c r="B61" s="9" t="s">
        <v>82</v>
      </c>
      <c r="C61" s="9" t="s">
        <v>0</v>
      </c>
      <c r="D61" s="9" t="s">
        <v>83</v>
      </c>
      <c r="E61" s="9" t="s">
        <v>86</v>
      </c>
      <c r="F61" s="9" t="s">
        <v>84</v>
      </c>
      <c r="G61" s="9" t="s">
        <v>87</v>
      </c>
      <c r="H61" s="9" t="s">
        <v>81</v>
      </c>
      <c r="I61" s="9" t="s">
        <v>88</v>
      </c>
    </row>
    <row r="62" spans="1:9">
      <c r="A62" s="1">
        <v>42135</v>
      </c>
      <c r="B62" t="s">
        <v>55</v>
      </c>
      <c r="C62" s="1">
        <v>42107</v>
      </c>
      <c r="D62" s="3">
        <v>79.760000000000005</v>
      </c>
      <c r="E62" s="3">
        <f>79.76+55.14</f>
        <v>134.9</v>
      </c>
      <c r="F62" s="3">
        <v>59.82</v>
      </c>
      <c r="G62" s="3">
        <f>41.36+59.82</f>
        <v>101.18</v>
      </c>
      <c r="H62" t="s">
        <v>85</v>
      </c>
      <c r="I62" s="3">
        <f t="shared" ref="I62:I67" si="0">E62-G62</f>
        <v>33.72</v>
      </c>
    </row>
    <row r="63" spans="1:9">
      <c r="A63" s="1"/>
      <c r="B63" t="s">
        <v>55</v>
      </c>
      <c r="C63" s="1">
        <v>42107</v>
      </c>
      <c r="D63" s="3">
        <v>55.14</v>
      </c>
      <c r="E63" s="3"/>
      <c r="F63" s="3">
        <v>41.36</v>
      </c>
      <c r="G63" s="3"/>
      <c r="H63" t="s">
        <v>85</v>
      </c>
      <c r="I63" s="3">
        <f t="shared" si="0"/>
        <v>0</v>
      </c>
    </row>
    <row r="64" spans="1:9">
      <c r="A64" s="25">
        <v>42104</v>
      </c>
      <c r="B64" s="27" t="s">
        <v>31</v>
      </c>
      <c r="C64" s="25">
        <v>42084</v>
      </c>
      <c r="D64" s="26">
        <v>79.760000000000005</v>
      </c>
      <c r="E64" s="26">
        <v>79.760000000000005</v>
      </c>
      <c r="F64" s="26">
        <v>59.82</v>
      </c>
      <c r="G64" s="26">
        <v>59.82</v>
      </c>
      <c r="H64" s="27" t="s">
        <v>85</v>
      </c>
      <c r="I64" s="26">
        <f t="shared" si="0"/>
        <v>19.940000000000005</v>
      </c>
    </row>
    <row r="65" spans="1:9">
      <c r="A65" s="25">
        <v>41991</v>
      </c>
      <c r="B65" s="27" t="s">
        <v>16</v>
      </c>
      <c r="C65" s="25">
        <v>41968</v>
      </c>
      <c r="D65" s="26">
        <v>1169</v>
      </c>
      <c r="E65" s="26">
        <v>1169</v>
      </c>
      <c r="F65" s="26">
        <v>876.75</v>
      </c>
      <c r="G65" s="26">
        <v>876.75</v>
      </c>
      <c r="H65" s="27" t="s">
        <v>85</v>
      </c>
      <c r="I65" s="26">
        <f t="shared" si="0"/>
        <v>292.25</v>
      </c>
    </row>
    <row r="66" spans="1:9">
      <c r="A66" s="25">
        <v>41984</v>
      </c>
      <c r="B66" s="27" t="s">
        <v>16</v>
      </c>
      <c r="C66" s="25">
        <v>41968</v>
      </c>
      <c r="D66" s="26">
        <v>206.1</v>
      </c>
      <c r="E66" s="26">
        <v>206.1</v>
      </c>
      <c r="F66" s="26">
        <v>154.58000000000001</v>
      </c>
      <c r="G66" s="26">
        <v>154.58000000000001</v>
      </c>
      <c r="H66" s="27" t="s">
        <v>85</v>
      </c>
      <c r="I66" s="26">
        <f t="shared" si="0"/>
        <v>51.519999999999982</v>
      </c>
    </row>
    <row r="67" spans="1:9">
      <c r="A67" s="25">
        <v>41982</v>
      </c>
      <c r="B67" s="27" t="s">
        <v>16</v>
      </c>
      <c r="C67" s="25">
        <v>41964</v>
      </c>
      <c r="D67" s="26">
        <v>117.93</v>
      </c>
      <c r="E67" s="26">
        <v>117.93</v>
      </c>
      <c r="F67" s="26">
        <v>88.45</v>
      </c>
      <c r="G67" s="26">
        <v>88.45</v>
      </c>
      <c r="H67" s="27" t="s">
        <v>85</v>
      </c>
      <c r="I67" s="26">
        <f t="shared" si="0"/>
        <v>29.480000000000004</v>
      </c>
    </row>
    <row r="68" spans="1:9">
      <c r="I68" s="3">
        <f>SUM(I62:I67)</f>
        <v>426.91</v>
      </c>
    </row>
    <row r="69" spans="1:9">
      <c r="A69" s="160" t="s">
        <v>89</v>
      </c>
      <c r="B69" s="159"/>
      <c r="C69" s="159"/>
    </row>
    <row r="71" spans="1:9">
      <c r="A71" s="9" t="s">
        <v>10</v>
      </c>
      <c r="B71" s="9" t="s">
        <v>90</v>
      </c>
    </row>
    <row r="72" spans="1:9">
      <c r="A72" s="1">
        <v>42144</v>
      </c>
      <c r="B72" s="3">
        <v>91.38</v>
      </c>
    </row>
    <row r="73" spans="1:9">
      <c r="A73" s="1">
        <v>42137</v>
      </c>
      <c r="B73" s="3">
        <v>101.18</v>
      </c>
    </row>
    <row r="74" spans="1:9">
      <c r="A74" s="25">
        <v>42107</v>
      </c>
      <c r="B74" s="26">
        <v>59.82</v>
      </c>
    </row>
    <row r="75" spans="1:9">
      <c r="A75" s="25">
        <v>41996</v>
      </c>
      <c r="B75" s="26">
        <v>876.75</v>
      </c>
    </row>
    <row r="76" spans="1:9">
      <c r="A76" s="25">
        <v>41988</v>
      </c>
      <c r="B76" s="26">
        <v>154.58000000000001</v>
      </c>
    </row>
    <row r="77" spans="1:9">
      <c r="A77" s="25">
        <v>41983</v>
      </c>
      <c r="B77" s="26">
        <v>88.45</v>
      </c>
    </row>
  </sheetData>
  <mergeCells count="7">
    <mergeCell ref="A3:B3"/>
    <mergeCell ref="A2:B2"/>
    <mergeCell ref="A59:C59"/>
    <mergeCell ref="A69:C69"/>
    <mergeCell ref="A42:C42"/>
    <mergeCell ref="A29:B29"/>
    <mergeCell ref="A5:B5"/>
  </mergeCells>
  <hyperlinks>
    <hyperlink ref="H44" r:id="rId1" location="7_A24Q9M5000PG70I8BGV26020D1" tooltip="Sort Claims by Status" display="7_A24Q9M5000PG70I8BGV26020D1"/>
    <hyperlink ref="G44" r:id="rId2" location="7_A24Q9M5000PG70I8BGV26020D1" tooltip="Sort Claims by Claim Number"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2JHUDJOODkwNTAwMjYvMjkyNjE2MTg5ODAwL3JldmVyc2VTb3J0L3NvcnRPbi8xL3NwZl9zdHJ1dHNBY3Rpb24vITJmY2xhaW1zITJmYnJvd3NlQ2xhaW1zLmRvL3NwZl9BY3Rpb25OYW1lL3NwZl9BY3Rpb25MaXN0ZW5lcg!!/ - 7_A24Q9M5000PG70I8BGV26020D1"/>
    <hyperlink ref="E44" r:id="rId3" location="7_A24Q9M5000PG70I8BGV26020D1" tooltip="Sort Claims by Subscriber Liability"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2hHUDJOODkwNTAwMjQvMjkyNjE2MTg5Nzk5L3JldmVyc2VTb3J0L3NvcnRPbi82L3NwZl9zdHJ1dHNBY3Rpb24vITJmY2xhaW1zITJmYnJvd3NlQ2xhaW1zLmRvL3NwZl9BY3Rpb25OYW1lL3NwZl9BY3Rpb25MaXN0ZW5lcg!!/ - 7_A24Q9M5000PG70I8BGV26020D1"/>
    <hyperlink ref="D44" r:id="rId4" location="7_A24Q9M5000PG70I8BGV26020D1" tooltip="Sort Claims by Total Charge"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0FHUDJOODkwNTAwMjMvMjkyNjE2MTg5Nzk5L3JldmVyc2VTb3J0L3NvcnRPbi81L3NwZl9zdHJ1dHNBY3Rpb24vITJmY2xhaW1zITJmYnJvd3NlQ2xhaW1zLmRvL3NwZl9BY3Rpb25OYW1lL3NwZl9BY3Rpb25MaXN0ZW5lcg!!/ - 7_A24Q9M5000PG70I8BGV26020D1"/>
    <hyperlink ref="C44" r:id="rId5" location="7_A24Q9M5000PG70I8BGV26020D1" tooltip="Sort Claims by Patient DOB" display="7_A24Q9M5000PG70I8BGV26020D1"/>
    <hyperlink ref="G45" r:id="rId6"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bUdQMk44OTA1MDAyOC8yOTI2MTYxODk4MDEvY2xhaW1OdW1iZXIvMjAxNTEyODE4ODY4MDAvc3BmX3N0cnV0c0FjdGlvbi8hMmZjbGFpbXMhMmZ2aWV3RGV0YWlscy5kby9zcGZfQWN0aW9uTmFtZS9zcGZfQWN0aW9uTGlzdGVuZXI!/ - 7_A24Q9M5000PG70I8BGV26020D1"/>
    <hyperlink ref="G46" r:id="rId7"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aUdQMk44OTA1MDAyOS8yOTI2MTYxODk4MDIvY2xhaW1OdW1iZXIvMjcxNTEyMTEwOTI3MDAvc3BmX3N0cnV0c0FjdGlvbi8hMmZjbGFpbXMhMmZ2aWV3RGV0YWlscy5kby9zcGZfQWN0aW9uTmFtZS9zcGZfQWN0aW9uTGlzdGVuZXI!/ - 7_A24Q9M5000PG70I8BGV26020D1"/>
    <hyperlink ref="G47" r:id="rId8"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NEdQMk44OTA1MDAzMC8yOTI2MTYxODk4MDMvY2xhaW1OdW1iZXIvMjcxNTEyNTMwMDc0MDAvc3BmX3N0cnV0c0FjdGlvbi8hMmZjbGFpbXMhMmZ2aWV3RGV0YWlscy5kby9zcGZfQWN0aW9uTmFtZS9zcGZfQWN0aW9uTGlzdGVuZXI!/ - 7_A24Q9M5000PG70I8BGV26020D1"/>
    <hyperlink ref="G48" r:id="rId9"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OUdQMk44OTA1MDAzMS8yOTI2MTYxODk4MDUvY2xhaW1OdW1iZXIvMjAxNTExMzEzODg4MDAvc3BmX3N0cnV0c0FjdGlvbi8hMmZjbGFpbXMhMmZ2aWV3RGV0YWlscy5kby9zcGZfQWN0aW9uTmFtZS9zcGZfQWN0aW9uTGlzdGVuZXI!/ - 7_A24Q9M5000PG70I8BGV26020D1"/>
    <hyperlink ref="G49" r:id="rId10"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MEdQMk44OTA1MDAzMi8yOTI2MTYxODk4MDYvY2xhaW1OdW1iZXIvMjYxNTExMTg5NjQ1MDAvc3BmX3N0cnV0c0FjdGlvbi8hMmZjbGFpbXMhMmZ2aWV3RGV0YWlscy5kby9zcGZfQWN0aW9uTmFtZS9zcGZfQWN0aW9uTGlzdGVuZXI!/ - 7_A24Q9M5000PG70I8BGV26020D1"/>
    <hyperlink ref="G50" r:id="rId11"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N0dQMk44OTA1MDAzMy8yOTI2MTYxODk4MDcvY2xhaW1OdW1iZXIvMjAxNTA5MjE0OTI2MDAvc3BmX3N0cnV0c0FjdGlvbi8hMmZjbGFpbXMhMmZ2aWV3RGV0YWlscy5kby9zcGZfQWN0aW9uTmFtZS9zcGZfQWN0aW9uTGlzdGVuZXI!/ - 7_A24Q9M5000PG70I8BGV26020D1"/>
    <hyperlink ref="G51" r:id="rId12"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OEdQMk44OTA1MDAzNC8yOTI2MTYxODk4MDgvY2xhaW1OdW1iZXIvMjcxNTA4NDA1OTY2MDAvc3BmX3N0cnV0c0FjdGlvbi8hMmZjbGFpbXMhMmZ2aWV3RGV0YWlscy5kby9zcGZfQWN0aW9uTmFtZS9zcGZfQWN0aW9uTGlzdGVuZXI!/ - 7_A24Q9M5000PG70I8BGV26020D1"/>
    <hyperlink ref="G52" r:id="rId13"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S0dQMk44OTA1MDAzNS8yOTI2MTYxODk4MDkvY2xhaW1OdW1iZXIvMjAxNDM2NTA3MzEzMDAvc3BmX3N0cnV0c0FjdGlvbi8hMmZjbGFpbXMhMmZ2aWV3RGV0YWlscy5kby9zcGZfQWN0aW9uTmFtZS9zcGZfQWN0aW9uTGlzdGVuZXI!/ - 7_A24Q9M5000PG70I8BGV26020D1"/>
    <hyperlink ref="G53" r:id="rId14" location="7_A24Q9M5000PG70I8BGV26020D1"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IS9ZQVVJQUFJSUlJTU1JQ0tDRUFBSUFDR0lLQUdJT0JKQkpPQkZORk5PRkRMRExPREEvNEMxYjlXX05yMGdDVWd4RW1SQ1V3cE1oRXBSU1pHSlRpQSEhLzdfQTI0UTlNNTAwMFBHNzBJOEJHVjI2MDIwRDEvT0dQMk44OTA1MDAzNi8yOTI2MTYxODk4MTAvY2xhaW1OdW1iZXIvMjcxNDM1ODA2MTcwMDAvc3BmX3N0cnV0c0FjdGlvbi8hMmZjbGFpbXMhMmZ2aWV3RGV0YWlscy5kby9zcGZfQWN0aW9uTmFtZS9zcGZfQWN0aW9uTGlzdGVuZXI!/ - 7_A24Q9M5000PG70I8BGV26020D1"/>
    <hyperlink ref="G54" r:id="rId15" location="7_A24Q9M5000PG70I8BGV26020D1" display="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TzNzVDc2ODIyMDAyOC8yOTI2MTY4ODA1ODIvY2xhaW1OdW1iZXIvMjAxNDMzOTA5MjY0MDAvc3BmX3N0cnV0c0FjdGlvbi8hMmZjbGFpbXMhMmZ2aWV3RGV0YWlscy5kby9zcGZfQWN0aW9uTmFtZS9zcGZfQWN0aW9uTGlzdGVuZXI!/ - 7_A24Q9M5000PG70I8BGV26020D1"/>
    <hyperlink ref="G55" r:id="rId16" location="7_A24Q9M5000PG70I8BGV26020D1" display="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SzNzVDc2ODIyMDAyOS8yOTI2MTY4ODA1ODMvY2xhaW1OdW1iZXIvMjYxNDMzNTQ3NjA2MDAvc3BmX3N0cnV0c0FjdGlvbi8hMmZjbGFpbXMhMmZ2aWV3RGV0YWlscy5kby9zcGZfQWN0aW9uTmFtZS9zcGZfQWN0aW9uTGlzdGVuZXI!/ - 7_A24Q9M5000PG70I8BGV26020D1"/>
    <hyperlink ref="G56" r:id="rId17" location="7_A24Q9M5000PG70I8BGV26020D1" display="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QzNzVDc2ODIyMDAzMC8yOTI2MTY4ODA1ODQvY2xhaW1OdW1iZXIvMjAxNDMzNzA4MDI0MDAvc3BmX3N0cnV0c0FjdGlvbi8hMmZjbGFpbXMhMmZ2aWV3RGV0YWlscy5kby9zcGZfQWN0aW9uTmFtZS9zcGZfQWN0aW9uTGlzdGVuZXI!/ - 7_A24Q9M5000PG70I8BGV26020D1"/>
    <hyperlink ref="G57" r:id="rId18" location="7_A24Q9M5000PG70I8BGV26020D1" display="https://portal.hcbo.com/wps/myportal/!ut/p/c5/hY3LDoIwEEU_aYaKPJblESShBEWwdENqFAORx4JA6NcLHwDOXZ577oCANZ2c6o8c676TX-AgjJIS_WqzMyImgYmh5QQ5MZBgdFp5sc8R_9gP4KiXaWMNbBl5pNzp3qh0ib1QxRGbmaIzs3nyym-ZQ71qeWpkdcTR6vZz47hzFI99W4P40rdvKECYuy1Pg6HNpsGv3B_TJq-h/dl3/d3/L0lDU0lKSmdwcGlRb0tVUW9LVVFvS1VRIS9ZQVVJQUFJSUlJTU1JQ0tDRUFBSUFDR0lLQUdJT0JKQkpPQkZORk5PRkRMRExPREEvNEMxYjlXX05yMGdDVWd4RW1SQ1V3cE1oRXBSU1pHSlRpQSEhLzdfQTI0UTlNNTAwMFBHNzBJOEJHVjI2MDIwRDEvcDNzVDc2ODIyMDAzMS8yOTI2MTY4ODA1ODUvY2xhaW1OdW1iZXIvMjYxNDMzMDc0MzY1MDAvc3BmX3N0cnV0c0FjdGlvbi8hMmZjbGFpbXMhMmZ2aWV3RGV0YWlscy5kby9zcGZfQWN0aW9uTmFtZS9zcGZfQWN0aW9uTGlzdGVuZXI!/ - 7_A24Q9M5000PG70I8BGV26020D1"/>
  </hyperlinks>
  <pageMargins left="0.7" right="0.7" top="0.75" bottom="0.75" header="0.3" footer="0.3"/>
  <pageSetup orientation="portrait" r:id="rId19"/>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G22"/>
  <sheetViews>
    <sheetView topLeftCell="A6" workbookViewId="0">
      <selection activeCell="B22" sqref="A13:B22"/>
    </sheetView>
  </sheetViews>
  <sheetFormatPr defaultColWidth="8.77734375" defaultRowHeight="14.4"/>
  <cols>
    <col min="1" max="2" width="12.44140625" bestFit="1" customWidth="1"/>
    <col min="3" max="3" width="27.44140625" customWidth="1"/>
    <col min="4" max="4" width="24.109375" customWidth="1"/>
    <col min="5" max="5" width="17.33203125" customWidth="1"/>
    <col min="6" max="6" width="25.109375" customWidth="1"/>
    <col min="7" max="7" width="29.44140625" customWidth="1"/>
  </cols>
  <sheetData>
    <row r="1" spans="1:7" ht="15" thickBot="1">
      <c r="A1" s="44" t="s">
        <v>10</v>
      </c>
      <c r="B1" s="45" t="s">
        <v>166</v>
      </c>
      <c r="C1" s="45" t="s">
        <v>167</v>
      </c>
      <c r="D1" s="45" t="s">
        <v>168</v>
      </c>
      <c r="E1" s="46" t="s">
        <v>169</v>
      </c>
      <c r="F1" s="47" t="s">
        <v>81</v>
      </c>
      <c r="G1" s="48" t="s">
        <v>170</v>
      </c>
    </row>
    <row r="2" spans="1:7" ht="21" thickBot="1">
      <c r="A2" s="40">
        <v>42209</v>
      </c>
      <c r="B2" s="41" t="s">
        <v>171</v>
      </c>
      <c r="C2" s="41" t="s">
        <v>2</v>
      </c>
      <c r="D2" s="42" t="s">
        <v>172</v>
      </c>
      <c r="E2" s="43">
        <v>176.46</v>
      </c>
      <c r="F2" s="39" t="s">
        <v>174</v>
      </c>
      <c r="G2" s="39"/>
    </row>
    <row r="3" spans="1:7" ht="15" thickBot="1">
      <c r="A3" s="40">
        <v>42201</v>
      </c>
      <c r="B3" s="41" t="s">
        <v>171</v>
      </c>
      <c r="C3" s="41" t="s">
        <v>2</v>
      </c>
      <c r="D3" s="42" t="s">
        <v>173</v>
      </c>
      <c r="E3" s="43">
        <v>1470.3</v>
      </c>
      <c r="F3" s="39" t="s">
        <v>174</v>
      </c>
      <c r="G3" s="39"/>
    </row>
    <row r="4" spans="1:7" ht="21" thickBot="1">
      <c r="A4" s="40">
        <v>42194</v>
      </c>
      <c r="B4" s="41" t="s">
        <v>171</v>
      </c>
      <c r="C4" s="41" t="s">
        <v>2</v>
      </c>
      <c r="D4" s="42" t="s">
        <v>172</v>
      </c>
      <c r="E4" s="43">
        <v>250</v>
      </c>
      <c r="F4" s="39" t="s">
        <v>174</v>
      </c>
      <c r="G4" s="39"/>
    </row>
    <row r="5" spans="1:7" ht="15" thickBot="1">
      <c r="A5" s="40">
        <v>42194</v>
      </c>
      <c r="B5" s="41" t="s">
        <v>171</v>
      </c>
      <c r="C5" s="41" t="s">
        <v>2</v>
      </c>
      <c r="D5" s="42" t="s">
        <v>173</v>
      </c>
      <c r="E5" s="43">
        <v>103.24</v>
      </c>
      <c r="F5" s="39" t="s">
        <v>174</v>
      </c>
      <c r="G5" s="39"/>
    </row>
    <row r="6" spans="1:7" ht="15" thickBot="1">
      <c r="A6" s="40">
        <v>42146</v>
      </c>
      <c r="B6" s="41" t="s">
        <v>171</v>
      </c>
      <c r="C6" s="41" t="s">
        <v>2</v>
      </c>
      <c r="D6" s="42" t="s">
        <v>173</v>
      </c>
      <c r="E6" s="43">
        <v>1050.97</v>
      </c>
      <c r="F6" s="39" t="s">
        <v>174</v>
      </c>
      <c r="G6" s="39"/>
    </row>
    <row r="7" spans="1:7" ht="21" thickBot="1">
      <c r="A7" s="40">
        <v>42146</v>
      </c>
      <c r="B7" s="41" t="s">
        <v>171</v>
      </c>
      <c r="C7" s="41" t="s">
        <v>2</v>
      </c>
      <c r="D7" s="42" t="s">
        <v>172</v>
      </c>
      <c r="E7" s="43">
        <v>206.1</v>
      </c>
      <c r="F7" s="39" t="s">
        <v>174</v>
      </c>
      <c r="G7" s="39"/>
    </row>
    <row r="8" spans="1:7" ht="21" thickBot="1">
      <c r="A8" s="40">
        <v>42122</v>
      </c>
      <c r="B8" s="41" t="s">
        <v>171</v>
      </c>
      <c r="C8" s="41" t="s">
        <v>2</v>
      </c>
      <c r="D8" s="42" t="s">
        <v>172</v>
      </c>
      <c r="E8" s="43">
        <v>79.760000000000005</v>
      </c>
      <c r="F8" s="39" t="s">
        <v>174</v>
      </c>
      <c r="G8" s="39"/>
    </row>
    <row r="9" spans="1:7" ht="21" thickBot="1">
      <c r="A9" s="40">
        <v>42122</v>
      </c>
      <c r="B9" s="41" t="s">
        <v>171</v>
      </c>
      <c r="C9" s="41" t="s">
        <v>2</v>
      </c>
      <c r="D9" s="42" t="s">
        <v>172</v>
      </c>
      <c r="E9" s="43">
        <v>42.08</v>
      </c>
      <c r="F9" s="39" t="s">
        <v>174</v>
      </c>
      <c r="G9" s="39"/>
    </row>
    <row r="10" spans="1:7">
      <c r="A10" s="40">
        <v>42122</v>
      </c>
      <c r="B10" s="41" t="s">
        <v>171</v>
      </c>
      <c r="C10" s="41" t="s">
        <v>2</v>
      </c>
      <c r="D10" s="49" t="s">
        <v>173</v>
      </c>
      <c r="E10" s="43">
        <v>158.34</v>
      </c>
      <c r="F10" s="39" t="s">
        <v>174</v>
      </c>
    </row>
    <row r="13" spans="1:7">
      <c r="A13" s="77">
        <v>42585</v>
      </c>
      <c r="B13" s="78">
        <v>132.83000000000001</v>
      </c>
    </row>
    <row r="14" spans="1:7">
      <c r="A14" s="77">
        <v>42473</v>
      </c>
      <c r="B14" s="78">
        <v>207.1</v>
      </c>
    </row>
    <row r="15" spans="1:7">
      <c r="A15" s="77">
        <v>42233</v>
      </c>
      <c r="B15" s="78">
        <v>1235.07</v>
      </c>
    </row>
    <row r="16" spans="1:7">
      <c r="A16" s="77">
        <v>42221</v>
      </c>
      <c r="B16" s="78">
        <v>187.5</v>
      </c>
    </row>
    <row r="17" spans="1:2">
      <c r="A17" s="77">
        <v>42221</v>
      </c>
      <c r="B17" s="78">
        <v>77.430000000000007</v>
      </c>
    </row>
    <row r="18" spans="1:2">
      <c r="A18" s="77">
        <v>42170</v>
      </c>
      <c r="B18" s="78">
        <v>942.79</v>
      </c>
    </row>
    <row r="19" spans="1:2">
      <c r="A19" s="77">
        <v>42158</v>
      </c>
      <c r="B19" s="78">
        <v>118.76</v>
      </c>
    </row>
    <row r="20" spans="1:2">
      <c r="A20" s="77">
        <v>42144</v>
      </c>
      <c r="B20" s="78">
        <v>91.38</v>
      </c>
    </row>
    <row r="21" spans="1:2">
      <c r="A21" s="77">
        <v>42137</v>
      </c>
      <c r="B21" s="78">
        <v>101.18</v>
      </c>
    </row>
    <row r="22" spans="1:2">
      <c r="A22" s="77">
        <v>42107</v>
      </c>
      <c r="B22" s="78">
        <v>59.82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112"/>
  <sheetViews>
    <sheetView topLeftCell="A8" workbookViewId="0">
      <selection activeCell="C108" sqref="C108"/>
    </sheetView>
  </sheetViews>
  <sheetFormatPr defaultColWidth="8.77734375" defaultRowHeight="14.4"/>
  <cols>
    <col min="1" max="1" width="14.33203125" bestFit="1" customWidth="1"/>
    <col min="2" max="2" width="21.33203125" bestFit="1" customWidth="1"/>
    <col min="3" max="3" width="19" bestFit="1" customWidth="1"/>
    <col min="4" max="4" width="29.77734375" bestFit="1" customWidth="1"/>
    <col min="5" max="5" width="16.109375" bestFit="1" customWidth="1"/>
    <col min="6" max="6" width="59.109375" bestFit="1" customWidth="1"/>
    <col min="7" max="7" width="16" bestFit="1" customWidth="1"/>
    <col min="8" max="8" width="18.33203125" bestFit="1" customWidth="1"/>
  </cols>
  <sheetData>
    <row r="2" spans="1:6">
      <c r="A2" s="160" t="s">
        <v>25</v>
      </c>
      <c r="B2" s="160"/>
    </row>
    <row r="3" spans="1:6">
      <c r="A3" s="159" t="s">
        <v>24</v>
      </c>
      <c r="B3" s="159"/>
      <c r="C3">
        <v>18884043721</v>
      </c>
    </row>
    <row r="5" spans="1:6">
      <c r="A5" s="160" t="s">
        <v>9</v>
      </c>
      <c r="B5" s="160"/>
    </row>
    <row r="6" spans="1:6">
      <c r="A6" s="7"/>
      <c r="B6" s="7"/>
    </row>
    <row r="7" spans="1:6">
      <c r="A7" s="9" t="s">
        <v>10</v>
      </c>
      <c r="B7" s="9" t="s">
        <v>11</v>
      </c>
      <c r="C7" s="9" t="s">
        <v>12</v>
      </c>
    </row>
    <row r="8" spans="1:6">
      <c r="A8" s="8" t="s">
        <v>2</v>
      </c>
    </row>
    <row r="9" spans="1:6">
      <c r="A9" s="2">
        <v>42380</v>
      </c>
      <c r="C9">
        <v>1700</v>
      </c>
      <c r="D9" t="s">
        <v>178</v>
      </c>
      <c r="F9">
        <v>1700</v>
      </c>
    </row>
    <row r="10" spans="1:6">
      <c r="A10" s="2">
        <v>41955</v>
      </c>
      <c r="C10">
        <v>994.95</v>
      </c>
      <c r="D10" t="s">
        <v>179</v>
      </c>
    </row>
    <row r="11" spans="1:6">
      <c r="A11" s="1">
        <v>41947</v>
      </c>
      <c r="C11">
        <v>278.24</v>
      </c>
      <c r="F11">
        <v>2029.64</v>
      </c>
    </row>
    <row r="12" spans="1:6">
      <c r="A12" s="2">
        <v>42133</v>
      </c>
      <c r="C12" s="4" t="s">
        <v>177</v>
      </c>
    </row>
    <row r="13" spans="1:6">
      <c r="A13" s="2"/>
      <c r="B13" s="4"/>
      <c r="F13">
        <v>15</v>
      </c>
    </row>
    <row r="14" spans="1:6">
      <c r="A14" s="2"/>
      <c r="B14" s="4"/>
      <c r="F14">
        <v>206.1</v>
      </c>
    </row>
    <row r="15" spans="1:6">
      <c r="A15" s="2"/>
      <c r="B15" s="4"/>
      <c r="F15">
        <v>103.24</v>
      </c>
    </row>
    <row r="16" spans="1:6">
      <c r="A16" s="2"/>
      <c r="B16" s="5"/>
      <c r="F16">
        <v>1470.3</v>
      </c>
    </row>
    <row r="17" spans="1:6">
      <c r="A17" s="2"/>
      <c r="B17" s="4"/>
      <c r="F17">
        <v>42.53</v>
      </c>
    </row>
    <row r="18" spans="1:6">
      <c r="A18" s="2"/>
      <c r="B18" s="4"/>
      <c r="F18">
        <v>193.57</v>
      </c>
    </row>
    <row r="19" spans="1:6">
      <c r="A19" s="8" t="s">
        <v>14</v>
      </c>
    </row>
    <row r="20" spans="1:6">
      <c r="A20" s="2"/>
      <c r="B20" s="4"/>
      <c r="F20">
        <v>278.24</v>
      </c>
    </row>
    <row r="21" spans="1:6">
      <c r="A21" s="2"/>
      <c r="B21" s="4"/>
      <c r="F21">
        <v>158.34</v>
      </c>
    </row>
    <row r="22" spans="1:6">
      <c r="A22" s="8" t="s">
        <v>18</v>
      </c>
      <c r="F22">
        <v>55.14</v>
      </c>
    </row>
    <row r="23" spans="1:6">
      <c r="A23" s="2"/>
      <c r="B23" s="4"/>
      <c r="F23">
        <v>64.760000000000005</v>
      </c>
    </row>
    <row r="24" spans="1:6">
      <c r="A24" s="2"/>
      <c r="B24" s="4"/>
    </row>
    <row r="25" spans="1:6">
      <c r="A25" s="2"/>
      <c r="B25" s="4"/>
      <c r="F25" t="s">
        <v>180</v>
      </c>
    </row>
    <row r="26" spans="1:6">
      <c r="A26" s="8" t="s">
        <v>16</v>
      </c>
      <c r="B26" s="4"/>
    </row>
    <row r="27" spans="1:6">
      <c r="A27" s="2"/>
      <c r="B27" s="4"/>
      <c r="F27">
        <v>994.95</v>
      </c>
    </row>
    <row r="28" spans="1:6">
      <c r="A28" s="2"/>
      <c r="B28" s="4"/>
      <c r="F28">
        <v>903.6</v>
      </c>
    </row>
    <row r="29" spans="1:6">
      <c r="A29" s="2"/>
      <c r="B29" s="5"/>
      <c r="F29">
        <v>55.37</v>
      </c>
    </row>
    <row r="30" spans="1:6">
      <c r="A30" s="2"/>
      <c r="B30" s="5"/>
      <c r="F30">
        <v>35.979999999999997</v>
      </c>
    </row>
    <row r="31" spans="1:6">
      <c r="A31" s="2"/>
      <c r="B31" s="5"/>
    </row>
    <row r="32" spans="1:6">
      <c r="A32" s="2"/>
      <c r="B32" s="5"/>
    </row>
    <row r="33" spans="1:8">
      <c r="A33" s="160" t="s">
        <v>3</v>
      </c>
      <c r="B33" s="159"/>
    </row>
    <row r="35" spans="1:8">
      <c r="A35" s="9" t="s">
        <v>0</v>
      </c>
      <c r="B35" s="9" t="s">
        <v>1</v>
      </c>
      <c r="C35" s="9" t="s">
        <v>4</v>
      </c>
      <c r="D35" s="9" t="s">
        <v>94</v>
      </c>
      <c r="E35" s="9" t="s">
        <v>5</v>
      </c>
      <c r="F35" s="9" t="s">
        <v>8</v>
      </c>
      <c r="G35" s="9" t="s">
        <v>6</v>
      </c>
      <c r="H35" s="9" t="s">
        <v>23</v>
      </c>
    </row>
    <row r="36" spans="1:8">
      <c r="A36" s="8" t="s">
        <v>2</v>
      </c>
    </row>
    <row r="37" spans="1:8">
      <c r="A37" s="2">
        <v>42122</v>
      </c>
      <c r="B37" s="11" t="s">
        <v>7</v>
      </c>
      <c r="C37" s="11">
        <v>637</v>
      </c>
      <c r="D37" s="11">
        <v>371.82</v>
      </c>
      <c r="E37" s="11"/>
      <c r="F37" s="11" t="s">
        <v>95</v>
      </c>
      <c r="G37" s="11">
        <v>265.18</v>
      </c>
      <c r="H37" s="11">
        <v>265.18</v>
      </c>
    </row>
    <row r="38" spans="1:8">
      <c r="A38" s="2">
        <v>42137</v>
      </c>
      <c r="B38" s="11" t="s">
        <v>93</v>
      </c>
      <c r="C38" s="11">
        <v>424</v>
      </c>
      <c r="D38" s="11">
        <v>409</v>
      </c>
      <c r="E38" s="11"/>
      <c r="F38" s="11"/>
      <c r="G38" s="11">
        <v>15</v>
      </c>
      <c r="H38" s="11">
        <v>15</v>
      </c>
    </row>
    <row r="39" spans="1:8">
      <c r="A39" s="2">
        <v>42146</v>
      </c>
      <c r="B39" s="11" t="s">
        <v>92</v>
      </c>
      <c r="C39" s="11">
        <v>2497</v>
      </c>
      <c r="D39" s="11">
        <v>1239.93</v>
      </c>
      <c r="E39" s="11"/>
      <c r="F39" s="11"/>
      <c r="G39" s="11">
        <v>1257.07</v>
      </c>
      <c r="H39" s="11">
        <v>1257.07</v>
      </c>
    </row>
    <row r="40" spans="1:8">
      <c r="A40" s="2">
        <v>42194</v>
      </c>
      <c r="B40" s="11" t="s">
        <v>96</v>
      </c>
      <c r="C40" s="11">
        <v>1112</v>
      </c>
      <c r="D40" s="11">
        <v>773.76</v>
      </c>
      <c r="E40" s="11"/>
      <c r="F40" s="11"/>
      <c r="G40" s="11">
        <v>338.34</v>
      </c>
      <c r="H40" s="11">
        <v>338.34</v>
      </c>
    </row>
    <row r="41" spans="1:8">
      <c r="A41" s="2">
        <v>42201</v>
      </c>
      <c r="B41" s="11" t="s">
        <v>97</v>
      </c>
      <c r="C41" s="11">
        <v>2535</v>
      </c>
      <c r="D41" s="11">
        <v>1064.7</v>
      </c>
      <c r="E41" s="11"/>
      <c r="F41" s="11"/>
      <c r="G41" s="11">
        <v>1470.3</v>
      </c>
      <c r="H41" s="11">
        <v>1470.3</v>
      </c>
    </row>
    <row r="42" spans="1:8">
      <c r="A42" s="2">
        <v>42208</v>
      </c>
      <c r="B42" s="11" t="s">
        <v>98</v>
      </c>
      <c r="C42" s="11">
        <v>1623</v>
      </c>
      <c r="D42" s="11">
        <v>1299.54</v>
      </c>
      <c r="E42" s="11"/>
      <c r="F42" s="11"/>
      <c r="G42" s="11">
        <v>323.45999999999998</v>
      </c>
      <c r="H42" s="11"/>
    </row>
    <row r="43" spans="1:8">
      <c r="A43" s="2">
        <v>42229</v>
      </c>
      <c r="B43" s="11" t="s">
        <v>96</v>
      </c>
      <c r="C43" s="11">
        <v>642</v>
      </c>
      <c r="D43" s="11">
        <v>642</v>
      </c>
      <c r="E43" s="11"/>
      <c r="F43" s="11"/>
      <c r="G43" s="11">
        <v>0</v>
      </c>
      <c r="H43" s="11"/>
    </row>
    <row r="44" spans="1:8">
      <c r="A44" s="2">
        <v>42243</v>
      </c>
      <c r="B44" s="11" t="s">
        <v>99</v>
      </c>
      <c r="C44" s="11">
        <v>790</v>
      </c>
      <c r="D44" s="11">
        <v>775</v>
      </c>
      <c r="E44" s="11"/>
      <c r="F44" s="11"/>
      <c r="G44" s="11">
        <v>15</v>
      </c>
      <c r="H44" s="11"/>
    </row>
    <row r="45" spans="1:8">
      <c r="A45" s="2">
        <v>42312</v>
      </c>
      <c r="B45" s="11" t="s">
        <v>100</v>
      </c>
      <c r="C45" s="11">
        <v>57</v>
      </c>
      <c r="D45" s="11">
        <v>57</v>
      </c>
      <c r="E45" s="11"/>
      <c r="F45" s="11"/>
      <c r="G45" s="11">
        <v>0</v>
      </c>
      <c r="H45" s="11"/>
    </row>
    <row r="46" spans="1:8">
      <c r="A46" s="8" t="s">
        <v>14</v>
      </c>
    </row>
    <row r="47" spans="1:8" ht="27.6">
      <c r="A47" s="2">
        <v>42107</v>
      </c>
      <c r="B47" s="12" t="s">
        <v>20</v>
      </c>
      <c r="C47" s="11">
        <v>445</v>
      </c>
      <c r="D47" s="11">
        <v>325.10000000000002</v>
      </c>
      <c r="E47" s="11"/>
      <c r="F47" s="11"/>
      <c r="G47" s="11">
        <v>119.9</v>
      </c>
      <c r="H47" s="11">
        <v>119.9</v>
      </c>
    </row>
    <row r="48" spans="1:8" ht="27.6">
      <c r="A48" s="2">
        <v>42312</v>
      </c>
      <c r="B48" s="12" t="s">
        <v>101</v>
      </c>
      <c r="C48" s="11">
        <v>426</v>
      </c>
      <c r="D48" s="11">
        <v>426</v>
      </c>
      <c r="E48" s="11"/>
      <c r="F48" s="11"/>
      <c r="G48" s="11">
        <v>0</v>
      </c>
      <c r="H48" s="11"/>
    </row>
    <row r="49" spans="1:8">
      <c r="A49" s="8" t="s">
        <v>18</v>
      </c>
    </row>
    <row r="50" spans="1:8">
      <c r="A50" s="36">
        <v>42312</v>
      </c>
      <c r="B50" s="34" t="s">
        <v>100</v>
      </c>
      <c r="C50" s="34">
        <v>57</v>
      </c>
      <c r="D50" s="34">
        <v>57</v>
      </c>
      <c r="E50" s="34"/>
      <c r="F50" s="34"/>
      <c r="G50" s="34">
        <v>0</v>
      </c>
      <c r="H50" s="27"/>
    </row>
    <row r="51" spans="1:8">
      <c r="A51" s="36">
        <v>42347</v>
      </c>
      <c r="B51" s="34" t="s">
        <v>103</v>
      </c>
      <c r="C51" s="34">
        <v>353</v>
      </c>
      <c r="D51" s="34">
        <v>353</v>
      </c>
      <c r="E51" s="34"/>
      <c r="F51" s="34"/>
      <c r="G51" s="34">
        <v>0</v>
      </c>
      <c r="H51" s="27"/>
    </row>
    <row r="52" spans="1:8">
      <c r="A52" s="8" t="s">
        <v>16</v>
      </c>
    </row>
    <row r="53" spans="1:8">
      <c r="A53" s="33">
        <v>42304</v>
      </c>
      <c r="B53" s="34" t="s">
        <v>102</v>
      </c>
      <c r="C53" s="34">
        <v>456</v>
      </c>
      <c r="D53" s="34">
        <v>456</v>
      </c>
      <c r="E53" s="34"/>
      <c r="F53" s="34"/>
      <c r="G53" s="34">
        <v>0</v>
      </c>
      <c r="H53" s="35"/>
    </row>
    <row r="54" spans="1:8">
      <c r="A54" s="1">
        <v>42312</v>
      </c>
      <c r="B54" s="34" t="s">
        <v>100</v>
      </c>
      <c r="C54" s="34">
        <v>57</v>
      </c>
      <c r="D54" s="34">
        <v>57</v>
      </c>
      <c r="G54" s="34">
        <v>0</v>
      </c>
    </row>
    <row r="56" spans="1:8">
      <c r="A56" s="160" t="s">
        <v>30</v>
      </c>
      <c r="B56" s="159"/>
      <c r="C56" s="159"/>
    </row>
    <row r="57" spans="1:8">
      <c r="A57" s="23" t="s">
        <v>29</v>
      </c>
      <c r="B57" s="24" t="s">
        <v>40</v>
      </c>
      <c r="C57" s="24" t="s">
        <v>41</v>
      </c>
      <c r="D57" s="24" t="s">
        <v>42</v>
      </c>
      <c r="E57" s="24" t="s">
        <v>43</v>
      </c>
      <c r="F57" s="24" t="s">
        <v>44</v>
      </c>
      <c r="G57" s="24" t="s">
        <v>45</v>
      </c>
      <c r="H57" s="24" t="s">
        <v>64</v>
      </c>
    </row>
    <row r="58" spans="1:8">
      <c r="A58" s="18" t="s">
        <v>104</v>
      </c>
      <c r="B58" s="15" t="s">
        <v>31</v>
      </c>
      <c r="C58" s="2">
        <v>40930</v>
      </c>
      <c r="D58" s="37" t="s">
        <v>38</v>
      </c>
      <c r="E58" s="37" t="s">
        <v>33</v>
      </c>
      <c r="F58" s="15" t="s">
        <v>48</v>
      </c>
      <c r="G58" s="13" t="s">
        <v>111</v>
      </c>
      <c r="H58" s="19" t="s">
        <v>66</v>
      </c>
    </row>
    <row r="59" spans="1:8">
      <c r="A59" s="18" t="s">
        <v>104</v>
      </c>
      <c r="B59" s="19" t="s">
        <v>31</v>
      </c>
      <c r="C59" s="2">
        <v>40930</v>
      </c>
      <c r="D59" s="38" t="s">
        <v>39</v>
      </c>
      <c r="E59" s="38" t="s">
        <v>33</v>
      </c>
      <c r="F59" s="19" t="s">
        <v>50</v>
      </c>
      <c r="G59" s="14" t="s">
        <v>112</v>
      </c>
      <c r="H59" s="19" t="s">
        <v>66</v>
      </c>
    </row>
    <row r="60" spans="1:8">
      <c r="A60" s="18" t="s">
        <v>108</v>
      </c>
      <c r="B60" s="15" t="s">
        <v>31</v>
      </c>
      <c r="C60" s="2">
        <v>40930</v>
      </c>
      <c r="D60" s="37" t="s">
        <v>110</v>
      </c>
      <c r="E60" s="37" t="s">
        <v>33</v>
      </c>
      <c r="F60" s="15" t="s">
        <v>48</v>
      </c>
      <c r="G60" s="13" t="s">
        <v>120</v>
      </c>
      <c r="H60" s="19" t="s">
        <v>66</v>
      </c>
    </row>
    <row r="61" spans="1:8">
      <c r="A61" s="18" t="s">
        <v>105</v>
      </c>
      <c r="B61" s="15" t="s">
        <v>55</v>
      </c>
      <c r="C61" s="2">
        <v>40441</v>
      </c>
      <c r="D61" s="37" t="s">
        <v>106</v>
      </c>
      <c r="E61" s="37" t="s">
        <v>113</v>
      </c>
      <c r="F61" s="15" t="s">
        <v>114</v>
      </c>
      <c r="G61" s="13" t="s">
        <v>115</v>
      </c>
      <c r="H61" s="19" t="s">
        <v>66</v>
      </c>
    </row>
    <row r="62" spans="1:8">
      <c r="A62" s="18" t="s">
        <v>105</v>
      </c>
      <c r="B62" s="19" t="s">
        <v>55</v>
      </c>
      <c r="C62" s="2">
        <v>40441</v>
      </c>
      <c r="D62" s="38" t="s">
        <v>107</v>
      </c>
      <c r="E62" s="38" t="s">
        <v>116</v>
      </c>
      <c r="F62" s="19" t="s">
        <v>114</v>
      </c>
      <c r="G62" s="14" t="s">
        <v>117</v>
      </c>
      <c r="H62" s="19" t="s">
        <v>66</v>
      </c>
    </row>
    <row r="63" spans="1:8">
      <c r="A63" s="18" t="s">
        <v>108</v>
      </c>
      <c r="B63" s="15" t="s">
        <v>55</v>
      </c>
      <c r="C63" s="2">
        <v>40441</v>
      </c>
      <c r="D63" s="37" t="s">
        <v>109</v>
      </c>
      <c r="E63" s="37" t="s">
        <v>33</v>
      </c>
      <c r="F63" s="15" t="s">
        <v>48</v>
      </c>
      <c r="G63" s="13" t="s">
        <v>118</v>
      </c>
      <c r="H63" s="19" t="s">
        <v>66</v>
      </c>
    </row>
    <row r="64" spans="1:8">
      <c r="A64" s="18" t="s">
        <v>108</v>
      </c>
      <c r="B64" s="19" t="s">
        <v>55</v>
      </c>
      <c r="C64" s="2">
        <v>40441</v>
      </c>
      <c r="D64" s="38" t="s">
        <v>121</v>
      </c>
      <c r="E64" s="38" t="s">
        <v>33</v>
      </c>
      <c r="F64" s="19" t="s">
        <v>50</v>
      </c>
      <c r="G64" s="14" t="s">
        <v>122</v>
      </c>
      <c r="H64" s="19" t="s">
        <v>66</v>
      </c>
    </row>
    <row r="65" spans="1:8">
      <c r="A65" s="18" t="s">
        <v>108</v>
      </c>
      <c r="B65" s="19" t="s">
        <v>2</v>
      </c>
      <c r="C65" s="2">
        <v>28754</v>
      </c>
      <c r="D65" s="38" t="s">
        <v>110</v>
      </c>
      <c r="E65" s="38" t="s">
        <v>33</v>
      </c>
      <c r="F65" s="19" t="s">
        <v>48</v>
      </c>
      <c r="G65" s="14" t="s">
        <v>119</v>
      </c>
      <c r="H65" s="19" t="s">
        <v>66</v>
      </c>
    </row>
    <row r="66" spans="1:8">
      <c r="A66" s="18" t="s">
        <v>123</v>
      </c>
      <c r="B66" s="15" t="s">
        <v>2</v>
      </c>
      <c r="C66" s="2">
        <v>28754</v>
      </c>
      <c r="D66" s="37" t="s">
        <v>32</v>
      </c>
      <c r="E66" s="37" t="s">
        <v>33</v>
      </c>
      <c r="F66" s="15" t="s">
        <v>48</v>
      </c>
      <c r="G66" s="13" t="s">
        <v>124</v>
      </c>
      <c r="H66" s="19" t="s">
        <v>66</v>
      </c>
    </row>
    <row r="67" spans="1:8">
      <c r="A67" s="18" t="s">
        <v>123</v>
      </c>
      <c r="B67" s="19" t="s">
        <v>2</v>
      </c>
      <c r="C67" s="2">
        <v>28754</v>
      </c>
      <c r="D67" s="38" t="s">
        <v>125</v>
      </c>
      <c r="E67" s="38" t="s">
        <v>126</v>
      </c>
      <c r="F67" s="19" t="s">
        <v>50</v>
      </c>
      <c r="G67" s="14" t="s">
        <v>127</v>
      </c>
      <c r="H67" s="19" t="s">
        <v>66</v>
      </c>
    </row>
    <row r="68" spans="1:8">
      <c r="A68" s="18" t="s">
        <v>128</v>
      </c>
      <c r="B68" s="15" t="s">
        <v>2</v>
      </c>
      <c r="C68" s="2">
        <v>28754</v>
      </c>
      <c r="D68" s="37" t="s">
        <v>129</v>
      </c>
      <c r="E68" s="37" t="s">
        <v>33</v>
      </c>
      <c r="F68" s="15" t="s">
        <v>48</v>
      </c>
      <c r="G68" s="13" t="s">
        <v>130</v>
      </c>
      <c r="H68" s="19" t="s">
        <v>66</v>
      </c>
    </row>
    <row r="69" spans="1:8">
      <c r="A69" s="18" t="s">
        <v>128</v>
      </c>
      <c r="B69" s="19" t="s">
        <v>2</v>
      </c>
      <c r="C69" s="2">
        <v>28754</v>
      </c>
      <c r="D69" s="38" t="s">
        <v>77</v>
      </c>
      <c r="E69" s="38" t="s">
        <v>126</v>
      </c>
      <c r="F69" s="19" t="s">
        <v>50</v>
      </c>
      <c r="G69" s="14" t="s">
        <v>131</v>
      </c>
      <c r="H69" s="19" t="s">
        <v>66</v>
      </c>
    </row>
    <row r="70" spans="1:8">
      <c r="A70" s="18" t="s">
        <v>132</v>
      </c>
      <c r="B70" s="15" t="s">
        <v>2</v>
      </c>
      <c r="C70" s="2">
        <v>28754</v>
      </c>
      <c r="D70" s="37" t="s">
        <v>133</v>
      </c>
      <c r="E70" s="37" t="s">
        <v>33</v>
      </c>
      <c r="F70" s="15" t="s">
        <v>48</v>
      </c>
      <c r="G70" s="13" t="s">
        <v>134</v>
      </c>
      <c r="H70" s="19" t="s">
        <v>66</v>
      </c>
    </row>
    <row r="71" spans="1:8">
      <c r="A71" s="18" t="s">
        <v>132</v>
      </c>
      <c r="B71" s="19" t="s">
        <v>2</v>
      </c>
      <c r="C71" s="2">
        <v>28754</v>
      </c>
      <c r="D71" s="38" t="s">
        <v>135</v>
      </c>
      <c r="E71" s="38" t="s">
        <v>136</v>
      </c>
      <c r="F71" s="19" t="s">
        <v>50</v>
      </c>
      <c r="G71" s="14" t="s">
        <v>137</v>
      </c>
      <c r="H71" s="19" t="s">
        <v>66</v>
      </c>
    </row>
    <row r="72" spans="1:8">
      <c r="A72" s="18" t="s">
        <v>132</v>
      </c>
      <c r="B72" s="15" t="s">
        <v>2</v>
      </c>
      <c r="C72" s="2">
        <v>28754</v>
      </c>
      <c r="D72" s="37" t="s">
        <v>35</v>
      </c>
      <c r="E72" s="37" t="s">
        <v>126</v>
      </c>
      <c r="F72" s="15" t="s">
        <v>50</v>
      </c>
      <c r="G72" s="13" t="s">
        <v>138</v>
      </c>
      <c r="H72" s="19" t="s">
        <v>66</v>
      </c>
    </row>
    <row r="73" spans="1:8">
      <c r="A73" s="18" t="s">
        <v>139</v>
      </c>
      <c r="B73" s="19" t="s">
        <v>2</v>
      </c>
      <c r="C73" s="2">
        <v>28754</v>
      </c>
      <c r="D73" s="38" t="s">
        <v>140</v>
      </c>
      <c r="E73" s="38" t="s">
        <v>141</v>
      </c>
      <c r="F73" s="19" t="s">
        <v>50</v>
      </c>
      <c r="G73" s="14" t="s">
        <v>142</v>
      </c>
      <c r="H73" s="19" t="s">
        <v>66</v>
      </c>
    </row>
    <row r="74" spans="1:8">
      <c r="A74" s="18" t="s">
        <v>143</v>
      </c>
      <c r="B74" s="15" t="s">
        <v>2</v>
      </c>
      <c r="C74" s="2">
        <v>28754</v>
      </c>
      <c r="D74" s="37" t="s">
        <v>144</v>
      </c>
      <c r="E74" s="37" t="s">
        <v>145</v>
      </c>
      <c r="F74" s="15" t="s">
        <v>48</v>
      </c>
      <c r="G74" s="13" t="s">
        <v>146</v>
      </c>
      <c r="H74" s="19" t="s">
        <v>66</v>
      </c>
    </row>
    <row r="75" spans="1:8">
      <c r="A75" s="18" t="s">
        <v>147</v>
      </c>
      <c r="B75" s="19" t="s">
        <v>2</v>
      </c>
      <c r="C75" s="2">
        <v>28754</v>
      </c>
      <c r="D75" s="38" t="s">
        <v>148</v>
      </c>
      <c r="E75" s="38" t="s">
        <v>149</v>
      </c>
      <c r="F75" s="19" t="s">
        <v>48</v>
      </c>
      <c r="G75" s="14" t="s">
        <v>150</v>
      </c>
      <c r="H75" s="19" t="s">
        <v>66</v>
      </c>
    </row>
    <row r="76" spans="1:8">
      <c r="A76" s="18" t="s">
        <v>147</v>
      </c>
      <c r="B76" s="15" t="s">
        <v>2</v>
      </c>
      <c r="C76" s="2">
        <v>28754</v>
      </c>
      <c r="D76" s="37" t="s">
        <v>151</v>
      </c>
      <c r="E76" s="37" t="s">
        <v>152</v>
      </c>
      <c r="F76" s="15" t="s">
        <v>50</v>
      </c>
      <c r="G76" s="13" t="s">
        <v>153</v>
      </c>
      <c r="H76" s="19" t="s">
        <v>66</v>
      </c>
    </row>
    <row r="77" spans="1:8">
      <c r="A77" s="18" t="s">
        <v>154</v>
      </c>
      <c r="B77" s="19" t="s">
        <v>2</v>
      </c>
      <c r="C77" s="2">
        <v>28754</v>
      </c>
      <c r="D77" s="38" t="s">
        <v>155</v>
      </c>
      <c r="E77" s="38" t="s">
        <v>156</v>
      </c>
      <c r="F77" s="19" t="s">
        <v>48</v>
      </c>
      <c r="G77" s="14" t="s">
        <v>157</v>
      </c>
      <c r="H77" s="19" t="s">
        <v>66</v>
      </c>
    </row>
    <row r="78" spans="1:8">
      <c r="A78" s="18" t="s">
        <v>154</v>
      </c>
      <c r="B78" s="15" t="s">
        <v>2</v>
      </c>
      <c r="C78" s="2">
        <v>28754</v>
      </c>
      <c r="D78" s="37" t="s">
        <v>71</v>
      </c>
      <c r="E78" s="37" t="s">
        <v>72</v>
      </c>
      <c r="F78" s="15" t="s">
        <v>50</v>
      </c>
      <c r="G78" s="13" t="s">
        <v>158</v>
      </c>
      <c r="H78" s="19" t="s">
        <v>66</v>
      </c>
    </row>
    <row r="79" spans="1:8">
      <c r="A79" s="18" t="s">
        <v>159</v>
      </c>
      <c r="B79" s="19" t="s">
        <v>2</v>
      </c>
      <c r="C79" s="2">
        <v>28754</v>
      </c>
      <c r="D79" s="38" t="s">
        <v>32</v>
      </c>
      <c r="E79" s="38" t="s">
        <v>33</v>
      </c>
      <c r="F79" s="19" t="s">
        <v>48</v>
      </c>
      <c r="G79" s="14" t="s">
        <v>160</v>
      </c>
      <c r="H79" s="19" t="s">
        <v>66</v>
      </c>
    </row>
    <row r="80" spans="1:8">
      <c r="A80" s="18" t="s">
        <v>159</v>
      </c>
      <c r="B80" s="15" t="s">
        <v>2</v>
      </c>
      <c r="C80" s="2">
        <v>28754</v>
      </c>
      <c r="D80" s="37" t="s">
        <v>77</v>
      </c>
      <c r="E80" s="37" t="s">
        <v>126</v>
      </c>
      <c r="F80" s="15" t="s">
        <v>50</v>
      </c>
      <c r="G80" s="13" t="s">
        <v>161</v>
      </c>
      <c r="H80" s="19" t="s">
        <v>66</v>
      </c>
    </row>
    <row r="81" spans="1:9">
      <c r="A81" s="18" t="s">
        <v>108</v>
      </c>
      <c r="B81" s="19" t="s">
        <v>16</v>
      </c>
      <c r="C81" s="2">
        <v>30427</v>
      </c>
      <c r="D81" s="37" t="s">
        <v>110</v>
      </c>
      <c r="E81" s="37" t="s">
        <v>33</v>
      </c>
      <c r="F81" s="19" t="s">
        <v>48</v>
      </c>
      <c r="G81" s="13" t="s">
        <v>162</v>
      </c>
      <c r="H81" s="19" t="s">
        <v>66</v>
      </c>
      <c r="I81" s="19"/>
    </row>
    <row r="82" spans="1:9">
      <c r="A82" s="18" t="s">
        <v>163</v>
      </c>
      <c r="B82" s="19" t="s">
        <v>16</v>
      </c>
      <c r="C82" s="2">
        <v>30427</v>
      </c>
      <c r="D82" s="37" t="s">
        <v>164</v>
      </c>
      <c r="E82" s="37" t="s">
        <v>33</v>
      </c>
      <c r="F82" s="19" t="s">
        <v>48</v>
      </c>
      <c r="G82" s="14" t="s">
        <v>165</v>
      </c>
      <c r="H82" s="19" t="s">
        <v>66</v>
      </c>
    </row>
    <row r="84" spans="1:9">
      <c r="A84" s="160" t="s">
        <v>80</v>
      </c>
      <c r="B84" s="159"/>
      <c r="C84" s="159"/>
    </row>
    <row r="86" spans="1:9" ht="15" thickBot="1">
      <c r="A86" s="44" t="s">
        <v>10</v>
      </c>
      <c r="B86" s="45" t="s">
        <v>166</v>
      </c>
      <c r="C86" s="45" t="s">
        <v>167</v>
      </c>
      <c r="D86" s="45" t="s">
        <v>168</v>
      </c>
      <c r="E86" s="46" t="s">
        <v>169</v>
      </c>
      <c r="F86" s="47" t="s">
        <v>81</v>
      </c>
      <c r="G86" s="48" t="s">
        <v>85</v>
      </c>
      <c r="H86" s="48" t="s">
        <v>175</v>
      </c>
      <c r="I86" t="s">
        <v>176</v>
      </c>
    </row>
    <row r="87" spans="1:9" ht="15" thickBot="1">
      <c r="A87" s="40">
        <v>42209</v>
      </c>
      <c r="B87" s="41" t="s">
        <v>171</v>
      </c>
      <c r="C87" s="41" t="s">
        <v>2</v>
      </c>
      <c r="D87" s="42" t="s">
        <v>172</v>
      </c>
      <c r="E87" s="43">
        <v>176.46</v>
      </c>
      <c r="F87" s="39" t="s">
        <v>174</v>
      </c>
      <c r="G87" s="39">
        <v>132.35</v>
      </c>
      <c r="H87" s="3">
        <f>E87-G87</f>
        <v>44.110000000000014</v>
      </c>
      <c r="I87" s="51">
        <f>H87/E87*100</f>
        <v>24.997166496656472</v>
      </c>
    </row>
    <row r="88" spans="1:9" ht="15" thickBot="1">
      <c r="A88" s="40">
        <v>42201</v>
      </c>
      <c r="B88" s="41" t="s">
        <v>171</v>
      </c>
      <c r="C88" s="41" t="s">
        <v>2</v>
      </c>
      <c r="D88" s="42" t="s">
        <v>173</v>
      </c>
      <c r="E88" s="43">
        <v>1470.3</v>
      </c>
      <c r="F88" s="39" t="s">
        <v>174</v>
      </c>
      <c r="G88" s="39">
        <v>1102.72</v>
      </c>
      <c r="H88" s="3">
        <f>E88-G88</f>
        <v>367.57999999999993</v>
      </c>
      <c r="I88" s="51">
        <f t="shared" ref="I88:I102" si="0">H88/E88*100</f>
        <v>25.00034006665306</v>
      </c>
    </row>
    <row r="89" spans="1:9" ht="15" thickBot="1">
      <c r="A89" s="40"/>
      <c r="B89" s="41"/>
      <c r="C89" s="41"/>
      <c r="D89" s="42"/>
      <c r="E89" s="43"/>
      <c r="F89" s="39"/>
      <c r="G89" s="39"/>
      <c r="H89" s="3">
        <f t="shared" ref="H89:H102" si="1">E89-G89</f>
        <v>0</v>
      </c>
      <c r="I89" s="51"/>
    </row>
    <row r="90" spans="1:9" ht="15" thickBot="1">
      <c r="A90" s="40">
        <v>42194</v>
      </c>
      <c r="B90" s="41" t="s">
        <v>171</v>
      </c>
      <c r="C90" s="41" t="s">
        <v>2</v>
      </c>
      <c r="D90" s="42" t="s">
        <v>172</v>
      </c>
      <c r="E90" s="43">
        <v>250</v>
      </c>
      <c r="F90" s="39" t="s">
        <v>174</v>
      </c>
      <c r="G90" s="39">
        <v>187.5</v>
      </c>
      <c r="H90" s="3">
        <f t="shared" si="1"/>
        <v>62.5</v>
      </c>
      <c r="I90" s="51">
        <f t="shared" si="0"/>
        <v>25</v>
      </c>
    </row>
    <row r="91" spans="1:9" ht="15" thickBot="1">
      <c r="A91" s="40">
        <v>42194</v>
      </c>
      <c r="B91" s="41" t="s">
        <v>171</v>
      </c>
      <c r="C91" s="41" t="s">
        <v>2</v>
      </c>
      <c r="D91" s="42" t="s">
        <v>173</v>
      </c>
      <c r="E91" s="43">
        <v>103.24</v>
      </c>
      <c r="F91" s="39" t="s">
        <v>174</v>
      </c>
      <c r="G91" s="39">
        <v>77.430000000000007</v>
      </c>
      <c r="H91" s="3">
        <f t="shared" si="1"/>
        <v>25.809999999999988</v>
      </c>
      <c r="I91" s="51">
        <f t="shared" si="0"/>
        <v>24.999999999999989</v>
      </c>
    </row>
    <row r="92" spans="1:9" ht="15" thickBot="1">
      <c r="A92" s="40"/>
      <c r="B92" s="41"/>
      <c r="C92" s="41"/>
      <c r="D92" s="42"/>
      <c r="E92" s="43">
        <f>SUM(E90:E91)</f>
        <v>353.24</v>
      </c>
      <c r="F92" s="39"/>
      <c r="G92" s="39">
        <f>SUM(G90,G91)</f>
        <v>264.93</v>
      </c>
      <c r="H92" s="3">
        <f t="shared" si="1"/>
        <v>88.31</v>
      </c>
      <c r="I92" s="51">
        <f t="shared" si="0"/>
        <v>25</v>
      </c>
    </row>
    <row r="93" spans="1:9" ht="15" thickBot="1">
      <c r="A93" s="40">
        <v>42146</v>
      </c>
      <c r="B93" s="41" t="s">
        <v>171</v>
      </c>
      <c r="C93" s="41" t="s">
        <v>2</v>
      </c>
      <c r="D93" s="42" t="s">
        <v>173</v>
      </c>
      <c r="E93" s="43">
        <v>1050.97</v>
      </c>
      <c r="F93" s="39" t="s">
        <v>174</v>
      </c>
      <c r="G93" s="39">
        <v>788.23</v>
      </c>
      <c r="H93" s="3">
        <f t="shared" si="1"/>
        <v>262.74</v>
      </c>
      <c r="I93" s="51">
        <f t="shared" si="0"/>
        <v>24.999762124513545</v>
      </c>
    </row>
    <row r="94" spans="1:9" ht="15" thickBot="1">
      <c r="A94" s="40">
        <v>42146</v>
      </c>
      <c r="B94" s="41" t="s">
        <v>171</v>
      </c>
      <c r="C94" s="41" t="s">
        <v>2</v>
      </c>
      <c r="D94" s="42" t="s">
        <v>172</v>
      </c>
      <c r="E94" s="43">
        <v>206.1</v>
      </c>
      <c r="F94" s="39" t="s">
        <v>174</v>
      </c>
      <c r="G94" s="39">
        <v>154.56</v>
      </c>
      <c r="H94" s="3">
        <f t="shared" si="1"/>
        <v>51.539999999999992</v>
      </c>
      <c r="I94" s="51">
        <f t="shared" si="0"/>
        <v>25.007278020378454</v>
      </c>
    </row>
    <row r="95" spans="1:9" ht="15" thickBot="1">
      <c r="A95" s="40"/>
      <c r="B95" s="41"/>
      <c r="C95" s="41"/>
      <c r="D95" s="42"/>
      <c r="E95" s="43">
        <f>SUM(E93:E94)</f>
        <v>1257.07</v>
      </c>
      <c r="F95" s="39"/>
      <c r="G95" s="39">
        <f>SUM(G93,G94)</f>
        <v>942.79</v>
      </c>
      <c r="H95" s="3">
        <f t="shared" si="1"/>
        <v>314.27999999999997</v>
      </c>
      <c r="I95" s="51">
        <f t="shared" si="0"/>
        <v>25.000994375810414</v>
      </c>
    </row>
    <row r="96" spans="1:9" ht="15" thickBot="1">
      <c r="A96" s="40">
        <v>42122</v>
      </c>
      <c r="B96" s="41" t="s">
        <v>171</v>
      </c>
      <c r="C96" s="41" t="s">
        <v>2</v>
      </c>
      <c r="D96" s="42" t="s">
        <v>172</v>
      </c>
      <c r="E96" s="43">
        <v>79.760000000000005</v>
      </c>
      <c r="F96" s="39" t="s">
        <v>174</v>
      </c>
      <c r="G96" s="39">
        <v>59.82</v>
      </c>
      <c r="H96" s="3">
        <f t="shared" si="1"/>
        <v>19.940000000000005</v>
      </c>
      <c r="I96" s="51">
        <f t="shared" si="0"/>
        <v>25.000000000000007</v>
      </c>
    </row>
    <row r="97" spans="1:9" ht="15" thickBot="1">
      <c r="A97" s="40">
        <v>42122</v>
      </c>
      <c r="B97" s="41" t="s">
        <v>171</v>
      </c>
      <c r="C97" s="41" t="s">
        <v>2</v>
      </c>
      <c r="D97" s="42" t="s">
        <v>172</v>
      </c>
      <c r="E97" s="43">
        <v>42.08</v>
      </c>
      <c r="F97" s="39" t="s">
        <v>174</v>
      </c>
      <c r="G97" s="39">
        <v>31.56</v>
      </c>
      <c r="H97" s="3">
        <f t="shared" si="1"/>
        <v>10.52</v>
      </c>
      <c r="I97" s="51">
        <f t="shared" si="0"/>
        <v>25</v>
      </c>
    </row>
    <row r="98" spans="1:9">
      <c r="A98" s="40">
        <v>42122</v>
      </c>
      <c r="B98" s="41" t="s">
        <v>171</v>
      </c>
      <c r="C98" s="41" t="s">
        <v>2</v>
      </c>
      <c r="D98" s="49" t="s">
        <v>173</v>
      </c>
      <c r="E98" s="43">
        <v>158.34</v>
      </c>
      <c r="F98" s="39" t="s">
        <v>174</v>
      </c>
      <c r="G98" s="39">
        <v>118.76</v>
      </c>
      <c r="H98" s="3">
        <f t="shared" si="1"/>
        <v>39.58</v>
      </c>
      <c r="I98" s="51">
        <f t="shared" si="0"/>
        <v>24.996842238221546</v>
      </c>
    </row>
    <row r="99" spans="1:9" ht="15" thickBot="1">
      <c r="E99" s="43">
        <f>SUM(E96:E98)</f>
        <v>280.18</v>
      </c>
      <c r="G99" s="39">
        <f>SUM(G96:G98)</f>
        <v>210.14</v>
      </c>
      <c r="H99" s="3">
        <f t="shared" si="1"/>
        <v>70.04000000000002</v>
      </c>
      <c r="I99" s="51">
        <f t="shared" si="0"/>
        <v>24.998215432935979</v>
      </c>
    </row>
    <row r="100" spans="1:9" ht="15" thickBot="1">
      <c r="A100" s="40">
        <v>42107</v>
      </c>
      <c r="B100" s="41" t="s">
        <v>171</v>
      </c>
      <c r="C100" s="41" t="s">
        <v>55</v>
      </c>
      <c r="D100" s="42" t="s">
        <v>173</v>
      </c>
      <c r="E100" s="50">
        <v>55.14</v>
      </c>
      <c r="F100" s="39" t="s">
        <v>174</v>
      </c>
      <c r="G100" s="39">
        <v>41.36</v>
      </c>
      <c r="H100" s="3">
        <f t="shared" si="1"/>
        <v>13.780000000000001</v>
      </c>
      <c r="I100" s="51">
        <f t="shared" si="0"/>
        <v>24.990932172651434</v>
      </c>
    </row>
    <row r="101" spans="1:9" ht="15" thickBot="1">
      <c r="A101" s="40">
        <v>42107</v>
      </c>
      <c r="B101" s="41" t="s">
        <v>171</v>
      </c>
      <c r="C101" s="41" t="s">
        <v>55</v>
      </c>
      <c r="D101" s="42" t="s">
        <v>172</v>
      </c>
      <c r="E101" s="50">
        <v>79.760000000000005</v>
      </c>
      <c r="F101" s="39" t="s">
        <v>174</v>
      </c>
      <c r="G101" s="39">
        <v>59.82</v>
      </c>
      <c r="H101" s="3">
        <f t="shared" si="1"/>
        <v>19.940000000000005</v>
      </c>
      <c r="I101" s="51">
        <f t="shared" si="0"/>
        <v>25.000000000000007</v>
      </c>
    </row>
    <row r="102" spans="1:9">
      <c r="E102" s="43">
        <f>SUM(E100:E101)</f>
        <v>134.9</v>
      </c>
      <c r="G102" s="39">
        <f>SUM(G100,G101)</f>
        <v>101.18</v>
      </c>
      <c r="H102" s="3">
        <f t="shared" si="1"/>
        <v>33.72</v>
      </c>
      <c r="I102" s="51">
        <f t="shared" si="0"/>
        <v>24.996293550778354</v>
      </c>
    </row>
    <row r="103" spans="1:9">
      <c r="A103" s="160" t="s">
        <v>89</v>
      </c>
      <c r="B103" s="159"/>
      <c r="C103" s="159"/>
    </row>
    <row r="105" spans="1:9">
      <c r="A105" s="9" t="s">
        <v>10</v>
      </c>
      <c r="B105" s="9" t="s">
        <v>90</v>
      </c>
    </row>
    <row r="106" spans="1:9">
      <c r="A106" s="1">
        <v>42233</v>
      </c>
      <c r="B106" s="3">
        <v>1235.07</v>
      </c>
    </row>
    <row r="107" spans="1:9">
      <c r="A107" s="1">
        <v>42221</v>
      </c>
      <c r="B107" s="3">
        <v>187.5</v>
      </c>
    </row>
    <row r="108" spans="1:9">
      <c r="A108" s="1">
        <v>42221</v>
      </c>
      <c r="B108" s="26">
        <v>77.430000000000007</v>
      </c>
    </row>
    <row r="109" spans="1:9">
      <c r="A109" s="25">
        <v>42170</v>
      </c>
      <c r="B109" s="26">
        <v>942.79</v>
      </c>
    </row>
    <row r="110" spans="1:9">
      <c r="A110" s="25">
        <v>42158</v>
      </c>
      <c r="B110" s="26">
        <v>118.76</v>
      </c>
    </row>
    <row r="111" spans="1:9">
      <c r="A111" s="1">
        <v>42144</v>
      </c>
      <c r="B111" s="3">
        <v>91.38</v>
      </c>
    </row>
    <row r="112" spans="1:9">
      <c r="A112" s="1">
        <v>42137</v>
      </c>
      <c r="B112" s="3">
        <v>101.18</v>
      </c>
    </row>
  </sheetData>
  <mergeCells count="7">
    <mergeCell ref="A84:C84"/>
    <mergeCell ref="A103:C103"/>
    <mergeCell ref="A2:B2"/>
    <mergeCell ref="A3:B3"/>
    <mergeCell ref="A5:B5"/>
    <mergeCell ref="A33:B33"/>
    <mergeCell ref="A56:C56"/>
  </mergeCells>
  <hyperlinks>
    <hyperlink ref="H57" r:id="rId1" location="7_A24Q9M5000PG70I8BGV26020D1" tooltip="Sort Claims by Status" display="7_A24Q9M5000PG70I8BGV26020D1"/>
    <hyperlink ref="G57" r:id="rId2" location="7_A24Q9M5000PG70I8BGV26020D1" tooltip="Sort Claims by Claim Number"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SSk1tRW9SU1pLSlJpa3ljU2drIS83X0EyNFE5TTUwMDBQRzcwSThCR1YyNjAyMEQxL2JHUDJOODkwNTAwMjYvMjkyNjE2MTg5ODAwL3JldmVyc2VTb3J0L3NvcnRPbi8xL3NwZl9zdHJ1dHNBY3Rpb24vITJmY2xhaW1zITJmYnJvd3NlQ2xhaW1zLmRvL3NwZl9BY3Rpb25OYW1lL3NwZl9BY3Rpb25MaXN0ZW5lcg!!/ - 7_A24Q9M5000PG70I8BGV26020D1"/>
    <hyperlink ref="E57" r:id="rId3" location="7_A24Q9M5000PG70I8BGV26020D1" tooltip="Sort Claims by Subscriber Liability"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2hHUDJOODkwNTAwMjQvMjkyNjE2MTg5Nzk5L3JldmVyc2VTb3J0L3NvcnRPbi82L3NwZl9zdHJ1dHNBY3Rpb24vITJmY2xhaW1zITJmYnJvd3NlQ2xhaW1zLmRvL3NwZl9BY3Rpb25OYW1lL3NwZl9BY3Rpb25MaXN0ZW5lcg!!/ - 7_A24Q9M5000PG70I8BGV26020D1"/>
    <hyperlink ref="D57" r:id="rId4" location="7_A24Q9M5000PG70I8BGV26020D1" tooltip="Sort Claims by Total Charge" display="https://portal.hcbo.com/wps/myportal/!ut/p/c5/hY1JDoMwEASfNINDWI4GRwQJWyQsAV8spCwCheVgIeHXBx4AmT5WVw9IWDM0c_tpdDsOzRcqkI6ixL75_IyIaeRi7AVRSRwkmJxWXu9zxD_2Ayq0VdZ5E190lZhwzjuTLYLFRjCOOqdGa5Y-y3sR0FARX1qrI49Wt58bx52jeOz7Fojr2L-gBunutpgFU1_M0-Ud_gDHKBwK/dl3/d3/L0lDU0lKSmdwcGlRb0tVUW9LVVFvS1VRb0tVUSEvWUdVSUFBSUlJSU1NSUNLQ0VBQUlBQ0dJS0FHSU9CSkJKT0JGTkZOT0ZETERMT0RIUEhQT0hBISEvNEMxYjlXX05yMGdDVWd4RW1SQ1VoSk1tRW9SU1pLSlJpa3ljU2drIS83X0EyNFE5TTUwMDBQRzcwSThCR1YyNjAyMEQxL0FHUDJOODkwNTAwMjMvMjkyNjE2MTg5Nzk5L3JldmVyc2VTb3J0L3NvcnRPbi81L3NwZl9zdHJ1dHNBY3Rpb24vITJmY2xhaW1zITJmYnJvd3NlQ2xhaW1zLmRvL3NwZl9BY3Rpb25OYW1lL3NwZl9BY3Rpb25MaXN0ZW5lcg!!/ - 7_A24Q9M5000PG70I8BGV26020D1"/>
    <hyperlink ref="C57" r:id="rId5" location="7_A24Q9M5000PG70I8BGV26020D1" tooltip="Sort Claims by Patient DOB" display="7_A24Q9M5000PG70I8BGV26020D1"/>
    <hyperlink ref="G58" r:id="rId6"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JReUFlMjA1NzAwMzIvMzEzNzM3MjM5NzQyL2NsYWltTnVtYmVyLzIwMTUzNTUzMjU0NjAwL3NwZl9BY3Rpb25OYW1lL3NwZl9BY3Rpb25MaXN0ZW5lci9zcGZfc3RydXRzQWN0aW9uLyEyZmNsYWltcyEyZnZpZXdEZXRhaWxzLmRv/"/>
    <hyperlink ref="G59" r:id="rId7"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xBeUFlMjA1NzAwMzMvMzEzNzM3MjM5NzQzL2NsYWltTnVtYmVyLzI2MTUzNDk3ODkzMjAwL3NwZl9BY3Rpb25OYW1lL3NwZl9BY3Rpb25MaXN0ZW5lci9zcGZfc3RydXRzQWN0aW9uLyEyZmNsYWltcyEyZnZpZXdEZXRhaWxzLmRv/"/>
    <hyperlink ref="G61" r:id="rId8"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1BBeUFlMjA1NzAwMzQvMzEzNzM3MjM5NzQ0L2NsYWltTnVtYmVyLzI3MTUzNTcxNjgwNzAwL3NwZl9BY3Rpb25OYW1lL3NwZl9BY3Rpb25MaXN0ZW5lci9zcGZfc3RydXRzQWN0aW9uLyEyZmNsYWltcyEyZnZpZXdEZXRhaWxzLmRv/"/>
    <hyperlink ref="G62" r:id="rId9"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zFBeUFlMjA1NzAwMzUvMzEzNzM3MjM5NzQ2L2NsYWltTnVtYmVyLzI3MTUzNTcxNjgwODAwL3NwZl9BY3Rpb25OYW1lL3NwZl9BY3Rpb25MaXN0ZW5lci9zcGZfc3RydXRzQWN0aW9uLyEyZmNsYWltcyEyZnZpZXdEZXRhaWxzLmRv/"/>
    <hyperlink ref="G63" r:id="rId10"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zJBeUFlMjA1NzAwMzYvMzEzNzM3MjM5NzQ3L2NsYWltTnVtYmVyLzIwMTUzMjExNTkwNzAwL3NwZl9BY3Rpb25OYW1lL3NwZl9BY3Rpb25MaXN0ZW5lci9zcGZfc3RydXRzQWN0aW9uLyEyZmNsYWltcyEyZnZpZXdEZXRhaWxzLmRv/"/>
    <hyperlink ref="G65" r:id="rId11"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1BeUFlMjA1NzAwMzcvMzEzNzM3MjM5NzQ3L2NsYWltTnVtYmVyLzIwMTUzNDMxODc0MDAwL3NwZl9BY3Rpb25OYW1lL3NwZl9BY3Rpb25MaXN0ZW5lci9zcGZfc3RydXRzQWN0aW9uLyEyZmNsYWltcyEyZnZpZXdEZXRhaWxzLmRv/"/>
    <hyperlink ref="G60" r:id="rId12"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lBeUFlMjA1NzAwMzgvMzEzNzM3MjM5NzQ5L2NsYWltTnVtYmVyLzIwMTUzNDUxNzExNDAwL3NwZl9BY3Rpb25OYW1lL3NwZl9BY3Rpb25MaXN0ZW5lci9zcGZfc3RydXRzQWN0aW9uLyEyZmNsYWltcyEyZnZpZXdEZXRhaWxzLmRv/"/>
    <hyperlink ref="G64" r:id="rId13"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tBeUFlMjA1NzAwMzkvMzEzNzM3MjM5NzUxL2NsYWltTnVtYmVyLzI3MTUzMTQxODcyODAwL3NwZl9BY3Rpb25OYW1lL3NwZl9BY3Rpb25MaXN0ZW5lci9zcGZfc3RydXRzQWN0aW9uLyEyZmNsYWltcyEyZnZpZXdEZXRhaWxzLmRv/"/>
    <hyperlink ref="G66" r:id="rId14"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1RBeUFlMjA1NzAwNDAvMzEzNzM3MjM5NzUzL2NsYWltTnVtYmVyLzIwMTUyNTQxMzEzMzAwL3NwZl9BY3Rpb25OYW1lL3NwZl9BY3Rpb25MaXN0ZW5lci9zcGZfc3RydXRzQWN0aW9uLyEyZmNsYWltcyEyZnZpZXdEZXRhaWxzLmRv/"/>
    <hyperlink ref="G67" r:id="rId15"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dBeUFlMjA1NzAwNDEvMzEzNzM3MjM5NzU0L2NsYWltTnVtYmVyLzI3MTUyNDcwMTM5OTAwL3NwZl9BY3Rpb25OYW1lL3NwZl9BY3Rpb25MaXN0ZW5lci9zcGZfc3RydXRzQWN0aW9uLyEyZmNsYWltcyEyZnZpZXdEZXRhaWxzLmRv/"/>
    <hyperlink ref="G68" r:id="rId16"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0JBeUFlMjA1NzAwNDIvMzEzNzM3MjM5NzU1L2NsYWltTnVtYmVyLzIwMTUyMzcxODEyMjAwL3NwZl9BY3Rpb25OYW1lL3NwZl9BY3Rpb25MaXN0ZW5lci9zcGZfc3RydXRzQWN0aW9uLyEyZmNsYWltcyEyZnZpZXdEZXRhaWxzLmRv/"/>
    <hyperlink ref="G69" r:id="rId17"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1pBeUFlMjA1NzAwNDMvMzEzNzM3MjM5NzU2L2NsYWltTnVtYmVyLzI2MTUyMzA4ODg2MjAwL3NwZl9BY3Rpb25OYW1lL3NwZl9BY3Rpb25MaXN0ZW5lci9zcGZfc3RydXRzQWN0aW9uLyEyZmNsYWltcyEyZnZpZXdEZXRhaWxzLmRv/"/>
    <hyperlink ref="G70" r:id="rId18"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VBeUFlMjA1NzAwNDQvMzEzNzM3MjM5NzU3L2NsYWltTnVtYmVyLzIwMTUyMTcxMjYwNDAwL3NwZl9BY3Rpb25OYW1lL3NwZl9BY3Rpb25MaXN0ZW5lci9zcGZfc3RydXRzQWN0aW9uLyEyZmNsYWltcyEyZnZpZXdEZXRhaWxzLmRv/"/>
    <hyperlink ref="G71" r:id="rId19"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pBeUFlMjA1NzAwNDUvMzEzNzM3MjM5NzU4L2NsYWltTnVtYmVyLzI3MTUyMTAwMzE5OTAwL3NwZl9BY3Rpb25OYW1lL3NwZl9BY3Rpb25MaXN0ZW5lci9zcGZfc3RydXRzQWN0aW9uLyEyZmNsYWltcyEyZnZpZXdEZXRhaWxzLmRv/"/>
    <hyperlink ref="G72" r:id="rId20"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1BeUFlMjA1NzAwNDYvMzEzNzM3MjM5NzU5L2NsYWltTnVtYmVyLzI3MTUyMTAwMzIwMTAwL3NwZl9BY3Rpb25OYW1lL3NwZl9BY3Rpb25MaXN0ZW5lci9zcGZfc3RydXRzQWN0aW9uLyEyZmNsYWltcyEyZnZpZXdEZXRhaWxzLmRv/"/>
    <hyperlink ref="G73" r:id="rId21"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lBeUFlMjA1NzAwNDcvMzEzNzM3MjM5NzYwL2NsYWltTnVtYmVyLzI3MTUyNTkwNjEwNTAwL3NwZl9BY3Rpb25OYW1lL3NwZl9BY3Rpb25MaXN0ZW5lci9zcGZfc3RydXRzQWN0aW9uLyEyZmNsYWltcyEyZnZpZXdEZXRhaWxzLmRv/"/>
    <hyperlink ref="G74" r:id="rId22"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JBeUFlMjA1NzAwNDgvMzEzNzM3MjM5NzYyL2NsYWltTnVtYmVyLzIwMTUyMTAxNjU2MjAwL3NwZl9BY3Rpb25OYW1lL3NwZl9BY3Rpb25MaXN0ZW5lci9zcGZfc3RydXRzQWN0aW9uLyEyZmNsYWltcyEyZnZpZXdEZXRhaWxzLmRv/"/>
    <hyperlink ref="G75" r:id="rId23"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pBeUFlMjA1NzAwNDkvMzEzNzM3MjM5NzYzL2NsYWltTnVtYmVyLzIwMTUyMDIxMTc2MDAwL3NwZl9BY3Rpb25OYW1lL3NwZl9BY3Rpb25MaXN0ZW5lci9zcGZfc3RydXRzQWN0aW9uLyEyZmNsYWltcyEyZnZpZXdEZXRhaWxzLmRv/"/>
    <hyperlink ref="G76" r:id="rId24"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dBeUFlMjA1NzAwNTAvMzEzNzM3MjM5NzY1L2NsYWltTnVtYmVyLzI3MTUxOTUwMTM2OTAwL3NwZl9BY3Rpb25OYW1lL3NwZl9BY3Rpb25MaXN0ZW5lci9zcGZfc3RydXRzQWN0aW9uLyEyZmNsYWltcyEyZnZpZXdEZXRhaWxzLmRv/"/>
    <hyperlink ref="G77" r:id="rId25"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VBeUFlMjA1NzAwNTEvMzEzNzM3MjM5NzY2L2NsYWltTnVtYmVyLzIwMTUxNTMxMjkxMzAwL3NwZl9BY3Rpb25OYW1lL3NwZl9BY3Rpb25MaXN0ZW5lci9zcGZfc3RydXRzQWN0aW9uLyEyZmNsYWltcyEyZnZpZXdEZXRhaWxzLmRv/"/>
    <hyperlink ref="G78" r:id="rId26"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RBeUFlMjA1NzAwNTIvMzEzNzM3MjM5NzY3L2NsYWltTnVtYmVyLzI3MTUxNDk0NDQ1MDAwL3NwZl9BY3Rpb25OYW1lL3NwZl9BY3Rpb25MaXN0ZW5lci9zcGZfc3RydXRzQWN0aW9uLyEyZmNsYWltcyEyZnZpZXdEZXRhaWxzLmRv/"/>
    <hyperlink ref="G79" r:id="rId27"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2NBeUFlMjA1NzAwNTMvMzEzNzM3MjM5NzY5L2NsYWltTnVtYmVyLzIwMTUxNzQyMTk2MDAwL3NwZl9BY3Rpb25OYW1lL3NwZl9BY3Rpb25MaXN0ZW5lci9zcGZfc3RydXRzQWN0aW9uLyEyZmNsYWltcyEyZnZpZXdEZXRhaWxzLmRv/"/>
    <hyperlink ref="G80" r:id="rId28" display="https://portal.hcbo.com/wps/myportal/hcbo/!ut/p/b1/hc3LDoIwEAXQb-ELOi3PLoskYAIEUJF2Q4gapOFhIkLg6wX34Oxucu4dJBCnWKMGAd1EGRJtMVRl0VddW9RrFkbOiBbTQAeAyDXhaNluSgwg4KsL4DsA4F__ijLQ8pO0XsHUZ_58GM5yjknocDWUtymQMX73TnRPk4vNbFqNn-fSEbuz69cfgI1j8GeBYhR6XfNAfGHmJnMwakTtG4k3lkxRvsThPSQ!/dl4/d5/L0lDU0lKSmdwcGlRb0tVUW9LVVFvS1VRIS9ZQVVJQUFJSUlJTU1JQ0tDRUFBSUFDR0lLQUdJT0JKQkpPQkZORk5PRkRMRExPREEvNEczYUQyZ2p2eWhEVXdwTWhRalVvNUNqR3B4eUZCTlNTQSEhL1o3X0EyNFE5TTUwMDBQRzcwSThCR1YyNjAyMEQxL3JBeUFlMjA1NzAwNTQvMzEzNzM3MjM5NzcwL2NsYWltTnVtYmVyLzI3MTUxNjkxNTUyODAwL3NwZl9BY3Rpb25OYW1lL3NwZl9BY3Rpb25MaXN0ZW5lci9zcGZfc3RydXRzQWN0aW9uLyEyZmNsYWltcyEyZnZpZXdEZXRhaWxzLmRv/"/>
    <hyperlink ref="G81" r:id="rId29" display="https://portal.hcbo.com/wps/myportal/hcbo/!ut/p/b1/hc3NDkNAFAXgZ_EEc2fGz1iOSpAMQVXNbETaRoifLkRTT1-6x92d5DvnIoUkZoxiHbDBUIHUUM1NXU3NOFTdlpVZcqIndmgAQOxZEDDHy4kJBARdgTwAAGf9OypAL68te4ffqRDLZc7aJSGRK-nUJjTKgiW0RfzM05vDuQDyMNaOOpzdvv4B7ByHkwUbo8gf-xeSK7N2mYtRrzphpv6n5pr2A_bReFE!/dl4/d5/L0lDU0lKSmdwcGlRb0tVUW9LVVFvS1VRIS9ZQVVJQUFJSUlJTU1JQ0tDRUFBSUFDR0lLQUdJT0JKQkpPQkZORk5PRkRMRExPREEvNEczYUQyZ2p2eWhEVXdwTWhRalVvNUNqR3B4eUZCTlNTQSEhL1o3X0EyNFE5TTUwMDBQRzcwSThCR1YyNjAyMEQxL1VpNEJFMTU4MDAzMy8zMTM3Mzk3NjY1MzgvY2xhaW1OdW1iZXIvMjAxNTM0MzE4NzU3MDAvc3BmX0FjdGlvbk5hbWUvc3BmX0FjdGlvbkxpc3RlbmVyL3NwZl9zdHJ1dHNBY3Rpb24vITJmY2xhaW1zITJmdmlld0RldGFpbHMuZG8!/"/>
    <hyperlink ref="G82" r:id="rId30" display="https://portal.hcbo.com/wps/myportal/hcbo/!ut/p/b1/hc3NDkNAFAXgZ_EEc2fGz1iOSpAMQVXNbETaRoifLkRTT1-6x92d5DvnIoUkZoxiHbDBUIHUUM1NXU3NOFTdlpVZcqIndmgAQOxZEDDHy4kJBARdgTwAAGf9OypAL68te4ffqRDLZc7aJSGRK-nUJjTKgiW0RfzM05vDuQDyMNaOOpzdvv4B7ByHkwUbo8gf-xeSK7N2mYtRrzphpv6n5pr2A_bReFE!/dl4/d5/L0lDU0lKSmdwcGlRb0tVUW9LVVFvS1VRIS9ZQVVJQUFJSUlJTU1JQ0tDRUFBSUFDR0lLQUdJT0JKQkpPQkZORk5PRkRMRExPREEvNEczYUQyZ2p2eWhEVXdwTWhRalVvNUNqR3B4eUZCTlNTQSEhL1o3X0EyNFE5TTUwMDBQRzcwSThCR1YyNjAyMEQxL0ppNEJFMTU4MDAzNC8zMTM3Mzk3NjY1MzkvY2xhaW1OdW1iZXIvMjAxNTMxNDE4NzEyMDAvc3BmX0FjdGlvbk5hbWUvc3BmX0FjdGlvbkxpc3RlbmVyL3NwZl9zdHJ1dHNBY3Rpb24vITJmY2xhaW1zITJmdmlld0RldGFpbHMuZG8!/"/>
  </hyperlinks>
  <pageMargins left="0.7" right="0.7" top="0.75" bottom="0.75" header="0.3" footer="0.3"/>
  <drawing r:id="rId3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selection activeCell="A171" sqref="A171"/>
    </sheetView>
  </sheetViews>
  <sheetFormatPr defaultColWidth="8.77734375" defaultRowHeight="14.4"/>
  <cols>
    <col min="1" max="1" width="15.44140625" bestFit="1" customWidth="1"/>
    <col min="2" max="2" width="16.44140625" bestFit="1" customWidth="1"/>
    <col min="3" max="3" width="20.77734375" bestFit="1" customWidth="1"/>
    <col min="6" max="6" width="13.44140625" bestFit="1" customWidth="1"/>
    <col min="7" max="7" width="41.33203125" bestFit="1" customWidth="1"/>
  </cols>
  <sheetData>
    <row r="1" spans="1:7">
      <c r="A1" s="160" t="s">
        <v>25</v>
      </c>
      <c r="B1" s="160"/>
    </row>
    <row r="2" spans="1:7">
      <c r="A2" s="159" t="s">
        <v>24</v>
      </c>
      <c r="B2" s="159"/>
      <c r="C2">
        <v>18884043721</v>
      </c>
    </row>
    <row r="4" spans="1:7">
      <c r="A4" s="160" t="s">
        <v>9</v>
      </c>
      <c r="B4" s="160"/>
    </row>
    <row r="5" spans="1:7">
      <c r="A5" s="7"/>
      <c r="B5" s="7"/>
    </row>
    <row r="6" spans="1:7">
      <c r="A6" s="9" t="s">
        <v>10</v>
      </c>
      <c r="B6" s="9" t="s">
        <v>11</v>
      </c>
      <c r="C6" s="9" t="s">
        <v>12</v>
      </c>
    </row>
    <row r="7" spans="1:7">
      <c r="A7" s="8" t="s">
        <v>2</v>
      </c>
    </row>
    <row r="8" spans="1:7">
      <c r="A8" s="2">
        <v>38797</v>
      </c>
      <c r="C8">
        <v>176.46</v>
      </c>
      <c r="F8" t="s">
        <v>181</v>
      </c>
      <c r="G8" t="s">
        <v>182</v>
      </c>
    </row>
    <row r="9" spans="1:7">
      <c r="A9" s="2">
        <v>42380</v>
      </c>
      <c r="C9">
        <v>1700</v>
      </c>
      <c r="D9" t="s">
        <v>178</v>
      </c>
      <c r="F9">
        <v>1700</v>
      </c>
    </row>
    <row r="10" spans="1:7">
      <c r="A10" s="2">
        <v>41955</v>
      </c>
      <c r="C10">
        <v>994.95</v>
      </c>
      <c r="D10" t="s">
        <v>179</v>
      </c>
    </row>
    <row r="11" spans="1:7">
      <c r="A11" s="1">
        <v>41947</v>
      </c>
      <c r="C11">
        <v>278.24</v>
      </c>
      <c r="F11">
        <v>2029.64</v>
      </c>
    </row>
    <row r="12" spans="1:7">
      <c r="A12" s="2">
        <v>42133</v>
      </c>
      <c r="C12" s="4" t="s">
        <v>177</v>
      </c>
    </row>
    <row r="13" spans="1:7">
      <c r="A13" s="2"/>
      <c r="B13" s="4"/>
      <c r="F13">
        <v>15</v>
      </c>
    </row>
    <row r="14" spans="1:7">
      <c r="A14" s="2"/>
      <c r="B14" s="4"/>
      <c r="F14">
        <v>206.1</v>
      </c>
    </row>
    <row r="15" spans="1:7">
      <c r="A15" s="2"/>
      <c r="B15" s="4"/>
      <c r="F15">
        <v>103.24</v>
      </c>
    </row>
    <row r="16" spans="1:7">
      <c r="A16" s="2"/>
      <c r="B16" s="5"/>
      <c r="F16">
        <v>1470.3</v>
      </c>
    </row>
    <row r="17" spans="1:6">
      <c r="A17" s="2"/>
      <c r="B17" s="4"/>
      <c r="F17">
        <v>42.53</v>
      </c>
    </row>
    <row r="18" spans="1:6">
      <c r="A18" s="2"/>
      <c r="B18" s="4"/>
      <c r="F18">
        <v>193.57</v>
      </c>
    </row>
    <row r="19" spans="1:6">
      <c r="A19" s="8" t="s">
        <v>14</v>
      </c>
    </row>
    <row r="20" spans="1:6">
      <c r="A20" s="2"/>
      <c r="B20" s="4"/>
      <c r="F20">
        <v>278.24</v>
      </c>
    </row>
    <row r="21" spans="1:6">
      <c r="A21" s="2"/>
      <c r="B21" s="4"/>
      <c r="F21">
        <v>158.34</v>
      </c>
    </row>
    <row r="22" spans="1:6">
      <c r="A22" s="8" t="s">
        <v>18</v>
      </c>
      <c r="F22">
        <v>55.14</v>
      </c>
    </row>
    <row r="23" spans="1:6">
      <c r="A23" s="2"/>
      <c r="B23" s="4"/>
      <c r="F23">
        <v>64.760000000000005</v>
      </c>
    </row>
    <row r="24" spans="1:6">
      <c r="A24" s="2"/>
      <c r="B24" s="4"/>
    </row>
    <row r="25" spans="1:6">
      <c r="A25" s="2"/>
      <c r="B25" s="4"/>
      <c r="F25" t="s">
        <v>180</v>
      </c>
    </row>
    <row r="26" spans="1:6">
      <c r="A26" s="8" t="s">
        <v>16</v>
      </c>
      <c r="B26" s="4"/>
    </row>
    <row r="27" spans="1:6">
      <c r="A27" s="2"/>
      <c r="B27" s="4"/>
      <c r="F27">
        <v>994.95</v>
      </c>
    </row>
    <row r="28" spans="1:6">
      <c r="A28" s="2"/>
      <c r="B28" s="4"/>
      <c r="F28">
        <v>903.6</v>
      </c>
    </row>
    <row r="29" spans="1:6">
      <c r="A29" s="2"/>
      <c r="B29" s="5"/>
      <c r="F29">
        <v>55.37</v>
      </c>
    </row>
    <row r="30" spans="1:6">
      <c r="A30" s="2"/>
      <c r="B30" s="5"/>
      <c r="F30">
        <v>35.979999999999997</v>
      </c>
    </row>
    <row r="31" spans="1:6">
      <c r="A31" s="2"/>
      <c r="B31" s="5"/>
    </row>
    <row r="32" spans="1:6">
      <c r="A32" s="2"/>
      <c r="B32" s="5"/>
    </row>
    <row r="33" spans="1:2">
      <c r="A33" s="160" t="s">
        <v>3</v>
      </c>
      <c r="B33" s="159"/>
    </row>
  </sheetData>
  <mergeCells count="4">
    <mergeCell ref="A1:B1"/>
    <mergeCell ref="A2:B2"/>
    <mergeCell ref="A4:B4"/>
    <mergeCell ref="A33:B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2:J147"/>
  <sheetViews>
    <sheetView topLeftCell="H56" workbookViewId="0">
      <selection activeCell="C14" sqref="C14"/>
    </sheetView>
  </sheetViews>
  <sheetFormatPr defaultColWidth="8.77734375" defaultRowHeight="14.4"/>
  <cols>
    <col min="1" max="1" width="14.33203125" bestFit="1" customWidth="1"/>
    <col min="2" max="2" width="22.6640625" bestFit="1" customWidth="1"/>
    <col min="3" max="3" width="29" bestFit="1" customWidth="1"/>
    <col min="4" max="4" width="35" bestFit="1" customWidth="1"/>
    <col min="5" max="5" width="16.109375" bestFit="1" customWidth="1"/>
    <col min="6" max="6" width="65.109375" bestFit="1" customWidth="1"/>
    <col min="7" max="7" width="16" bestFit="1" customWidth="1"/>
    <col min="8" max="8" width="21.44140625" bestFit="1" customWidth="1"/>
  </cols>
  <sheetData>
    <row r="2" spans="1:4">
      <c r="A2" s="160" t="s">
        <v>25</v>
      </c>
      <c r="B2" s="160"/>
    </row>
    <row r="3" spans="1:4">
      <c r="A3" s="159" t="s">
        <v>24</v>
      </c>
      <c r="B3" s="159"/>
      <c r="C3" t="s">
        <v>233</v>
      </c>
    </row>
    <row r="4" spans="1:4">
      <c r="A4" s="52" t="s">
        <v>231</v>
      </c>
      <c r="B4" s="52"/>
      <c r="C4" s="6" t="s">
        <v>232</v>
      </c>
    </row>
    <row r="6" spans="1:4">
      <c r="A6" s="160" t="s">
        <v>9</v>
      </c>
      <c r="B6" s="160"/>
    </row>
    <row r="7" spans="1:4">
      <c r="A7" s="7"/>
      <c r="B7" s="7"/>
    </row>
    <row r="8" spans="1:4">
      <c r="A8" s="9" t="s">
        <v>10</v>
      </c>
      <c r="B8" s="9" t="s">
        <v>234</v>
      </c>
      <c r="C8" s="9" t="s">
        <v>183</v>
      </c>
      <c r="D8" s="9" t="s">
        <v>227</v>
      </c>
    </row>
    <row r="9" spans="1:4">
      <c r="A9" s="8" t="s">
        <v>2</v>
      </c>
    </row>
    <row r="10" spans="1:4" ht="115.2">
      <c r="A10" s="2">
        <v>42683</v>
      </c>
      <c r="B10">
        <v>177.11</v>
      </c>
      <c r="D10" s="6" t="s">
        <v>275</v>
      </c>
    </row>
    <row r="11" spans="1:4" ht="86.4">
      <c r="A11" s="8"/>
      <c r="C11">
        <v>162</v>
      </c>
      <c r="D11" s="6" t="s">
        <v>277</v>
      </c>
    </row>
    <row r="12" spans="1:4" ht="28.8">
      <c r="A12" s="2">
        <v>42450</v>
      </c>
      <c r="C12">
        <v>176.46</v>
      </c>
      <c r="D12" s="6" t="s">
        <v>276</v>
      </c>
    </row>
    <row r="13" spans="1:4" ht="43.2">
      <c r="A13" s="2">
        <v>42380</v>
      </c>
      <c r="C13">
        <v>1700</v>
      </c>
      <c r="D13" s="6" t="s">
        <v>230</v>
      </c>
    </row>
    <row r="14" spans="1:4" ht="57.6">
      <c r="A14" s="2">
        <v>41955</v>
      </c>
      <c r="C14">
        <v>994.95</v>
      </c>
      <c r="D14" s="6" t="s">
        <v>229</v>
      </c>
    </row>
    <row r="15" spans="1:4" ht="28.8">
      <c r="A15" s="1">
        <v>41947</v>
      </c>
      <c r="C15">
        <v>278.24</v>
      </c>
      <c r="D15" s="6" t="s">
        <v>228</v>
      </c>
    </row>
    <row r="16" spans="1:4">
      <c r="A16" s="2">
        <v>42133</v>
      </c>
      <c r="C16" s="4" t="s">
        <v>177</v>
      </c>
    </row>
    <row r="17" spans="1:4">
      <c r="A17" s="2"/>
      <c r="B17" s="4"/>
    </row>
    <row r="18" spans="1:4">
      <c r="A18" s="2"/>
      <c r="B18" s="4"/>
    </row>
    <row r="19" spans="1:4">
      <c r="A19" s="2"/>
      <c r="B19" s="4"/>
    </row>
    <row r="20" spans="1:4">
      <c r="A20" s="2"/>
      <c r="B20" s="5"/>
    </row>
    <row r="21" spans="1:4">
      <c r="A21" s="2"/>
      <c r="B21" s="4"/>
    </row>
    <row r="22" spans="1:4">
      <c r="A22" s="2"/>
      <c r="B22" s="4"/>
    </row>
    <row r="23" spans="1:4">
      <c r="A23" s="8" t="s">
        <v>14</v>
      </c>
    </row>
    <row r="24" spans="1:4" ht="43.2">
      <c r="A24" s="2">
        <v>42683</v>
      </c>
      <c r="B24">
        <v>102.32</v>
      </c>
      <c r="D24" s="6" t="s">
        <v>270</v>
      </c>
    </row>
    <row r="25" spans="1:4">
      <c r="A25" s="2"/>
      <c r="B25" s="4"/>
    </row>
    <row r="26" spans="1:4">
      <c r="A26" s="2"/>
      <c r="B26" s="4"/>
    </row>
    <row r="27" spans="1:4">
      <c r="A27" s="8" t="s">
        <v>18</v>
      </c>
    </row>
    <row r="28" spans="1:4">
      <c r="A28" s="2"/>
      <c r="B28" s="4"/>
    </row>
    <row r="29" spans="1:4">
      <c r="A29" s="2"/>
      <c r="B29" s="4"/>
    </row>
    <row r="30" spans="1:4">
      <c r="A30" s="8" t="s">
        <v>16</v>
      </c>
      <c r="B30" s="4"/>
    </row>
    <row r="31" spans="1:4" ht="43.2">
      <c r="A31" s="2" t="s">
        <v>269</v>
      </c>
      <c r="C31">
        <v>173.81</v>
      </c>
      <c r="D31" s="6" t="s">
        <v>268</v>
      </c>
    </row>
    <row r="32" spans="1:4">
      <c r="A32" s="2"/>
      <c r="B32" s="4"/>
    </row>
    <row r="33" spans="1:9">
      <c r="A33" s="2"/>
      <c r="B33" s="5"/>
    </row>
    <row r="34" spans="1:9">
      <c r="A34" s="160" t="s">
        <v>235</v>
      </c>
      <c r="B34" s="159"/>
    </row>
    <row r="36" spans="1:9">
      <c r="A36" s="9" t="s">
        <v>0</v>
      </c>
      <c r="B36" s="9" t="s">
        <v>1</v>
      </c>
      <c r="C36" s="9" t="s">
        <v>237</v>
      </c>
      <c r="D36" s="9" t="s">
        <v>94</v>
      </c>
      <c r="E36" s="9" t="s">
        <v>5</v>
      </c>
      <c r="F36" s="9" t="s">
        <v>8</v>
      </c>
      <c r="G36" s="9" t="s">
        <v>6</v>
      </c>
      <c r="H36" s="9" t="s">
        <v>23</v>
      </c>
    </row>
    <row r="37" spans="1:9">
      <c r="A37" s="8" t="s">
        <v>2</v>
      </c>
    </row>
    <row r="38" spans="1:9">
      <c r="A38" t="s">
        <v>248</v>
      </c>
      <c r="B38" s="2">
        <v>42122</v>
      </c>
      <c r="C38" s="11" t="s">
        <v>7</v>
      </c>
      <c r="D38" s="11">
        <v>637</v>
      </c>
      <c r="E38" s="11">
        <v>371.82</v>
      </c>
      <c r="F38" s="11" t="s">
        <v>95</v>
      </c>
      <c r="G38" s="11">
        <v>265.18</v>
      </c>
      <c r="H38" s="11">
        <v>265.18</v>
      </c>
    </row>
    <row r="39" spans="1:9">
      <c r="A39" t="s">
        <v>249</v>
      </c>
      <c r="B39" s="2">
        <v>42137</v>
      </c>
      <c r="C39" s="11" t="s">
        <v>93</v>
      </c>
      <c r="D39" s="11">
        <v>424</v>
      </c>
      <c r="E39" s="11">
        <v>409</v>
      </c>
      <c r="F39" s="11"/>
      <c r="G39" s="11">
        <v>15</v>
      </c>
      <c r="H39" s="11">
        <v>15</v>
      </c>
    </row>
    <row r="40" spans="1:9">
      <c r="A40" t="s">
        <v>250</v>
      </c>
      <c r="B40" s="2">
        <v>42146</v>
      </c>
      <c r="C40" s="11" t="s">
        <v>92</v>
      </c>
      <c r="D40" s="11">
        <v>2497</v>
      </c>
      <c r="E40" s="11">
        <v>1239.93</v>
      </c>
      <c r="F40" s="11"/>
      <c r="G40" s="11">
        <v>1257.07</v>
      </c>
      <c r="H40" s="11">
        <v>1257.07</v>
      </c>
    </row>
    <row r="41" spans="1:9">
      <c r="A41" t="s">
        <v>251</v>
      </c>
      <c r="B41" s="2">
        <v>42194</v>
      </c>
      <c r="C41" s="11" t="s">
        <v>96</v>
      </c>
      <c r="D41" s="11">
        <v>1112</v>
      </c>
      <c r="E41" s="11">
        <v>773.76</v>
      </c>
      <c r="F41" s="11"/>
      <c r="G41" s="11">
        <v>338.34</v>
      </c>
      <c r="H41" s="11">
        <v>338.34</v>
      </c>
    </row>
    <row r="42" spans="1:9">
      <c r="A42" t="s">
        <v>252</v>
      </c>
      <c r="B42" s="2">
        <v>42201</v>
      </c>
      <c r="C42" s="11" t="s">
        <v>97</v>
      </c>
      <c r="D42" s="11">
        <v>2535</v>
      </c>
      <c r="E42" s="11">
        <v>1064.7</v>
      </c>
      <c r="F42" s="11"/>
      <c r="G42" s="11">
        <v>1470.3</v>
      </c>
      <c r="H42" s="11">
        <v>1470.3</v>
      </c>
    </row>
    <row r="43" spans="1:9">
      <c r="A43" t="s">
        <v>253</v>
      </c>
      <c r="B43" s="2">
        <v>42208</v>
      </c>
      <c r="C43" s="11" t="s">
        <v>98</v>
      </c>
      <c r="D43" s="11">
        <v>1623</v>
      </c>
      <c r="E43" s="11">
        <v>1299.54</v>
      </c>
      <c r="F43" s="11"/>
      <c r="G43" s="11">
        <v>323.45999999999998</v>
      </c>
      <c r="H43" s="11" t="s">
        <v>184</v>
      </c>
    </row>
    <row r="44" spans="1:9">
      <c r="A44" t="s">
        <v>254</v>
      </c>
      <c r="B44" s="2">
        <v>42229</v>
      </c>
      <c r="C44" s="11" t="s">
        <v>96</v>
      </c>
      <c r="D44" s="11">
        <v>642</v>
      </c>
      <c r="E44" s="11">
        <v>642</v>
      </c>
      <c r="F44" s="11"/>
      <c r="G44" s="11">
        <v>0</v>
      </c>
      <c r="H44" s="11"/>
    </row>
    <row r="45" spans="1:9">
      <c r="A45" t="s">
        <v>255</v>
      </c>
      <c r="B45" s="2">
        <v>42243</v>
      </c>
      <c r="C45" s="11" t="s">
        <v>99</v>
      </c>
      <c r="D45" s="11">
        <v>790</v>
      </c>
      <c r="E45" s="11">
        <v>775</v>
      </c>
      <c r="F45" s="11"/>
      <c r="G45" s="11">
        <v>15</v>
      </c>
      <c r="H45" s="11">
        <v>15</v>
      </c>
    </row>
    <row r="46" spans="1:9">
      <c r="A46" t="s">
        <v>256</v>
      </c>
      <c r="B46" s="2">
        <v>42312</v>
      </c>
      <c r="C46" s="11" t="s">
        <v>100</v>
      </c>
      <c r="D46" s="11">
        <v>57</v>
      </c>
      <c r="E46" s="11">
        <v>57</v>
      </c>
      <c r="F46" s="11"/>
      <c r="G46" s="11">
        <v>0</v>
      </c>
      <c r="H46" s="11"/>
    </row>
    <row r="47" spans="1:9" ht="41.4">
      <c r="A47" t="s">
        <v>257</v>
      </c>
      <c r="B47" s="2">
        <v>42444</v>
      </c>
      <c r="C47" s="12" t="s">
        <v>236</v>
      </c>
      <c r="D47" s="11">
        <v>502</v>
      </c>
      <c r="E47" s="11">
        <v>487</v>
      </c>
      <c r="F47" s="11"/>
      <c r="G47" s="11">
        <v>15</v>
      </c>
      <c r="H47" s="12" t="s">
        <v>238</v>
      </c>
    </row>
    <row r="48" spans="1:9">
      <c r="A48" t="s">
        <v>258</v>
      </c>
      <c r="B48" s="2">
        <v>42530</v>
      </c>
      <c r="C48" s="11" t="s">
        <v>239</v>
      </c>
      <c r="D48" s="11"/>
      <c r="E48" s="11"/>
      <c r="F48" s="11">
        <v>15</v>
      </c>
      <c r="G48" s="11"/>
      <c r="H48" s="11"/>
      <c r="I48" s="12"/>
    </row>
    <row r="49" spans="1:9" ht="165.6">
      <c r="A49" t="s">
        <v>273</v>
      </c>
      <c r="B49" s="2">
        <v>42563</v>
      </c>
      <c r="C49" s="11" t="s">
        <v>274</v>
      </c>
      <c r="D49" s="11">
        <v>555</v>
      </c>
      <c r="E49" s="12" t="s">
        <v>244</v>
      </c>
      <c r="F49" s="11">
        <v>15</v>
      </c>
      <c r="G49" s="12" t="s">
        <v>241</v>
      </c>
      <c r="I49" s="11"/>
    </row>
    <row r="50" spans="1:9">
      <c r="A50" s="8" t="s">
        <v>14</v>
      </c>
    </row>
    <row r="51" spans="1:9" ht="27.6">
      <c r="A51" t="s">
        <v>259</v>
      </c>
      <c r="B51" s="2">
        <v>42107</v>
      </c>
      <c r="C51" s="12" t="s">
        <v>20</v>
      </c>
      <c r="D51" s="11">
        <v>445</v>
      </c>
      <c r="E51" s="11">
        <v>325.10000000000002</v>
      </c>
      <c r="F51" s="11"/>
      <c r="G51" s="11">
        <v>119.9</v>
      </c>
      <c r="H51" s="11">
        <v>119.9</v>
      </c>
    </row>
    <row r="52" spans="1:9">
      <c r="A52" t="s">
        <v>260</v>
      </c>
      <c r="B52" s="2">
        <v>42312</v>
      </c>
      <c r="C52" s="12" t="s">
        <v>101</v>
      </c>
      <c r="D52" s="11">
        <v>426</v>
      </c>
      <c r="E52" s="11">
        <v>426</v>
      </c>
      <c r="F52" s="11"/>
      <c r="G52" s="11">
        <v>0</v>
      </c>
      <c r="H52" s="11"/>
    </row>
    <row r="53" spans="1:9" ht="41.4">
      <c r="A53" t="s">
        <v>261</v>
      </c>
      <c r="B53" s="2">
        <v>42444</v>
      </c>
      <c r="C53" s="12" t="s">
        <v>240</v>
      </c>
      <c r="D53" s="11">
        <v>225</v>
      </c>
      <c r="E53" s="11">
        <v>122.68</v>
      </c>
      <c r="F53" s="11"/>
      <c r="G53" s="11">
        <v>102.32</v>
      </c>
      <c r="H53" s="12" t="s">
        <v>242</v>
      </c>
    </row>
    <row r="54" spans="1:9" ht="165.6">
      <c r="A54" t="s">
        <v>262</v>
      </c>
      <c r="B54" s="2">
        <v>42614</v>
      </c>
      <c r="C54" s="11" t="s">
        <v>243</v>
      </c>
      <c r="D54" s="11">
        <v>483</v>
      </c>
      <c r="E54" s="12" t="s">
        <v>245</v>
      </c>
      <c r="F54" s="11"/>
      <c r="G54" s="12" t="s">
        <v>246</v>
      </c>
      <c r="H54" s="12"/>
    </row>
    <row r="55" spans="1:9">
      <c r="A55" s="8" t="s">
        <v>18</v>
      </c>
    </row>
    <row r="56" spans="1:9">
      <c r="A56" t="s">
        <v>263</v>
      </c>
      <c r="B56" s="60">
        <v>42312</v>
      </c>
      <c r="C56" s="61" t="s">
        <v>100</v>
      </c>
      <c r="D56" s="61">
        <v>57</v>
      </c>
      <c r="E56" s="61">
        <v>57</v>
      </c>
      <c r="F56" s="61"/>
      <c r="G56" s="61">
        <v>0</v>
      </c>
      <c r="H56" s="62"/>
    </row>
    <row r="57" spans="1:9">
      <c r="A57" t="s">
        <v>264</v>
      </c>
      <c r="B57" s="60">
        <v>42347</v>
      </c>
      <c r="C57" s="61" t="s">
        <v>103</v>
      </c>
      <c r="D57" s="61">
        <v>353</v>
      </c>
      <c r="E57" s="61">
        <v>353</v>
      </c>
      <c r="F57" s="61"/>
      <c r="G57" s="61">
        <v>0</v>
      </c>
      <c r="H57" s="62"/>
    </row>
    <row r="58" spans="1:9">
      <c r="A58" s="8" t="s">
        <v>16</v>
      </c>
    </row>
    <row r="59" spans="1:9">
      <c r="A59" t="s">
        <v>265</v>
      </c>
      <c r="B59" s="63">
        <v>42304</v>
      </c>
      <c r="C59" s="61" t="s">
        <v>102</v>
      </c>
      <c r="D59" s="61">
        <v>456</v>
      </c>
      <c r="E59" s="61">
        <v>456</v>
      </c>
      <c r="F59" s="61"/>
      <c r="G59" s="61">
        <v>0</v>
      </c>
      <c r="H59" s="64"/>
    </row>
    <row r="60" spans="1:9">
      <c r="A60" t="s">
        <v>266</v>
      </c>
      <c r="B60" s="65">
        <v>42312</v>
      </c>
      <c r="C60" s="61" t="s">
        <v>100</v>
      </c>
      <c r="D60" s="61">
        <v>57</v>
      </c>
      <c r="E60" s="61">
        <v>57</v>
      </c>
      <c r="F60" s="62"/>
      <c r="G60" s="61">
        <v>0</v>
      </c>
      <c r="H60" s="62"/>
    </row>
    <row r="61" spans="1:9" ht="27.6">
      <c r="A61" t="s">
        <v>267</v>
      </c>
      <c r="B61" s="65">
        <v>42444</v>
      </c>
      <c r="C61" s="12" t="s">
        <v>247</v>
      </c>
      <c r="D61" s="61">
        <v>464</v>
      </c>
      <c r="E61" s="61">
        <v>290.19</v>
      </c>
      <c r="F61" s="62"/>
      <c r="G61" s="61">
        <v>173.81</v>
      </c>
      <c r="H61" s="61">
        <v>173.81</v>
      </c>
    </row>
    <row r="63" spans="1:9">
      <c r="A63" s="160" t="s">
        <v>30</v>
      </c>
      <c r="B63" s="159"/>
      <c r="C63" s="159"/>
    </row>
    <row r="64" spans="1:9">
      <c r="A64" s="7"/>
      <c r="B64" s="52"/>
      <c r="C64" s="52"/>
    </row>
    <row r="65" spans="1:8" ht="28.2" thickBot="1">
      <c r="A65" s="53" t="s">
        <v>185</v>
      </c>
      <c r="B65" s="53" t="s">
        <v>186</v>
      </c>
      <c r="C65" s="53" t="s">
        <v>187</v>
      </c>
      <c r="D65" s="53" t="s">
        <v>188</v>
      </c>
      <c r="E65" s="53" t="s">
        <v>189</v>
      </c>
      <c r="F65" s="53" t="s">
        <v>190</v>
      </c>
      <c r="G65" s="53" t="s">
        <v>81</v>
      </c>
    </row>
    <row r="66" spans="1:8" ht="15" thickBot="1">
      <c r="A66" s="55">
        <v>42656</v>
      </c>
      <c r="B66" s="54" t="s">
        <v>206</v>
      </c>
      <c r="C66" s="54" t="s">
        <v>192</v>
      </c>
      <c r="D66" s="54" t="s">
        <v>171</v>
      </c>
      <c r="E66" s="56">
        <v>0</v>
      </c>
      <c r="F66" s="56">
        <v>82</v>
      </c>
      <c r="G66" s="54" t="s">
        <v>193</v>
      </c>
    </row>
    <row r="67" spans="1:8" ht="42" thickBot="1">
      <c r="A67" s="55">
        <v>42563</v>
      </c>
      <c r="B67" s="54" t="s">
        <v>206</v>
      </c>
      <c r="C67" s="54" t="s">
        <v>194</v>
      </c>
      <c r="D67" s="54" t="s">
        <v>171</v>
      </c>
      <c r="E67" s="56">
        <v>177.11</v>
      </c>
      <c r="F67" s="56">
        <v>555</v>
      </c>
      <c r="G67" s="54" t="s">
        <v>193</v>
      </c>
      <c r="H67" s="66" t="s">
        <v>279</v>
      </c>
    </row>
    <row r="68" spans="1:8" ht="15" thickBot="1">
      <c r="A68" s="55">
        <v>42530</v>
      </c>
      <c r="B68" s="54" t="s">
        <v>206</v>
      </c>
      <c r="C68" s="54" t="s">
        <v>194</v>
      </c>
      <c r="D68" s="54" t="s">
        <v>171</v>
      </c>
      <c r="E68" s="56">
        <v>15</v>
      </c>
      <c r="F68" s="56">
        <v>505</v>
      </c>
      <c r="G68" s="54" t="s">
        <v>193</v>
      </c>
      <c r="H68" s="66" t="s">
        <v>223</v>
      </c>
    </row>
    <row r="69" spans="1:8" ht="15" thickBot="1">
      <c r="A69" s="55">
        <v>42530</v>
      </c>
      <c r="B69" s="54" t="s">
        <v>206</v>
      </c>
      <c r="C69" s="54" t="s">
        <v>207</v>
      </c>
      <c r="D69" s="54" t="s">
        <v>205</v>
      </c>
      <c r="E69" s="56">
        <v>4.96</v>
      </c>
      <c r="F69" s="56">
        <v>171.85</v>
      </c>
      <c r="G69" s="54" t="s">
        <v>193</v>
      </c>
    </row>
    <row r="70" spans="1:8" ht="28.2" thickBot="1">
      <c r="A70" s="55">
        <v>42444</v>
      </c>
      <c r="B70" s="54" t="s">
        <v>206</v>
      </c>
      <c r="C70" s="54" t="s">
        <v>208</v>
      </c>
      <c r="D70" s="54" t="s">
        <v>171</v>
      </c>
      <c r="E70" s="56">
        <v>0</v>
      </c>
      <c r="F70" s="56">
        <v>172</v>
      </c>
      <c r="G70" s="54" t="s">
        <v>193</v>
      </c>
    </row>
    <row r="71" spans="1:8" ht="28.2" thickBot="1">
      <c r="A71" s="55">
        <v>42444</v>
      </c>
      <c r="B71" s="54" t="s">
        <v>206</v>
      </c>
      <c r="C71" s="54" t="s">
        <v>208</v>
      </c>
      <c r="D71" s="54" t="s">
        <v>171</v>
      </c>
      <c r="E71" s="56">
        <v>15</v>
      </c>
      <c r="F71" s="56">
        <v>330</v>
      </c>
      <c r="G71" s="54" t="s">
        <v>193</v>
      </c>
      <c r="H71" s="66" t="s">
        <v>280</v>
      </c>
    </row>
    <row r="72" spans="1:8" ht="15" thickBot="1">
      <c r="A72" s="55">
        <v>42312</v>
      </c>
      <c r="B72" s="54" t="s">
        <v>206</v>
      </c>
      <c r="C72" s="54" t="s">
        <v>173</v>
      </c>
      <c r="D72" s="54" t="s">
        <v>171</v>
      </c>
      <c r="E72" s="56">
        <v>0</v>
      </c>
      <c r="F72" s="56">
        <v>57</v>
      </c>
      <c r="G72" s="54" t="s">
        <v>193</v>
      </c>
    </row>
    <row r="73" spans="1:8" ht="15" thickBot="1">
      <c r="A73" s="55">
        <v>42263</v>
      </c>
      <c r="B73" s="54" t="s">
        <v>206</v>
      </c>
      <c r="C73" s="54" t="s">
        <v>209</v>
      </c>
      <c r="D73" s="54" t="s">
        <v>205</v>
      </c>
      <c r="E73" s="56">
        <v>0</v>
      </c>
      <c r="F73" s="56">
        <v>0</v>
      </c>
      <c r="G73" s="54" t="s">
        <v>193</v>
      </c>
    </row>
    <row r="74" spans="1:8" ht="15" thickBot="1">
      <c r="A74" s="55">
        <v>42243</v>
      </c>
      <c r="B74" s="54" t="s">
        <v>206</v>
      </c>
      <c r="C74" s="54" t="s">
        <v>173</v>
      </c>
      <c r="D74" s="54" t="s">
        <v>171</v>
      </c>
      <c r="E74" s="56">
        <v>0</v>
      </c>
      <c r="F74" s="56">
        <v>95</v>
      </c>
      <c r="G74" s="54" t="s">
        <v>193</v>
      </c>
    </row>
    <row r="75" spans="1:8" ht="28.2" thickBot="1">
      <c r="A75" s="55">
        <v>42243</v>
      </c>
      <c r="B75" s="54" t="s">
        <v>206</v>
      </c>
      <c r="C75" s="54" t="s">
        <v>210</v>
      </c>
      <c r="D75" s="54" t="s">
        <v>171</v>
      </c>
      <c r="E75" s="56">
        <v>15</v>
      </c>
      <c r="F75" s="56">
        <v>695</v>
      </c>
      <c r="G75" s="54" t="s">
        <v>193</v>
      </c>
      <c r="H75" s="66" t="s">
        <v>220</v>
      </c>
    </row>
    <row r="76" spans="1:8" ht="15" thickBot="1">
      <c r="A76" s="55">
        <v>42229</v>
      </c>
      <c r="B76" s="54" t="s">
        <v>206</v>
      </c>
      <c r="C76" s="54" t="s">
        <v>173</v>
      </c>
      <c r="D76" s="54" t="s">
        <v>171</v>
      </c>
      <c r="E76" s="56">
        <v>0</v>
      </c>
      <c r="F76" s="56">
        <v>313</v>
      </c>
      <c r="G76" s="54" t="s">
        <v>193</v>
      </c>
    </row>
    <row r="77" spans="1:8" ht="15" thickBot="1">
      <c r="A77" s="55">
        <v>42229</v>
      </c>
      <c r="B77" s="54" t="s">
        <v>206</v>
      </c>
      <c r="C77" s="54" t="s">
        <v>201</v>
      </c>
      <c r="D77" s="54" t="s">
        <v>171</v>
      </c>
      <c r="E77" s="56">
        <v>15</v>
      </c>
      <c r="F77" s="56">
        <v>329</v>
      </c>
      <c r="G77" s="54" t="s">
        <v>193</v>
      </c>
      <c r="H77" s="66" t="s">
        <v>224</v>
      </c>
    </row>
    <row r="78" spans="1:8" ht="15" thickBot="1">
      <c r="A78" s="55">
        <v>42229</v>
      </c>
      <c r="B78" s="54" t="s">
        <v>206</v>
      </c>
      <c r="C78" s="54" t="s">
        <v>209</v>
      </c>
      <c r="D78" s="54" t="s">
        <v>205</v>
      </c>
      <c r="E78" s="56">
        <v>5.91</v>
      </c>
      <c r="F78" s="56">
        <v>56.29</v>
      </c>
      <c r="G78" s="54" t="s">
        <v>193</v>
      </c>
    </row>
    <row r="79" spans="1:8" ht="15" thickBot="1">
      <c r="A79" s="55">
        <v>42209</v>
      </c>
      <c r="B79" s="54" t="s">
        <v>206</v>
      </c>
      <c r="C79" s="54" t="s">
        <v>173</v>
      </c>
      <c r="D79" s="54" t="s">
        <v>171</v>
      </c>
      <c r="E79" s="56">
        <v>0</v>
      </c>
      <c r="F79" s="56">
        <v>279</v>
      </c>
      <c r="G79" s="54" t="s">
        <v>193</v>
      </c>
    </row>
    <row r="80" spans="1:8" ht="28.2" thickBot="1">
      <c r="A80" s="55">
        <v>42209</v>
      </c>
      <c r="B80" s="54" t="s">
        <v>206</v>
      </c>
      <c r="C80" s="54" t="s">
        <v>211</v>
      </c>
      <c r="D80" s="54" t="s">
        <v>171</v>
      </c>
      <c r="E80" s="56">
        <v>176.46</v>
      </c>
      <c r="F80" s="56">
        <v>291</v>
      </c>
      <c r="G80" s="54" t="s">
        <v>193</v>
      </c>
      <c r="H80" s="66" t="s">
        <v>221</v>
      </c>
    </row>
    <row r="81" spans="1:8" ht="15" thickBot="1">
      <c r="A81" s="55">
        <v>42209</v>
      </c>
      <c r="B81" s="54" t="s">
        <v>206</v>
      </c>
      <c r="C81" s="54" t="s">
        <v>212</v>
      </c>
      <c r="D81" s="54" t="s">
        <v>171</v>
      </c>
      <c r="E81" s="56">
        <v>15</v>
      </c>
      <c r="F81" s="56">
        <v>213</v>
      </c>
      <c r="G81" s="54" t="s">
        <v>193</v>
      </c>
      <c r="H81" s="66" t="s">
        <v>224</v>
      </c>
    </row>
    <row r="82" spans="1:8" ht="15" thickBot="1">
      <c r="A82" s="55">
        <v>42208</v>
      </c>
      <c r="B82" s="54" t="s">
        <v>206</v>
      </c>
      <c r="C82" s="54" t="s">
        <v>213</v>
      </c>
      <c r="D82" s="54" t="s">
        <v>171</v>
      </c>
      <c r="E82" s="56">
        <v>147</v>
      </c>
      <c r="F82" s="56">
        <v>840</v>
      </c>
      <c r="G82" s="54" t="s">
        <v>193</v>
      </c>
      <c r="H82" s="76" t="s">
        <v>220</v>
      </c>
    </row>
    <row r="83" spans="1:8" ht="15" thickBot="1">
      <c r="A83" s="55">
        <v>42201</v>
      </c>
      <c r="B83" s="54" t="s">
        <v>206</v>
      </c>
      <c r="C83" s="54" t="s">
        <v>173</v>
      </c>
      <c r="D83" s="54" t="s">
        <v>171</v>
      </c>
      <c r="E83" s="56">
        <v>1470.3</v>
      </c>
      <c r="F83" s="56">
        <v>2535</v>
      </c>
      <c r="G83" s="54" t="s">
        <v>193</v>
      </c>
    </row>
    <row r="84" spans="1:8" ht="15" thickBot="1">
      <c r="A84" s="55">
        <v>42194</v>
      </c>
      <c r="B84" s="54" t="s">
        <v>206</v>
      </c>
      <c r="C84" s="54" t="s">
        <v>173</v>
      </c>
      <c r="D84" s="54" t="s">
        <v>171</v>
      </c>
      <c r="E84" s="56">
        <v>103.24</v>
      </c>
      <c r="F84" s="56">
        <v>178</v>
      </c>
      <c r="G84" s="54" t="s">
        <v>193</v>
      </c>
    </row>
    <row r="85" spans="1:8" ht="15" thickBot="1">
      <c r="A85" s="55">
        <v>42194</v>
      </c>
      <c r="B85" s="54" t="s">
        <v>206</v>
      </c>
      <c r="C85" s="54" t="s">
        <v>212</v>
      </c>
      <c r="D85" s="54" t="s">
        <v>171</v>
      </c>
      <c r="E85" s="56">
        <v>250</v>
      </c>
      <c r="F85" s="56">
        <v>934</v>
      </c>
      <c r="G85" s="54" t="s">
        <v>193</v>
      </c>
    </row>
    <row r="86" spans="1:8" ht="15" thickBot="1">
      <c r="A86" s="55">
        <v>42146</v>
      </c>
      <c r="B86" s="54" t="s">
        <v>206</v>
      </c>
      <c r="C86" s="54" t="s">
        <v>173</v>
      </c>
      <c r="D86" s="54" t="s">
        <v>171</v>
      </c>
      <c r="E86" s="56">
        <v>1050.97</v>
      </c>
      <c r="F86" s="56">
        <v>2216</v>
      </c>
      <c r="G86" s="54" t="s">
        <v>193</v>
      </c>
    </row>
    <row r="87" spans="1:8" ht="15" thickBot="1">
      <c r="A87" s="55">
        <v>42146</v>
      </c>
      <c r="B87" s="54" t="s">
        <v>206</v>
      </c>
      <c r="C87" s="54" t="s">
        <v>214</v>
      </c>
      <c r="D87" s="54" t="s">
        <v>171</v>
      </c>
      <c r="E87" s="56">
        <v>206.1</v>
      </c>
      <c r="F87" s="56">
        <v>281</v>
      </c>
      <c r="G87" s="54" t="s">
        <v>193</v>
      </c>
    </row>
    <row r="88" spans="1:8" ht="15" thickBot="1">
      <c r="A88" s="55">
        <v>42137</v>
      </c>
      <c r="B88" s="54" t="s">
        <v>206</v>
      </c>
      <c r="C88" s="54" t="s">
        <v>173</v>
      </c>
      <c r="D88" s="54" t="s">
        <v>171</v>
      </c>
      <c r="E88" s="56">
        <v>0</v>
      </c>
      <c r="F88" s="56">
        <v>95</v>
      </c>
      <c r="G88" s="54" t="s">
        <v>193</v>
      </c>
    </row>
    <row r="89" spans="1:8" ht="15" thickBot="1">
      <c r="A89" s="55">
        <v>42137</v>
      </c>
      <c r="B89" s="54" t="s">
        <v>206</v>
      </c>
      <c r="C89" s="54" t="s">
        <v>201</v>
      </c>
      <c r="D89" s="54" t="s">
        <v>171</v>
      </c>
      <c r="E89" s="56">
        <v>15</v>
      </c>
      <c r="F89" s="56">
        <v>329</v>
      </c>
      <c r="G89" s="54" t="s">
        <v>193</v>
      </c>
    </row>
    <row r="90" spans="1:8" ht="15" thickBot="1">
      <c r="A90" s="55">
        <v>42122</v>
      </c>
      <c r="B90" s="54" t="s">
        <v>206</v>
      </c>
      <c r="C90" s="54" t="s">
        <v>173</v>
      </c>
      <c r="D90" s="54" t="s">
        <v>171</v>
      </c>
      <c r="E90" s="56">
        <v>158.34</v>
      </c>
      <c r="F90" s="56">
        <v>368</v>
      </c>
      <c r="G90" s="54" t="s">
        <v>193</v>
      </c>
    </row>
    <row r="91" spans="1:8" ht="15" thickBot="1">
      <c r="A91" s="55">
        <v>42122</v>
      </c>
      <c r="B91" s="54" t="s">
        <v>206</v>
      </c>
      <c r="C91" s="54" t="s">
        <v>215</v>
      </c>
      <c r="D91" s="54" t="s">
        <v>171</v>
      </c>
      <c r="E91" s="56">
        <v>79.760000000000005</v>
      </c>
      <c r="F91" s="56">
        <v>213</v>
      </c>
      <c r="G91" s="54" t="s">
        <v>193</v>
      </c>
    </row>
    <row r="92" spans="1:8" ht="15" thickBot="1">
      <c r="A92" s="55">
        <v>42122</v>
      </c>
      <c r="B92" s="54" t="s">
        <v>206</v>
      </c>
      <c r="C92" s="54" t="s">
        <v>216</v>
      </c>
      <c r="D92" s="54" t="s">
        <v>171</v>
      </c>
      <c r="E92" s="56">
        <v>42.08</v>
      </c>
      <c r="F92" s="56">
        <v>56</v>
      </c>
      <c r="G92" s="54" t="s">
        <v>193</v>
      </c>
    </row>
    <row r="93" spans="1:8" ht="15" thickBot="1">
      <c r="A93" s="55">
        <v>42656</v>
      </c>
      <c r="B93" s="54" t="s">
        <v>217</v>
      </c>
      <c r="C93" s="54" t="s">
        <v>192</v>
      </c>
      <c r="D93" s="54" t="s">
        <v>171</v>
      </c>
      <c r="E93" s="56">
        <v>0</v>
      </c>
      <c r="F93" s="56">
        <v>82</v>
      </c>
      <c r="G93" s="54" t="s">
        <v>193</v>
      </c>
    </row>
    <row r="94" spans="1:8" ht="28.2" thickBot="1">
      <c r="A94" s="55">
        <v>42444</v>
      </c>
      <c r="B94" s="54" t="s">
        <v>217</v>
      </c>
      <c r="C94" s="54" t="s">
        <v>208</v>
      </c>
      <c r="D94" s="54" t="s">
        <v>171</v>
      </c>
      <c r="E94" s="56">
        <v>173.81</v>
      </c>
      <c r="F94" s="56">
        <v>464</v>
      </c>
      <c r="G94" s="54" t="s">
        <v>193</v>
      </c>
      <c r="H94" s="66" t="s">
        <v>281</v>
      </c>
    </row>
    <row r="95" spans="1:8" ht="15" thickBot="1">
      <c r="A95" s="55">
        <v>42347</v>
      </c>
      <c r="B95" s="54" t="s">
        <v>217</v>
      </c>
      <c r="C95" s="54" t="s">
        <v>209</v>
      </c>
      <c r="D95" s="54" t="s">
        <v>205</v>
      </c>
      <c r="E95" s="56">
        <v>1.65</v>
      </c>
      <c r="F95" s="56">
        <v>7.68</v>
      </c>
      <c r="G95" s="54" t="s">
        <v>193</v>
      </c>
    </row>
    <row r="96" spans="1:8" ht="15" thickBot="1">
      <c r="A96" s="55">
        <v>42312</v>
      </c>
      <c r="B96" s="54" t="s">
        <v>217</v>
      </c>
      <c r="C96" s="54" t="s">
        <v>173</v>
      </c>
      <c r="D96" s="54" t="s">
        <v>171</v>
      </c>
      <c r="E96" s="56">
        <v>0</v>
      </c>
      <c r="F96" s="56">
        <v>57</v>
      </c>
      <c r="G96" s="54" t="s">
        <v>193</v>
      </c>
    </row>
    <row r="97" spans="1:8" ht="15" thickBot="1">
      <c r="A97" s="55">
        <v>42304</v>
      </c>
      <c r="B97" s="54" t="s">
        <v>217</v>
      </c>
      <c r="C97" s="54" t="s">
        <v>173</v>
      </c>
      <c r="D97" s="54" t="s">
        <v>171</v>
      </c>
      <c r="E97" s="56">
        <v>0</v>
      </c>
      <c r="F97" s="56">
        <v>456</v>
      </c>
      <c r="G97" s="54" t="s">
        <v>193</v>
      </c>
    </row>
    <row r="98" spans="1:8" ht="15" thickBot="1">
      <c r="A98" s="55">
        <v>41978</v>
      </c>
      <c r="B98" s="54" t="s">
        <v>217</v>
      </c>
      <c r="C98" s="54" t="s">
        <v>209</v>
      </c>
      <c r="D98" s="54" t="s">
        <v>205</v>
      </c>
      <c r="E98" s="56">
        <v>4</v>
      </c>
      <c r="F98" s="56">
        <v>4</v>
      </c>
      <c r="G98" s="54" t="s">
        <v>193</v>
      </c>
    </row>
    <row r="99" spans="1:8" ht="15" thickBot="1">
      <c r="A99" s="55">
        <v>41968</v>
      </c>
      <c r="B99" s="54" t="s">
        <v>217</v>
      </c>
      <c r="C99" s="54" t="s">
        <v>173</v>
      </c>
      <c r="D99" s="54" t="s">
        <v>171</v>
      </c>
      <c r="E99" s="56">
        <v>1169</v>
      </c>
      <c r="F99" s="56">
        <v>1169</v>
      </c>
      <c r="G99" s="54" t="s">
        <v>193</v>
      </c>
    </row>
    <row r="100" spans="1:8" ht="15" thickBot="1">
      <c r="A100" s="55">
        <v>41968</v>
      </c>
      <c r="B100" s="54" t="s">
        <v>217</v>
      </c>
      <c r="C100" s="54" t="s">
        <v>218</v>
      </c>
      <c r="D100" s="54" t="s">
        <v>171</v>
      </c>
      <c r="E100" s="56">
        <v>206.1</v>
      </c>
      <c r="F100" s="56">
        <v>281</v>
      </c>
      <c r="G100" s="54" t="s">
        <v>193</v>
      </c>
    </row>
    <row r="101" spans="1:8" ht="15" thickBot="1">
      <c r="A101" s="55">
        <v>41964</v>
      </c>
      <c r="B101" s="54" t="s">
        <v>217</v>
      </c>
      <c r="C101" s="54" t="s">
        <v>173</v>
      </c>
      <c r="D101" s="54" t="s">
        <v>171</v>
      </c>
      <c r="E101" s="56">
        <v>0</v>
      </c>
      <c r="F101" s="56">
        <v>91</v>
      </c>
      <c r="G101" s="54" t="s">
        <v>193</v>
      </c>
    </row>
    <row r="102" spans="1:8" ht="15" thickBot="1">
      <c r="A102" s="55">
        <v>41964</v>
      </c>
      <c r="B102" s="54" t="s">
        <v>217</v>
      </c>
      <c r="C102" s="54" t="s">
        <v>219</v>
      </c>
      <c r="D102" s="54" t="s">
        <v>171</v>
      </c>
      <c r="E102" s="56">
        <v>117.93</v>
      </c>
      <c r="F102" s="56">
        <v>329</v>
      </c>
      <c r="G102" s="54" t="s">
        <v>193</v>
      </c>
    </row>
    <row r="103" spans="1:8" ht="15" thickBot="1">
      <c r="A103" s="55">
        <v>41953</v>
      </c>
      <c r="B103" s="54" t="s">
        <v>217</v>
      </c>
      <c r="C103" s="54" t="s">
        <v>209</v>
      </c>
      <c r="D103" s="54" t="s">
        <v>205</v>
      </c>
      <c r="E103" s="56">
        <v>1.9</v>
      </c>
      <c r="F103" s="56">
        <v>7.52</v>
      </c>
      <c r="G103" s="54" t="s">
        <v>193</v>
      </c>
    </row>
    <row r="104" spans="1:8" ht="15" thickBot="1">
      <c r="A104" s="55">
        <v>42656</v>
      </c>
      <c r="B104" s="54" t="s">
        <v>191</v>
      </c>
      <c r="C104" s="54" t="s">
        <v>192</v>
      </c>
      <c r="D104" s="54" t="s">
        <v>171</v>
      </c>
      <c r="E104" s="56">
        <v>0</v>
      </c>
      <c r="F104" s="56">
        <v>82</v>
      </c>
      <c r="G104" s="54" t="s">
        <v>193</v>
      </c>
    </row>
    <row r="105" spans="1:8" ht="15" thickBot="1">
      <c r="A105" s="55">
        <v>42614</v>
      </c>
      <c r="B105" s="54" t="s">
        <v>191</v>
      </c>
      <c r="C105" s="54" t="s">
        <v>194</v>
      </c>
      <c r="D105" s="54" t="s">
        <v>171</v>
      </c>
      <c r="E105" s="56">
        <v>0</v>
      </c>
      <c r="F105" s="56">
        <v>483</v>
      </c>
      <c r="G105" s="54" t="s">
        <v>193</v>
      </c>
    </row>
    <row r="106" spans="1:8" ht="28.2" thickBot="1">
      <c r="A106" s="55">
        <v>42607</v>
      </c>
      <c r="B106" s="54" t="s">
        <v>191</v>
      </c>
      <c r="C106" s="54" t="s">
        <v>195</v>
      </c>
      <c r="D106" s="54" t="s">
        <v>171</v>
      </c>
      <c r="E106" s="56">
        <v>0</v>
      </c>
      <c r="F106" s="56">
        <v>130</v>
      </c>
      <c r="G106" s="54" t="s">
        <v>193</v>
      </c>
    </row>
    <row r="107" spans="1:8" ht="28.2" thickBot="1">
      <c r="A107" s="55">
        <v>42444</v>
      </c>
      <c r="B107" s="54" t="s">
        <v>191</v>
      </c>
      <c r="C107" s="54" t="s">
        <v>196</v>
      </c>
      <c r="D107" s="54" t="s">
        <v>171</v>
      </c>
      <c r="E107" s="56">
        <v>102.32</v>
      </c>
      <c r="F107" s="56">
        <v>225</v>
      </c>
      <c r="G107" s="54" t="s">
        <v>193</v>
      </c>
      <c r="H107" s="66" t="s">
        <v>282</v>
      </c>
    </row>
    <row r="108" spans="1:8" ht="28.2" thickBot="1">
      <c r="A108" s="55">
        <v>42355</v>
      </c>
      <c r="B108" s="54" t="s">
        <v>191</v>
      </c>
      <c r="C108" s="54" t="s">
        <v>197</v>
      </c>
      <c r="D108" s="54" t="s">
        <v>198</v>
      </c>
      <c r="E108" s="56">
        <v>0</v>
      </c>
      <c r="F108" s="56">
        <v>315</v>
      </c>
      <c r="G108" s="54" t="s">
        <v>193</v>
      </c>
    </row>
    <row r="109" spans="1:8" ht="15" thickBot="1">
      <c r="A109" s="55">
        <v>42339</v>
      </c>
      <c r="B109" s="54" t="s">
        <v>191</v>
      </c>
      <c r="C109" s="54" t="s">
        <v>199</v>
      </c>
      <c r="D109" s="54" t="s">
        <v>171</v>
      </c>
      <c r="E109" s="56">
        <v>1610</v>
      </c>
      <c r="F109" s="56">
        <v>1610</v>
      </c>
      <c r="G109" s="54" t="s">
        <v>193</v>
      </c>
    </row>
    <row r="110" spans="1:8" ht="15" thickBot="1">
      <c r="A110" s="55">
        <v>42339</v>
      </c>
      <c r="B110" s="54" t="s">
        <v>191</v>
      </c>
      <c r="C110" s="54" t="s">
        <v>200</v>
      </c>
      <c r="D110" s="54" t="s">
        <v>171</v>
      </c>
      <c r="E110" s="56">
        <v>1596</v>
      </c>
      <c r="F110" s="56">
        <v>1596</v>
      </c>
      <c r="G110" s="54" t="s">
        <v>193</v>
      </c>
    </row>
    <row r="111" spans="1:8" ht="28.2" thickBot="1">
      <c r="A111" s="55">
        <v>42339</v>
      </c>
      <c r="B111" s="54" t="s">
        <v>191</v>
      </c>
      <c r="C111" s="54" t="s">
        <v>197</v>
      </c>
      <c r="D111" s="54" t="s">
        <v>198</v>
      </c>
      <c r="E111" s="56">
        <v>499.3</v>
      </c>
      <c r="F111" s="56">
        <v>1772</v>
      </c>
      <c r="G111" s="54" t="s">
        <v>193</v>
      </c>
    </row>
    <row r="112" spans="1:8" ht="28.2" thickBot="1">
      <c r="A112" s="55">
        <v>42318</v>
      </c>
      <c r="B112" s="54" t="s">
        <v>191</v>
      </c>
      <c r="C112" s="54" t="s">
        <v>197</v>
      </c>
      <c r="D112" s="54" t="s">
        <v>198</v>
      </c>
      <c r="E112" s="56">
        <v>0</v>
      </c>
      <c r="F112" s="56">
        <v>122</v>
      </c>
      <c r="G112" s="54" t="s">
        <v>193</v>
      </c>
    </row>
    <row r="113" spans="1:7" ht="15" thickBot="1">
      <c r="A113" s="55">
        <v>42312</v>
      </c>
      <c r="B113" s="54" t="s">
        <v>191</v>
      </c>
      <c r="C113" s="54" t="s">
        <v>173</v>
      </c>
      <c r="D113" s="54" t="s">
        <v>171</v>
      </c>
      <c r="E113" s="56">
        <v>0</v>
      </c>
      <c r="F113" s="56">
        <v>111</v>
      </c>
      <c r="G113" s="54" t="s">
        <v>193</v>
      </c>
    </row>
    <row r="114" spans="1:7" ht="15" thickBot="1">
      <c r="A114" s="55">
        <v>42312</v>
      </c>
      <c r="B114" s="54" t="s">
        <v>191</v>
      </c>
      <c r="C114" s="54" t="s">
        <v>201</v>
      </c>
      <c r="D114" s="54" t="s">
        <v>171</v>
      </c>
      <c r="E114" s="56">
        <v>0</v>
      </c>
      <c r="F114" s="56">
        <v>315</v>
      </c>
      <c r="G114" s="54" t="s">
        <v>193</v>
      </c>
    </row>
    <row r="115" spans="1:7" ht="15" thickBot="1">
      <c r="A115" s="55">
        <v>42107</v>
      </c>
      <c r="B115" s="54" t="s">
        <v>191</v>
      </c>
      <c r="C115" s="54" t="s">
        <v>173</v>
      </c>
      <c r="D115" s="54" t="s">
        <v>171</v>
      </c>
      <c r="E115" s="56">
        <v>55.14</v>
      </c>
      <c r="F115" s="56">
        <v>232</v>
      </c>
      <c r="G115" s="54" t="s">
        <v>193</v>
      </c>
    </row>
    <row r="116" spans="1:7" ht="15" thickBot="1">
      <c r="A116" s="55">
        <v>42107</v>
      </c>
      <c r="B116" s="54" t="s">
        <v>191</v>
      </c>
      <c r="C116" s="54" t="s">
        <v>202</v>
      </c>
      <c r="D116" s="54" t="s">
        <v>171</v>
      </c>
      <c r="E116" s="56">
        <v>79.760000000000005</v>
      </c>
      <c r="F116" s="56">
        <v>213</v>
      </c>
      <c r="G116" s="54" t="s">
        <v>193</v>
      </c>
    </row>
    <row r="117" spans="1:7" ht="15" thickBot="1">
      <c r="A117" s="55">
        <v>42656</v>
      </c>
      <c r="B117" s="54" t="s">
        <v>203</v>
      </c>
      <c r="C117" s="54" t="s">
        <v>192</v>
      </c>
      <c r="D117" s="54" t="s">
        <v>171</v>
      </c>
      <c r="E117" s="56">
        <v>0</v>
      </c>
      <c r="F117" s="56">
        <v>82</v>
      </c>
      <c r="G117" s="54" t="s">
        <v>193</v>
      </c>
    </row>
    <row r="118" spans="1:7" ht="15" thickBot="1">
      <c r="A118" s="55">
        <v>42347</v>
      </c>
      <c r="B118" s="54" t="s">
        <v>203</v>
      </c>
      <c r="C118" s="54" t="s">
        <v>173</v>
      </c>
      <c r="D118" s="54" t="s">
        <v>171</v>
      </c>
      <c r="E118" s="56">
        <v>0</v>
      </c>
      <c r="F118" s="56">
        <v>78</v>
      </c>
      <c r="G118" s="54" t="s">
        <v>193</v>
      </c>
    </row>
    <row r="119" spans="1:7" ht="15" thickBot="1">
      <c r="A119" s="55">
        <v>42347</v>
      </c>
      <c r="B119" s="54" t="s">
        <v>203</v>
      </c>
      <c r="C119" s="54" t="s">
        <v>201</v>
      </c>
      <c r="D119" s="54" t="s">
        <v>171</v>
      </c>
      <c r="E119" s="56">
        <v>0</v>
      </c>
      <c r="F119" s="56">
        <v>275</v>
      </c>
      <c r="G119" s="54" t="s">
        <v>193</v>
      </c>
    </row>
    <row r="120" spans="1:7" ht="15" thickBot="1">
      <c r="A120" s="55">
        <v>42312</v>
      </c>
      <c r="B120" s="54" t="s">
        <v>203</v>
      </c>
      <c r="C120" s="54" t="s">
        <v>173</v>
      </c>
      <c r="D120" s="54" t="s">
        <v>171</v>
      </c>
      <c r="E120" s="56">
        <v>0</v>
      </c>
      <c r="F120" s="56">
        <v>57</v>
      </c>
      <c r="G120" s="54" t="s">
        <v>193</v>
      </c>
    </row>
    <row r="121" spans="1:7" ht="15" thickBot="1">
      <c r="A121" s="55">
        <v>42084</v>
      </c>
      <c r="B121" s="54" t="s">
        <v>203</v>
      </c>
      <c r="C121" s="54" t="s">
        <v>173</v>
      </c>
      <c r="D121" s="54" t="s">
        <v>171</v>
      </c>
      <c r="E121" s="56">
        <v>0</v>
      </c>
      <c r="F121" s="56">
        <v>95</v>
      </c>
      <c r="G121" s="54" t="s">
        <v>193</v>
      </c>
    </row>
    <row r="122" spans="1:7" ht="15" thickBot="1">
      <c r="A122" s="55">
        <v>42084</v>
      </c>
      <c r="B122" s="54" t="s">
        <v>203</v>
      </c>
      <c r="C122" s="54" t="s">
        <v>201</v>
      </c>
      <c r="D122" s="54" t="s">
        <v>171</v>
      </c>
      <c r="E122" s="56">
        <v>79.760000000000005</v>
      </c>
      <c r="F122" s="56">
        <v>213</v>
      </c>
      <c r="G122" s="54" t="s">
        <v>193</v>
      </c>
    </row>
    <row r="123" spans="1:7" ht="15" thickBot="1">
      <c r="A123" s="55">
        <v>42077</v>
      </c>
      <c r="B123" s="54" t="s">
        <v>203</v>
      </c>
      <c r="C123" s="54" t="s">
        <v>204</v>
      </c>
      <c r="D123" s="54" t="s">
        <v>205</v>
      </c>
      <c r="E123" s="56">
        <v>12.08</v>
      </c>
      <c r="F123" s="56">
        <v>73.84</v>
      </c>
      <c r="G123" s="54" t="s">
        <v>193</v>
      </c>
    </row>
    <row r="124" spans="1:7" ht="15" thickBot="1">
      <c r="A124" s="55">
        <v>41992</v>
      </c>
      <c r="B124" s="54" t="s">
        <v>203</v>
      </c>
      <c r="C124" s="54" t="s">
        <v>173</v>
      </c>
      <c r="D124" s="54" t="s">
        <v>171</v>
      </c>
      <c r="E124" s="56">
        <v>0</v>
      </c>
      <c r="F124" s="56">
        <v>78</v>
      </c>
      <c r="G124" s="54" t="s">
        <v>193</v>
      </c>
    </row>
    <row r="125" spans="1:7" ht="15" thickBot="1">
      <c r="A125" s="55">
        <v>41992</v>
      </c>
      <c r="B125" s="54" t="s">
        <v>203</v>
      </c>
      <c r="C125" s="54" t="s">
        <v>202</v>
      </c>
      <c r="D125" s="54" t="s">
        <v>171</v>
      </c>
      <c r="E125" s="56">
        <v>0</v>
      </c>
      <c r="F125" s="56">
        <v>275</v>
      </c>
      <c r="G125" s="54" t="s">
        <v>193</v>
      </c>
    </row>
    <row r="126" spans="1:7">
      <c r="A126" s="57"/>
      <c r="B126" s="58"/>
      <c r="C126" s="58"/>
      <c r="D126" s="58"/>
      <c r="E126" s="59"/>
      <c r="F126" s="59"/>
      <c r="G126" s="58"/>
    </row>
    <row r="127" spans="1:7">
      <c r="A127" s="57"/>
      <c r="B127" s="58"/>
      <c r="C127" s="58"/>
      <c r="D127" s="58"/>
      <c r="E127" s="59"/>
      <c r="F127" s="59"/>
      <c r="G127" s="58"/>
    </row>
    <row r="128" spans="1:7">
      <c r="A128" s="160" t="s">
        <v>80</v>
      </c>
      <c r="B128" s="160"/>
      <c r="C128" s="160"/>
    </row>
    <row r="130" spans="1:10" ht="15" thickBot="1">
      <c r="A130" s="44" t="s">
        <v>10</v>
      </c>
      <c r="B130" s="45" t="s">
        <v>166</v>
      </c>
      <c r="C130" s="45" t="s">
        <v>167</v>
      </c>
      <c r="D130" s="45" t="s">
        <v>168</v>
      </c>
      <c r="E130" s="46" t="s">
        <v>169</v>
      </c>
      <c r="F130" s="47" t="s">
        <v>81</v>
      </c>
      <c r="G130" s="48" t="s">
        <v>85</v>
      </c>
      <c r="H130" s="48" t="s">
        <v>175</v>
      </c>
      <c r="I130" s="48" t="s">
        <v>176</v>
      </c>
    </row>
    <row r="131" spans="1:10" ht="28.2" thickBot="1">
      <c r="A131" s="67">
        <v>42563</v>
      </c>
      <c r="B131" s="68" t="s">
        <v>171</v>
      </c>
      <c r="C131" s="68" t="s">
        <v>2</v>
      </c>
      <c r="D131" s="69" t="s">
        <v>222</v>
      </c>
      <c r="E131" s="70">
        <v>177.11</v>
      </c>
      <c r="F131" s="39" t="s">
        <v>174</v>
      </c>
      <c r="G131" s="72">
        <v>132.83000000000001</v>
      </c>
      <c r="H131" s="3">
        <f>E131-G131</f>
        <v>44.28</v>
      </c>
      <c r="I131" s="51">
        <f>H131/E131*100</f>
        <v>25.001411552142734</v>
      </c>
      <c r="J131" t="s">
        <v>85</v>
      </c>
    </row>
    <row r="132" spans="1:10" ht="28.2" thickBot="1">
      <c r="A132" s="67">
        <v>42444</v>
      </c>
      <c r="B132" s="68" t="s">
        <v>171</v>
      </c>
      <c r="C132" s="68" t="s">
        <v>55</v>
      </c>
      <c r="D132" s="69" t="s">
        <v>222</v>
      </c>
      <c r="E132" s="70">
        <v>102.32</v>
      </c>
      <c r="F132" s="39" t="s">
        <v>174</v>
      </c>
      <c r="G132" s="72">
        <v>76.739999999999995</v>
      </c>
      <c r="H132" s="3">
        <f>E132-G132</f>
        <v>25.58</v>
      </c>
      <c r="I132" s="51">
        <f>H132/E132*100</f>
        <v>25</v>
      </c>
      <c r="J132" t="s">
        <v>85</v>
      </c>
    </row>
    <row r="133" spans="1:10" ht="27.6">
      <c r="A133" s="67">
        <v>42444</v>
      </c>
      <c r="B133" s="68" t="s">
        <v>171</v>
      </c>
      <c r="C133" s="68" t="s">
        <v>16</v>
      </c>
      <c r="D133" s="71" t="s">
        <v>222</v>
      </c>
      <c r="E133" s="70">
        <v>173.81</v>
      </c>
      <c r="F133" s="39" t="s">
        <v>174</v>
      </c>
      <c r="G133" s="73">
        <v>130.36000000000001</v>
      </c>
      <c r="H133" s="3">
        <f>E133-G133</f>
        <v>43.449999999999989</v>
      </c>
      <c r="I133" s="51">
        <f>H133/E133*100</f>
        <v>24.998561647776302</v>
      </c>
      <c r="J133" t="s">
        <v>85</v>
      </c>
    </row>
    <row r="134" spans="1:10">
      <c r="A134" s="67"/>
      <c r="B134" s="68"/>
      <c r="C134" s="68"/>
      <c r="D134" s="74"/>
      <c r="E134" s="70"/>
      <c r="F134" s="39"/>
      <c r="G134" s="75"/>
      <c r="H134" s="3"/>
      <c r="I134" s="51"/>
    </row>
    <row r="135" spans="1:10">
      <c r="A135" s="160" t="s">
        <v>89</v>
      </c>
      <c r="B135" s="159"/>
      <c r="C135" s="159"/>
    </row>
    <row r="137" spans="1:10">
      <c r="A137" s="9" t="s">
        <v>10</v>
      </c>
      <c r="B137" s="9" t="s">
        <v>90</v>
      </c>
    </row>
    <row r="138" spans="1:10">
      <c r="A138" s="77">
        <v>42585</v>
      </c>
      <c r="B138" s="78">
        <v>132.83000000000001</v>
      </c>
      <c r="C138" t="s">
        <v>225</v>
      </c>
    </row>
    <row r="139" spans="1:10">
      <c r="A139" s="77">
        <v>42473</v>
      </c>
      <c r="B139" s="78">
        <v>207.1</v>
      </c>
      <c r="C139" t="s">
        <v>226</v>
      </c>
    </row>
    <row r="140" spans="1:10">
      <c r="A140" s="77">
        <v>42233</v>
      </c>
      <c r="B140" s="78">
        <v>1235.07</v>
      </c>
    </row>
    <row r="141" spans="1:10">
      <c r="A141" s="77">
        <v>42221</v>
      </c>
      <c r="B141" s="78">
        <v>187.5</v>
      </c>
    </row>
    <row r="142" spans="1:10">
      <c r="A142" s="77">
        <v>42221</v>
      </c>
      <c r="B142" s="78">
        <v>77.430000000000007</v>
      </c>
    </row>
    <row r="143" spans="1:10">
      <c r="A143" s="77">
        <v>42170</v>
      </c>
      <c r="B143" s="78">
        <v>942.79</v>
      </c>
    </row>
    <row r="144" spans="1:10">
      <c r="A144" s="77">
        <v>42158</v>
      </c>
      <c r="B144" s="78">
        <v>118.76</v>
      </c>
    </row>
    <row r="145" spans="1:2">
      <c r="A145" s="77">
        <v>42144</v>
      </c>
      <c r="B145" s="78">
        <v>91.38</v>
      </c>
    </row>
    <row r="146" spans="1:2">
      <c r="A146" s="77">
        <v>42137</v>
      </c>
      <c r="B146" s="78">
        <v>101.18</v>
      </c>
    </row>
    <row r="147" spans="1:2">
      <c r="A147" s="77">
        <v>42107</v>
      </c>
      <c r="B147" s="78">
        <v>59.82</v>
      </c>
    </row>
  </sheetData>
  <mergeCells count="7">
    <mergeCell ref="A135:C135"/>
    <mergeCell ref="A2:B2"/>
    <mergeCell ref="A3:B3"/>
    <mergeCell ref="A6:B6"/>
    <mergeCell ref="A34:B34"/>
    <mergeCell ref="A63:C63"/>
    <mergeCell ref="A128:C128"/>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248"/>
  <sheetViews>
    <sheetView topLeftCell="A150" workbookViewId="0">
      <selection activeCell="A159" sqref="A159"/>
    </sheetView>
  </sheetViews>
  <sheetFormatPr defaultColWidth="8.77734375" defaultRowHeight="14.4"/>
  <cols>
    <col min="1" max="1" width="25.44140625" bestFit="1" customWidth="1"/>
    <col min="2" max="2" width="22.6640625" bestFit="1" customWidth="1"/>
    <col min="3" max="3" width="29" bestFit="1" customWidth="1"/>
    <col min="4" max="4" width="35.109375" customWidth="1"/>
    <col min="5" max="5" width="44.33203125" bestFit="1" customWidth="1"/>
    <col min="6" max="6" width="39.6640625" bestFit="1" customWidth="1"/>
    <col min="7" max="7" width="50.6640625" bestFit="1" customWidth="1"/>
    <col min="8" max="8" width="41.6640625" bestFit="1" customWidth="1"/>
    <col min="9" max="9" width="18.6640625" bestFit="1" customWidth="1"/>
    <col min="10" max="10" width="45.109375" bestFit="1" customWidth="1"/>
    <col min="11" max="11" width="26.6640625" customWidth="1"/>
  </cols>
  <sheetData>
    <row r="2" spans="1:4">
      <c r="A2" s="160" t="s">
        <v>25</v>
      </c>
      <c r="B2" s="160"/>
    </row>
    <row r="3" spans="1:4">
      <c r="A3" s="159" t="s">
        <v>24</v>
      </c>
      <c r="B3" s="159"/>
      <c r="C3" t="s">
        <v>233</v>
      </c>
    </row>
    <row r="4" spans="1:4">
      <c r="A4" s="80" t="s">
        <v>231</v>
      </c>
      <c r="B4" s="80"/>
      <c r="C4" s="6" t="s">
        <v>232</v>
      </c>
    </row>
    <row r="6" spans="1:4">
      <c r="A6" s="160" t="s">
        <v>9</v>
      </c>
      <c r="B6" s="160"/>
    </row>
    <row r="7" spans="1:4">
      <c r="A7" s="7"/>
      <c r="B7" s="7"/>
    </row>
    <row r="8" spans="1:4">
      <c r="A8" s="9" t="s">
        <v>10</v>
      </c>
      <c r="B8" s="9" t="s">
        <v>234</v>
      </c>
      <c r="C8" s="9" t="s">
        <v>183</v>
      </c>
      <c r="D8" s="9" t="s">
        <v>227</v>
      </c>
    </row>
    <row r="9" spans="1:4">
      <c r="A9" s="8" t="s">
        <v>2</v>
      </c>
    </row>
    <row r="10" spans="1:4" ht="115.2">
      <c r="A10" s="2">
        <v>42683</v>
      </c>
      <c r="B10">
        <v>177.11</v>
      </c>
      <c r="D10" s="6" t="s">
        <v>275</v>
      </c>
    </row>
    <row r="11" spans="1:4" ht="86.4">
      <c r="A11" s="8"/>
      <c r="C11">
        <v>162</v>
      </c>
      <c r="D11" s="6" t="s">
        <v>277</v>
      </c>
    </row>
    <row r="12" spans="1:4" ht="28.8">
      <c r="A12" s="2">
        <v>42450</v>
      </c>
      <c r="C12">
        <v>176.46</v>
      </c>
      <c r="D12" s="6" t="s">
        <v>276</v>
      </c>
    </row>
    <row r="13" spans="1:4" ht="43.2">
      <c r="A13" s="2">
        <v>42380</v>
      </c>
      <c r="C13">
        <v>1700</v>
      </c>
      <c r="D13" s="6" t="s">
        <v>230</v>
      </c>
    </row>
    <row r="14" spans="1:4" ht="57.6">
      <c r="A14" s="2">
        <v>41955</v>
      </c>
      <c r="C14">
        <v>994.95</v>
      </c>
      <c r="D14" s="6" t="s">
        <v>229</v>
      </c>
    </row>
    <row r="15" spans="1:4" ht="28.8">
      <c r="A15" s="1">
        <v>41947</v>
      </c>
      <c r="C15">
        <v>278.24</v>
      </c>
      <c r="D15" s="6" t="s">
        <v>228</v>
      </c>
    </row>
    <row r="16" spans="1:4">
      <c r="A16" s="2">
        <v>42133</v>
      </c>
      <c r="C16" s="4" t="s">
        <v>177</v>
      </c>
    </row>
    <row r="17" spans="1:4">
      <c r="A17" s="2"/>
      <c r="B17" s="4"/>
    </row>
    <row r="18" spans="1:4">
      <c r="A18" s="2"/>
      <c r="B18" s="4"/>
    </row>
    <row r="19" spans="1:4">
      <c r="A19" s="2"/>
      <c r="B19" s="4"/>
    </row>
    <row r="20" spans="1:4">
      <c r="A20" s="2"/>
      <c r="B20" s="5"/>
    </row>
    <row r="21" spans="1:4">
      <c r="A21" s="2"/>
      <c r="B21" s="4"/>
    </row>
    <row r="22" spans="1:4">
      <c r="A22" s="2"/>
      <c r="B22" s="4"/>
    </row>
    <row r="23" spans="1:4">
      <c r="A23" s="8" t="s">
        <v>14</v>
      </c>
    </row>
    <row r="24" spans="1:4" ht="43.2">
      <c r="A24" s="2">
        <v>42683</v>
      </c>
      <c r="B24">
        <v>102.32</v>
      </c>
      <c r="D24" s="6" t="s">
        <v>270</v>
      </c>
    </row>
    <row r="25" spans="1:4">
      <c r="A25" s="2"/>
      <c r="B25" s="4"/>
    </row>
    <row r="26" spans="1:4">
      <c r="A26" s="2"/>
      <c r="B26" s="4"/>
    </row>
    <row r="27" spans="1:4">
      <c r="A27" s="8" t="s">
        <v>18</v>
      </c>
    </row>
    <row r="28" spans="1:4">
      <c r="A28" s="2"/>
      <c r="B28" s="4"/>
    </row>
    <row r="29" spans="1:4">
      <c r="A29" s="2"/>
      <c r="B29" s="4"/>
    </row>
    <row r="30" spans="1:4">
      <c r="A30" s="8" t="s">
        <v>16</v>
      </c>
      <c r="B30" s="4"/>
    </row>
    <row r="31" spans="1:4" ht="43.2">
      <c r="A31" s="2" t="s">
        <v>269</v>
      </c>
      <c r="C31">
        <v>173.81</v>
      </c>
      <c r="D31" s="6" t="s">
        <v>268</v>
      </c>
    </row>
    <row r="32" spans="1:4">
      <c r="A32" s="2"/>
      <c r="B32" s="4"/>
    </row>
    <row r="33" spans="1:10">
      <c r="A33" s="2"/>
      <c r="B33" s="5"/>
    </row>
    <row r="34" spans="1:10">
      <c r="A34" s="160" t="s">
        <v>235</v>
      </c>
      <c r="B34" s="159"/>
    </row>
    <row r="36" spans="1:10">
      <c r="A36" s="9"/>
      <c r="B36" s="9" t="s">
        <v>0</v>
      </c>
      <c r="C36" s="9" t="s">
        <v>1</v>
      </c>
      <c r="D36" s="9" t="s">
        <v>237</v>
      </c>
      <c r="E36" s="9" t="s">
        <v>94</v>
      </c>
      <c r="F36" s="9" t="s">
        <v>5</v>
      </c>
      <c r="G36" s="9" t="s">
        <v>283</v>
      </c>
      <c r="H36" s="9" t="s">
        <v>6</v>
      </c>
      <c r="I36" s="9" t="s">
        <v>23</v>
      </c>
      <c r="J36" s="9" t="s">
        <v>284</v>
      </c>
    </row>
    <row r="37" spans="1:10">
      <c r="A37" s="8" t="s">
        <v>2</v>
      </c>
      <c r="B37" s="8"/>
    </row>
    <row r="38" spans="1:10" ht="41.4">
      <c r="A38" t="s">
        <v>248</v>
      </c>
      <c r="B38" s="2">
        <v>42122</v>
      </c>
      <c r="C38" s="11" t="s">
        <v>7</v>
      </c>
      <c r="D38" s="11">
        <v>637</v>
      </c>
      <c r="E38" s="11">
        <v>371.82</v>
      </c>
      <c r="G38" s="12" t="s">
        <v>287</v>
      </c>
      <c r="H38" s="11">
        <v>265.18</v>
      </c>
      <c r="I38" s="11">
        <v>265.18</v>
      </c>
    </row>
    <row r="39" spans="1:10">
      <c r="A39" t="s">
        <v>249</v>
      </c>
      <c r="B39" s="2">
        <v>42137</v>
      </c>
      <c r="C39" s="11" t="s">
        <v>93</v>
      </c>
      <c r="D39" s="11">
        <v>424</v>
      </c>
      <c r="E39" s="11">
        <v>409</v>
      </c>
      <c r="G39" s="11"/>
      <c r="H39" s="11">
        <v>15</v>
      </c>
      <c r="I39" s="11">
        <v>15</v>
      </c>
    </row>
    <row r="40" spans="1:10">
      <c r="A40" t="s">
        <v>250</v>
      </c>
      <c r="B40" s="2">
        <v>42146</v>
      </c>
      <c r="C40" s="11" t="s">
        <v>92</v>
      </c>
      <c r="D40" s="11">
        <v>2497</v>
      </c>
      <c r="E40" s="11">
        <v>1239.93</v>
      </c>
      <c r="G40" s="11"/>
      <c r="H40" s="11">
        <v>1257.07</v>
      </c>
      <c r="I40" s="11">
        <v>1257.07</v>
      </c>
    </row>
    <row r="41" spans="1:10">
      <c r="A41" t="s">
        <v>251</v>
      </c>
      <c r="B41" s="2">
        <v>42194</v>
      </c>
      <c r="C41" s="11" t="s">
        <v>96</v>
      </c>
      <c r="D41" s="11">
        <v>1112</v>
      </c>
      <c r="E41" s="11">
        <v>773.76</v>
      </c>
      <c r="G41" s="11"/>
      <c r="H41" s="11">
        <v>338.34</v>
      </c>
      <c r="I41" s="11">
        <v>338.34</v>
      </c>
    </row>
    <row r="42" spans="1:10">
      <c r="A42" t="s">
        <v>252</v>
      </c>
      <c r="B42" s="2">
        <v>42201</v>
      </c>
      <c r="C42" s="11" t="s">
        <v>97</v>
      </c>
      <c r="D42" s="11">
        <v>2535</v>
      </c>
      <c r="E42" s="11">
        <v>1064.7</v>
      </c>
      <c r="G42" s="11"/>
      <c r="H42" s="11">
        <v>1470.3</v>
      </c>
      <c r="I42" s="11">
        <v>1470.3</v>
      </c>
    </row>
    <row r="43" spans="1:10">
      <c r="A43" t="s">
        <v>253</v>
      </c>
      <c r="B43" s="2">
        <v>42208</v>
      </c>
      <c r="C43" s="11" t="s">
        <v>98</v>
      </c>
      <c r="D43" s="11">
        <v>1623</v>
      </c>
      <c r="E43" s="11">
        <v>1299.54</v>
      </c>
      <c r="G43" s="11"/>
      <c r="H43" s="11">
        <v>323.45999999999998</v>
      </c>
      <c r="I43" s="11" t="s">
        <v>184</v>
      </c>
    </row>
    <row r="44" spans="1:10">
      <c r="A44" t="s">
        <v>254</v>
      </c>
      <c r="B44" s="2">
        <v>42229</v>
      </c>
      <c r="C44" s="11" t="s">
        <v>96</v>
      </c>
      <c r="D44" s="11">
        <v>642</v>
      </c>
      <c r="E44" s="11">
        <v>642</v>
      </c>
      <c r="G44" s="11"/>
      <c r="H44" s="11">
        <v>0</v>
      </c>
      <c r="I44" s="11"/>
    </row>
    <row r="45" spans="1:10">
      <c r="A45" t="s">
        <v>255</v>
      </c>
      <c r="B45" s="2">
        <v>42243</v>
      </c>
      <c r="C45" s="11" t="s">
        <v>99</v>
      </c>
      <c r="D45" s="11">
        <v>790</v>
      </c>
      <c r="E45" s="11">
        <v>775</v>
      </c>
      <c r="G45" s="11"/>
      <c r="H45" s="11">
        <v>15</v>
      </c>
      <c r="I45" s="11">
        <v>15</v>
      </c>
    </row>
    <row r="46" spans="1:10">
      <c r="A46" t="s">
        <v>256</v>
      </c>
      <c r="B46" s="2">
        <v>42312</v>
      </c>
      <c r="C46" s="11" t="s">
        <v>100</v>
      </c>
      <c r="D46" s="11">
        <v>57</v>
      </c>
      <c r="E46" s="11">
        <v>57</v>
      </c>
      <c r="G46" s="11"/>
      <c r="H46" s="11">
        <v>0</v>
      </c>
      <c r="I46" s="11"/>
    </row>
    <row r="47" spans="1:10" ht="41.4">
      <c r="A47" t="s">
        <v>257</v>
      </c>
      <c r="B47" s="2">
        <v>42444</v>
      </c>
      <c r="C47" s="12" t="s">
        <v>236</v>
      </c>
      <c r="D47" s="11">
        <v>502</v>
      </c>
      <c r="E47" s="11">
        <v>487</v>
      </c>
      <c r="G47" s="11"/>
      <c r="H47" s="11">
        <v>15</v>
      </c>
      <c r="I47" s="12" t="s">
        <v>238</v>
      </c>
    </row>
    <row r="48" spans="1:10">
      <c r="A48" t="s">
        <v>258</v>
      </c>
      <c r="B48" s="2">
        <v>42530</v>
      </c>
      <c r="C48" s="11" t="s">
        <v>239</v>
      </c>
      <c r="D48" s="11"/>
      <c r="E48" s="11"/>
      <c r="G48" s="11">
        <v>15</v>
      </c>
      <c r="H48" s="11"/>
      <c r="I48" s="11"/>
      <c r="J48" s="12"/>
    </row>
    <row r="49" spans="1:10" ht="69">
      <c r="A49" t="s">
        <v>273</v>
      </c>
      <c r="B49" s="2">
        <v>42563</v>
      </c>
      <c r="C49" s="11" t="s">
        <v>274</v>
      </c>
      <c r="D49" s="11">
        <v>555</v>
      </c>
      <c r="E49" s="12" t="s">
        <v>244</v>
      </c>
      <c r="G49" s="11">
        <v>15</v>
      </c>
      <c r="H49" s="12" t="s">
        <v>241</v>
      </c>
      <c r="J49" s="11"/>
    </row>
    <row r="50" spans="1:10">
      <c r="B50" s="2"/>
      <c r="C50" s="11"/>
      <c r="D50" s="11"/>
      <c r="E50" s="12"/>
      <c r="G50" s="11"/>
      <c r="H50" s="12"/>
      <c r="J50" s="11"/>
    </row>
    <row r="51" spans="1:10" ht="86.4">
      <c r="A51" s="79" t="s">
        <v>285</v>
      </c>
      <c r="B51" s="83">
        <v>42761</v>
      </c>
      <c r="C51" s="84" t="s">
        <v>286</v>
      </c>
      <c r="D51" s="84">
        <v>605</v>
      </c>
      <c r="E51" s="82">
        <v>585</v>
      </c>
      <c r="F51" s="79"/>
      <c r="G51" s="84"/>
      <c r="H51" s="82">
        <v>20</v>
      </c>
      <c r="I51" s="93" t="s">
        <v>305</v>
      </c>
      <c r="J51" s="84" t="s">
        <v>331</v>
      </c>
    </row>
    <row r="52" spans="1:10">
      <c r="A52" s="79"/>
      <c r="B52" s="83"/>
      <c r="C52" s="84"/>
      <c r="D52" s="84"/>
      <c r="E52" s="82"/>
      <c r="F52" s="79"/>
      <c r="G52" s="84"/>
      <c r="H52" s="116">
        <f>H51</f>
        <v>20</v>
      </c>
      <c r="I52" s="93"/>
      <c r="J52" s="84"/>
    </row>
    <row r="53" spans="1:10">
      <c r="A53" s="8" t="s">
        <v>14</v>
      </c>
      <c r="B53" s="8"/>
    </row>
    <row r="54" spans="1:10" ht="27.6">
      <c r="A54" t="s">
        <v>259</v>
      </c>
      <c r="B54" s="2">
        <v>42107</v>
      </c>
      <c r="C54" s="12" t="s">
        <v>20</v>
      </c>
      <c r="D54" s="11">
        <v>445</v>
      </c>
      <c r="E54" s="11">
        <v>325.10000000000002</v>
      </c>
      <c r="G54" s="11"/>
      <c r="H54" s="11">
        <v>119.9</v>
      </c>
      <c r="I54" s="11">
        <v>119.9</v>
      </c>
    </row>
    <row r="55" spans="1:10">
      <c r="A55" t="s">
        <v>260</v>
      </c>
      <c r="B55" s="2">
        <v>42312</v>
      </c>
      <c r="C55" s="12" t="s">
        <v>101</v>
      </c>
      <c r="D55" s="11">
        <v>426</v>
      </c>
      <c r="E55" s="11">
        <v>426</v>
      </c>
      <c r="G55" s="11"/>
      <c r="H55" s="11">
        <v>0</v>
      </c>
      <c r="I55" s="11"/>
    </row>
    <row r="56" spans="1:10" ht="41.4">
      <c r="A56" t="s">
        <v>261</v>
      </c>
      <c r="B56" s="2">
        <v>42444</v>
      </c>
      <c r="C56" s="12" t="s">
        <v>240</v>
      </c>
      <c r="D56" s="11">
        <v>225</v>
      </c>
      <c r="E56" s="11">
        <v>122.68</v>
      </c>
      <c r="G56" s="11"/>
      <c r="H56" s="11">
        <v>102.32</v>
      </c>
      <c r="I56" s="12" t="s">
        <v>242</v>
      </c>
    </row>
    <row r="57" spans="1:10" ht="69">
      <c r="A57" t="s">
        <v>262</v>
      </c>
      <c r="B57" s="2">
        <v>42614</v>
      </c>
      <c r="C57" s="11" t="s">
        <v>243</v>
      </c>
      <c r="D57" s="11">
        <v>483</v>
      </c>
      <c r="E57" s="12" t="s">
        <v>245</v>
      </c>
      <c r="G57" s="11"/>
      <c r="H57" s="12" t="s">
        <v>246</v>
      </c>
      <c r="I57" s="12"/>
    </row>
    <row r="58" spans="1:10">
      <c r="B58" s="2"/>
      <c r="C58" s="11"/>
      <c r="D58" s="11"/>
      <c r="E58" s="12"/>
      <c r="G58" s="11"/>
      <c r="H58" s="12"/>
      <c r="I58" s="12"/>
    </row>
    <row r="59" spans="1:10" ht="41.4">
      <c r="A59" s="89" t="s">
        <v>289</v>
      </c>
      <c r="B59" s="94">
        <v>42784</v>
      </c>
      <c r="C59" s="95" t="s">
        <v>288</v>
      </c>
      <c r="D59" s="95">
        <v>219</v>
      </c>
      <c r="E59" s="92">
        <v>98.61</v>
      </c>
      <c r="F59" s="89"/>
      <c r="G59" s="95">
        <v>35</v>
      </c>
      <c r="H59" s="92">
        <v>85.39</v>
      </c>
      <c r="I59" s="92" t="s">
        <v>304</v>
      </c>
      <c r="J59" t="s">
        <v>331</v>
      </c>
    </row>
    <row r="60" spans="1:10">
      <c r="A60" s="89"/>
      <c r="B60" s="94"/>
      <c r="C60" s="95"/>
      <c r="D60" s="95"/>
      <c r="E60" s="92"/>
      <c r="F60" s="89"/>
      <c r="G60" s="95"/>
      <c r="H60" s="117">
        <f>H59</f>
        <v>85.39</v>
      </c>
      <c r="I60" s="92"/>
    </row>
    <row r="61" spans="1:10">
      <c r="A61" s="8" t="s">
        <v>18</v>
      </c>
      <c r="B61" s="8"/>
    </row>
    <row r="62" spans="1:10">
      <c r="A62" t="s">
        <v>263</v>
      </c>
      <c r="B62" s="60">
        <v>42312</v>
      </c>
      <c r="C62" s="61" t="s">
        <v>100</v>
      </c>
      <c r="D62" s="61">
        <v>57</v>
      </c>
      <c r="E62" s="61">
        <v>57</v>
      </c>
      <c r="G62" s="61"/>
      <c r="H62" s="61">
        <v>0</v>
      </c>
      <c r="I62" s="62"/>
    </row>
    <row r="63" spans="1:10">
      <c r="A63" t="s">
        <v>264</v>
      </c>
      <c r="B63" s="60">
        <v>42347</v>
      </c>
      <c r="C63" s="61" t="s">
        <v>103</v>
      </c>
      <c r="D63" s="61">
        <v>353</v>
      </c>
      <c r="E63" s="61">
        <v>353</v>
      </c>
      <c r="G63" s="61"/>
      <c r="H63" s="61">
        <v>0</v>
      </c>
      <c r="I63" s="62"/>
    </row>
    <row r="64" spans="1:10">
      <c r="B64" s="60"/>
      <c r="C64" s="61"/>
      <c r="D64" s="61"/>
      <c r="E64" s="61"/>
      <c r="G64" s="61"/>
      <c r="H64" s="61"/>
      <c r="I64" s="62"/>
    </row>
    <row r="65" spans="1:10" ht="41.4">
      <c r="A65" s="89" t="s">
        <v>290</v>
      </c>
      <c r="B65" s="90">
        <v>42778</v>
      </c>
      <c r="C65" s="91" t="s">
        <v>291</v>
      </c>
      <c r="D65" s="91">
        <v>132</v>
      </c>
      <c r="E65" s="91">
        <v>71.08</v>
      </c>
      <c r="F65" s="89"/>
      <c r="G65" s="91">
        <v>35</v>
      </c>
      <c r="H65" s="91">
        <v>25.92</v>
      </c>
      <c r="I65" s="92" t="s">
        <v>304</v>
      </c>
      <c r="J65" t="s">
        <v>331</v>
      </c>
    </row>
    <row r="66" spans="1:10" ht="41.4">
      <c r="A66" s="89" t="s">
        <v>292</v>
      </c>
      <c r="B66" s="90">
        <v>42778</v>
      </c>
      <c r="C66" s="91" t="s">
        <v>294</v>
      </c>
      <c r="D66" s="91">
        <v>810.72</v>
      </c>
      <c r="E66" s="91">
        <v>540.74</v>
      </c>
      <c r="F66" s="89"/>
      <c r="G66" s="91">
        <v>150</v>
      </c>
      <c r="H66" s="91">
        <v>119.98</v>
      </c>
      <c r="I66" s="92" t="s">
        <v>304</v>
      </c>
      <c r="J66" t="s">
        <v>331</v>
      </c>
    </row>
    <row r="67" spans="1:10">
      <c r="A67" t="s">
        <v>293</v>
      </c>
      <c r="B67" s="60">
        <v>42778</v>
      </c>
      <c r="C67" s="61" t="s">
        <v>295</v>
      </c>
      <c r="D67" s="61">
        <v>428</v>
      </c>
      <c r="E67" s="61">
        <v>220.22</v>
      </c>
      <c r="G67" s="61"/>
      <c r="H67" s="61">
        <v>207.78</v>
      </c>
    </row>
    <row r="68" spans="1:10">
      <c r="B68" s="60"/>
      <c r="C68" s="61"/>
      <c r="D68" s="61"/>
      <c r="E68" s="61"/>
      <c r="G68" s="61"/>
      <c r="H68" s="118">
        <f>SUM(H65:H67)</f>
        <v>353.68</v>
      </c>
    </row>
    <row r="69" spans="1:10">
      <c r="A69" s="8" t="s">
        <v>16</v>
      </c>
      <c r="B69" s="8"/>
    </row>
    <row r="70" spans="1:10">
      <c r="A70" t="s">
        <v>265</v>
      </c>
      <c r="B70" s="63">
        <v>42304</v>
      </c>
      <c r="C70" s="61" t="s">
        <v>102</v>
      </c>
      <c r="D70" s="61">
        <v>456</v>
      </c>
      <c r="E70" s="61">
        <v>456</v>
      </c>
      <c r="G70" s="61"/>
      <c r="H70" s="61">
        <v>0</v>
      </c>
      <c r="I70" s="64"/>
    </row>
    <row r="71" spans="1:10">
      <c r="A71" t="s">
        <v>266</v>
      </c>
      <c r="B71" s="63">
        <v>42312</v>
      </c>
      <c r="C71" s="61" t="s">
        <v>100</v>
      </c>
      <c r="D71" s="61">
        <v>57</v>
      </c>
      <c r="E71" s="61">
        <v>57</v>
      </c>
      <c r="G71" s="62"/>
      <c r="H71" s="61">
        <v>0</v>
      </c>
      <c r="I71" s="62"/>
    </row>
    <row r="72" spans="1:10" ht="27.6">
      <c r="A72" t="s">
        <v>267</v>
      </c>
      <c r="B72" s="63">
        <v>42444</v>
      </c>
      <c r="C72" s="12" t="s">
        <v>247</v>
      </c>
      <c r="D72" s="61">
        <v>464</v>
      </c>
      <c r="E72" s="61">
        <v>290.19</v>
      </c>
      <c r="G72" s="62"/>
      <c r="H72" s="61">
        <v>173.81</v>
      </c>
      <c r="I72" s="61">
        <v>173.81</v>
      </c>
    </row>
    <row r="73" spans="1:10">
      <c r="B73" s="63"/>
      <c r="C73" s="12"/>
      <c r="D73" s="61"/>
      <c r="E73" s="61"/>
      <c r="G73" s="62"/>
      <c r="H73" s="61"/>
      <c r="I73" s="61"/>
    </row>
    <row r="74" spans="1:10" ht="69">
      <c r="A74" s="79" t="s">
        <v>296</v>
      </c>
      <c r="B74" s="101">
        <v>42765</v>
      </c>
      <c r="C74" s="82" t="s">
        <v>286</v>
      </c>
      <c r="D74" s="102">
        <v>885</v>
      </c>
      <c r="E74" s="102">
        <v>744.61</v>
      </c>
      <c r="F74" s="79"/>
      <c r="G74" s="103"/>
      <c r="H74" s="102">
        <v>140.38999999999999</v>
      </c>
      <c r="I74" s="82" t="s">
        <v>330</v>
      </c>
    </row>
    <row r="75" spans="1:10">
      <c r="A75" s="79"/>
      <c r="B75" s="101"/>
      <c r="C75" s="82"/>
      <c r="D75" s="102"/>
      <c r="E75" s="102"/>
      <c r="F75" s="79"/>
      <c r="G75" s="103"/>
      <c r="H75" s="119">
        <f>H74</f>
        <v>140.38999999999999</v>
      </c>
      <c r="I75" s="82"/>
    </row>
    <row r="76" spans="1:10">
      <c r="A76" s="79"/>
      <c r="B76" s="101"/>
      <c r="C76" s="82"/>
      <c r="D76" s="102"/>
      <c r="E76" s="102"/>
      <c r="F76" s="79"/>
      <c r="G76" s="103"/>
      <c r="H76" s="119">
        <f>SUM(H52,H60,H68,H75)</f>
        <v>599.46</v>
      </c>
      <c r="I76" s="82"/>
    </row>
    <row r="78" spans="1:10">
      <c r="A78" s="160" t="s">
        <v>30</v>
      </c>
      <c r="B78" s="159"/>
      <c r="C78" s="159"/>
    </row>
    <row r="79" spans="1:10">
      <c r="A79" s="7"/>
      <c r="B79" s="80"/>
      <c r="C79" s="80"/>
    </row>
    <row r="80" spans="1:10" ht="28.2" thickBot="1">
      <c r="A80" s="53" t="s">
        <v>185</v>
      </c>
      <c r="B80" s="53" t="s">
        <v>186</v>
      </c>
      <c r="C80" s="53" t="s">
        <v>187</v>
      </c>
      <c r="D80" s="53" t="s">
        <v>188</v>
      </c>
      <c r="E80" s="53" t="s">
        <v>189</v>
      </c>
      <c r="F80" s="53" t="s">
        <v>190</v>
      </c>
      <c r="G80" s="53" t="s">
        <v>81</v>
      </c>
    </row>
    <row r="81" spans="1:8" ht="15" thickBot="1">
      <c r="A81" s="55">
        <v>42656</v>
      </c>
      <c r="B81" s="54" t="s">
        <v>206</v>
      </c>
      <c r="C81" s="54" t="s">
        <v>192</v>
      </c>
      <c r="D81" s="54" t="s">
        <v>171</v>
      </c>
      <c r="E81" s="56">
        <v>0</v>
      </c>
      <c r="F81" s="56">
        <v>82</v>
      </c>
      <c r="G81" s="54" t="s">
        <v>193</v>
      </c>
    </row>
    <row r="82" spans="1:8" ht="28.2" thickBot="1">
      <c r="A82" s="55">
        <v>42563</v>
      </c>
      <c r="B82" s="54" t="s">
        <v>206</v>
      </c>
      <c r="C82" s="54" t="s">
        <v>194</v>
      </c>
      <c r="D82" s="54" t="s">
        <v>171</v>
      </c>
      <c r="E82" s="56">
        <v>177.11</v>
      </c>
      <c r="F82" s="56">
        <v>555</v>
      </c>
      <c r="G82" s="54" t="s">
        <v>193</v>
      </c>
      <c r="H82" s="66" t="s">
        <v>279</v>
      </c>
    </row>
    <row r="83" spans="1:8" ht="15" thickBot="1">
      <c r="A83" s="55">
        <v>42530</v>
      </c>
      <c r="B83" s="54" t="s">
        <v>206</v>
      </c>
      <c r="C83" s="54" t="s">
        <v>194</v>
      </c>
      <c r="D83" s="54" t="s">
        <v>171</v>
      </c>
      <c r="E83" s="56">
        <v>15</v>
      </c>
      <c r="F83" s="56">
        <v>505</v>
      </c>
      <c r="G83" s="54" t="s">
        <v>193</v>
      </c>
      <c r="H83" s="66" t="s">
        <v>223</v>
      </c>
    </row>
    <row r="84" spans="1:8" ht="15" thickBot="1">
      <c r="A84" s="55">
        <v>42530</v>
      </c>
      <c r="B84" s="54" t="s">
        <v>206</v>
      </c>
      <c r="C84" s="54" t="s">
        <v>207</v>
      </c>
      <c r="D84" s="54" t="s">
        <v>205</v>
      </c>
      <c r="E84" s="56">
        <v>4.96</v>
      </c>
      <c r="F84" s="56">
        <v>171.85</v>
      </c>
      <c r="G84" s="54" t="s">
        <v>193</v>
      </c>
    </row>
    <row r="85" spans="1:8" ht="28.2" thickBot="1">
      <c r="A85" s="55">
        <v>42444</v>
      </c>
      <c r="B85" s="54" t="s">
        <v>206</v>
      </c>
      <c r="C85" s="54" t="s">
        <v>208</v>
      </c>
      <c r="D85" s="54" t="s">
        <v>171</v>
      </c>
      <c r="E85" s="56">
        <v>0</v>
      </c>
      <c r="F85" s="56">
        <v>172</v>
      </c>
      <c r="G85" s="54" t="s">
        <v>193</v>
      </c>
    </row>
    <row r="86" spans="1:8" ht="28.2" thickBot="1">
      <c r="A86" s="55">
        <v>42444</v>
      </c>
      <c r="B86" s="54" t="s">
        <v>206</v>
      </c>
      <c r="C86" s="54" t="s">
        <v>208</v>
      </c>
      <c r="D86" s="54" t="s">
        <v>171</v>
      </c>
      <c r="E86" s="56">
        <v>15</v>
      </c>
      <c r="F86" s="56">
        <v>330</v>
      </c>
      <c r="G86" s="54" t="s">
        <v>193</v>
      </c>
      <c r="H86" s="66" t="s">
        <v>280</v>
      </c>
    </row>
    <row r="87" spans="1:8" ht="15" thickBot="1">
      <c r="A87" s="55">
        <v>42312</v>
      </c>
      <c r="B87" s="54" t="s">
        <v>206</v>
      </c>
      <c r="C87" s="54" t="s">
        <v>173</v>
      </c>
      <c r="D87" s="54" t="s">
        <v>171</v>
      </c>
      <c r="E87" s="56">
        <v>0</v>
      </c>
      <c r="F87" s="56">
        <v>57</v>
      </c>
      <c r="G87" s="54" t="s">
        <v>193</v>
      </c>
    </row>
    <row r="88" spans="1:8" ht="15" thickBot="1">
      <c r="A88" s="55">
        <v>42263</v>
      </c>
      <c r="B88" s="54" t="s">
        <v>206</v>
      </c>
      <c r="C88" s="54" t="s">
        <v>209</v>
      </c>
      <c r="D88" s="54" t="s">
        <v>205</v>
      </c>
      <c r="E88" s="56">
        <v>0</v>
      </c>
      <c r="F88" s="56">
        <v>0</v>
      </c>
      <c r="G88" s="54" t="s">
        <v>193</v>
      </c>
    </row>
    <row r="89" spans="1:8" ht="15" thickBot="1">
      <c r="A89" s="55">
        <v>42243</v>
      </c>
      <c r="B89" s="54" t="s">
        <v>206</v>
      </c>
      <c r="C89" s="54" t="s">
        <v>173</v>
      </c>
      <c r="D89" s="54" t="s">
        <v>171</v>
      </c>
      <c r="E89" s="56">
        <v>0</v>
      </c>
      <c r="F89" s="56">
        <v>95</v>
      </c>
      <c r="G89" s="54" t="s">
        <v>193</v>
      </c>
    </row>
    <row r="90" spans="1:8" ht="28.2" thickBot="1">
      <c r="A90" s="55">
        <v>42243</v>
      </c>
      <c r="B90" s="54" t="s">
        <v>206</v>
      </c>
      <c r="C90" s="54" t="s">
        <v>210</v>
      </c>
      <c r="D90" s="54" t="s">
        <v>171</v>
      </c>
      <c r="E90" s="56">
        <v>15</v>
      </c>
      <c r="F90" s="56">
        <v>695</v>
      </c>
      <c r="G90" s="54" t="s">
        <v>193</v>
      </c>
      <c r="H90" s="66" t="s">
        <v>220</v>
      </c>
    </row>
    <row r="91" spans="1:8" ht="15" thickBot="1">
      <c r="A91" s="55">
        <v>42229</v>
      </c>
      <c r="B91" s="54" t="s">
        <v>206</v>
      </c>
      <c r="C91" s="54" t="s">
        <v>173</v>
      </c>
      <c r="D91" s="54" t="s">
        <v>171</v>
      </c>
      <c r="E91" s="56">
        <v>0</v>
      </c>
      <c r="F91" s="56">
        <v>313</v>
      </c>
      <c r="G91" s="54" t="s">
        <v>193</v>
      </c>
    </row>
    <row r="92" spans="1:8" ht="15" thickBot="1">
      <c r="A92" s="55">
        <v>42229</v>
      </c>
      <c r="B92" s="54" t="s">
        <v>206</v>
      </c>
      <c r="C92" s="54" t="s">
        <v>201</v>
      </c>
      <c r="D92" s="54" t="s">
        <v>171</v>
      </c>
      <c r="E92" s="56">
        <v>15</v>
      </c>
      <c r="F92" s="56">
        <v>329</v>
      </c>
      <c r="G92" s="54" t="s">
        <v>193</v>
      </c>
      <c r="H92" s="66" t="s">
        <v>224</v>
      </c>
    </row>
    <row r="93" spans="1:8" ht="15" thickBot="1">
      <c r="A93" s="55">
        <v>42229</v>
      </c>
      <c r="B93" s="54" t="s">
        <v>206</v>
      </c>
      <c r="C93" s="54" t="s">
        <v>209</v>
      </c>
      <c r="D93" s="54" t="s">
        <v>205</v>
      </c>
      <c r="E93" s="56">
        <v>5.91</v>
      </c>
      <c r="F93" s="56">
        <v>56.29</v>
      </c>
      <c r="G93" s="54" t="s">
        <v>193</v>
      </c>
    </row>
    <row r="94" spans="1:8" ht="15" thickBot="1">
      <c r="A94" s="55">
        <v>42209</v>
      </c>
      <c r="B94" s="54" t="s">
        <v>206</v>
      </c>
      <c r="C94" s="54" t="s">
        <v>173</v>
      </c>
      <c r="D94" s="54" t="s">
        <v>171</v>
      </c>
      <c r="E94" s="56">
        <v>0</v>
      </c>
      <c r="F94" s="56">
        <v>279</v>
      </c>
      <c r="G94" s="54" t="s">
        <v>193</v>
      </c>
    </row>
    <row r="95" spans="1:8" ht="28.2" thickBot="1">
      <c r="A95" s="55">
        <v>42209</v>
      </c>
      <c r="B95" s="54" t="s">
        <v>206</v>
      </c>
      <c r="C95" s="54" t="s">
        <v>211</v>
      </c>
      <c r="D95" s="54" t="s">
        <v>171</v>
      </c>
      <c r="E95" s="56">
        <v>176.46</v>
      </c>
      <c r="F95" s="56">
        <v>291</v>
      </c>
      <c r="G95" s="54" t="s">
        <v>193</v>
      </c>
      <c r="H95" s="66" t="s">
        <v>221</v>
      </c>
    </row>
    <row r="96" spans="1:8" ht="15" thickBot="1">
      <c r="A96" s="55">
        <v>42209</v>
      </c>
      <c r="B96" s="54" t="s">
        <v>206</v>
      </c>
      <c r="C96" s="54" t="s">
        <v>212</v>
      </c>
      <c r="D96" s="54" t="s">
        <v>171</v>
      </c>
      <c r="E96" s="56">
        <v>15</v>
      </c>
      <c r="F96" s="56">
        <v>213</v>
      </c>
      <c r="G96" s="54" t="s">
        <v>193</v>
      </c>
      <c r="H96" s="66" t="s">
        <v>224</v>
      </c>
    </row>
    <row r="97" spans="1:8" ht="15" thickBot="1">
      <c r="A97" s="55">
        <v>42208</v>
      </c>
      <c r="B97" s="54" t="s">
        <v>206</v>
      </c>
      <c r="C97" s="54" t="s">
        <v>213</v>
      </c>
      <c r="D97" s="54" t="s">
        <v>171</v>
      </c>
      <c r="E97" s="56">
        <v>147</v>
      </c>
      <c r="F97" s="56">
        <v>840</v>
      </c>
      <c r="G97" s="54" t="s">
        <v>193</v>
      </c>
      <c r="H97" s="76" t="s">
        <v>220</v>
      </c>
    </row>
    <row r="98" spans="1:8" ht="15" thickBot="1">
      <c r="A98" s="55">
        <v>42201</v>
      </c>
      <c r="B98" s="54" t="s">
        <v>206</v>
      </c>
      <c r="C98" s="54" t="s">
        <v>173</v>
      </c>
      <c r="D98" s="54" t="s">
        <v>171</v>
      </c>
      <c r="E98" s="56">
        <v>1470.3</v>
      </c>
      <c r="F98" s="56">
        <v>2535</v>
      </c>
      <c r="G98" s="54" t="s">
        <v>193</v>
      </c>
    </row>
    <row r="99" spans="1:8" ht="15" thickBot="1">
      <c r="A99" s="55">
        <v>42194</v>
      </c>
      <c r="B99" s="54" t="s">
        <v>206</v>
      </c>
      <c r="C99" s="54" t="s">
        <v>173</v>
      </c>
      <c r="D99" s="54" t="s">
        <v>171</v>
      </c>
      <c r="E99" s="56">
        <v>103.24</v>
      </c>
      <c r="F99" s="56">
        <v>178</v>
      </c>
      <c r="G99" s="54" t="s">
        <v>193</v>
      </c>
    </row>
    <row r="100" spans="1:8" ht="15" thickBot="1">
      <c r="A100" s="55">
        <v>42194</v>
      </c>
      <c r="B100" s="54" t="s">
        <v>206</v>
      </c>
      <c r="C100" s="54" t="s">
        <v>212</v>
      </c>
      <c r="D100" s="54" t="s">
        <v>171</v>
      </c>
      <c r="E100" s="56">
        <v>250</v>
      </c>
      <c r="F100" s="56">
        <v>934</v>
      </c>
      <c r="G100" s="54" t="s">
        <v>193</v>
      </c>
    </row>
    <row r="101" spans="1:8" ht="15" thickBot="1">
      <c r="A101" s="55">
        <v>42146</v>
      </c>
      <c r="B101" s="54" t="s">
        <v>206</v>
      </c>
      <c r="C101" s="54" t="s">
        <v>173</v>
      </c>
      <c r="D101" s="54" t="s">
        <v>171</v>
      </c>
      <c r="E101" s="56">
        <v>1050.97</v>
      </c>
      <c r="F101" s="56">
        <v>2216</v>
      </c>
      <c r="G101" s="54" t="s">
        <v>193</v>
      </c>
    </row>
    <row r="102" spans="1:8" ht="15" thickBot="1">
      <c r="A102" s="55">
        <v>42146</v>
      </c>
      <c r="B102" s="54" t="s">
        <v>206</v>
      </c>
      <c r="C102" s="54" t="s">
        <v>214</v>
      </c>
      <c r="D102" s="54" t="s">
        <v>171</v>
      </c>
      <c r="E102" s="56">
        <v>206.1</v>
      </c>
      <c r="F102" s="56">
        <v>281</v>
      </c>
      <c r="G102" s="54" t="s">
        <v>193</v>
      </c>
    </row>
    <row r="103" spans="1:8" ht="15" thickBot="1">
      <c r="A103" s="55">
        <v>42137</v>
      </c>
      <c r="B103" s="54" t="s">
        <v>206</v>
      </c>
      <c r="C103" s="54" t="s">
        <v>173</v>
      </c>
      <c r="D103" s="54" t="s">
        <v>171</v>
      </c>
      <c r="E103" s="56">
        <v>0</v>
      </c>
      <c r="F103" s="56">
        <v>95</v>
      </c>
      <c r="G103" s="54" t="s">
        <v>193</v>
      </c>
    </row>
    <row r="104" spans="1:8" ht="15" thickBot="1">
      <c r="A104" s="55">
        <v>42137</v>
      </c>
      <c r="B104" s="54" t="s">
        <v>206</v>
      </c>
      <c r="C104" s="54" t="s">
        <v>201</v>
      </c>
      <c r="D104" s="54" t="s">
        <v>171</v>
      </c>
      <c r="E104" s="56">
        <v>15</v>
      </c>
      <c r="F104" s="56">
        <v>329</v>
      </c>
      <c r="G104" s="54" t="s">
        <v>193</v>
      </c>
    </row>
    <row r="105" spans="1:8" ht="15" thickBot="1">
      <c r="A105" s="55">
        <v>42122</v>
      </c>
      <c r="B105" s="54" t="s">
        <v>206</v>
      </c>
      <c r="C105" s="54" t="s">
        <v>173</v>
      </c>
      <c r="D105" s="54" t="s">
        <v>171</v>
      </c>
      <c r="E105" s="56">
        <v>158.34</v>
      </c>
      <c r="F105" s="56">
        <v>368</v>
      </c>
      <c r="G105" s="54" t="s">
        <v>193</v>
      </c>
    </row>
    <row r="106" spans="1:8" ht="15" thickBot="1">
      <c r="A106" s="55">
        <v>42122</v>
      </c>
      <c r="B106" s="54" t="s">
        <v>206</v>
      </c>
      <c r="C106" s="54" t="s">
        <v>215</v>
      </c>
      <c r="D106" s="54" t="s">
        <v>171</v>
      </c>
      <c r="E106" s="56">
        <v>79.760000000000005</v>
      </c>
      <c r="F106" s="56">
        <v>213</v>
      </c>
      <c r="G106" s="54" t="s">
        <v>193</v>
      </c>
    </row>
    <row r="107" spans="1:8" ht="15" thickBot="1">
      <c r="A107" s="55">
        <v>42122</v>
      </c>
      <c r="B107" s="54" t="s">
        <v>206</v>
      </c>
      <c r="C107" s="54" t="s">
        <v>216</v>
      </c>
      <c r="D107" s="54" t="s">
        <v>171</v>
      </c>
      <c r="E107" s="56">
        <v>42.08</v>
      </c>
      <c r="F107" s="56">
        <v>56</v>
      </c>
      <c r="G107" s="54" t="s">
        <v>193</v>
      </c>
    </row>
    <row r="108" spans="1:8" ht="15" thickBot="1">
      <c r="A108" s="55">
        <v>42656</v>
      </c>
      <c r="B108" s="54" t="s">
        <v>217</v>
      </c>
      <c r="C108" s="54" t="s">
        <v>192</v>
      </c>
      <c r="D108" s="54" t="s">
        <v>171</v>
      </c>
      <c r="E108" s="56">
        <v>0</v>
      </c>
      <c r="F108" s="56">
        <v>82</v>
      </c>
      <c r="G108" s="54" t="s">
        <v>193</v>
      </c>
    </row>
    <row r="109" spans="1:8" ht="28.2" thickBot="1">
      <c r="A109" s="55">
        <v>42444</v>
      </c>
      <c r="B109" s="54" t="s">
        <v>217</v>
      </c>
      <c r="C109" s="54" t="s">
        <v>208</v>
      </c>
      <c r="D109" s="54" t="s">
        <v>171</v>
      </c>
      <c r="E109" s="56">
        <v>173.81</v>
      </c>
      <c r="F109" s="56">
        <v>464</v>
      </c>
      <c r="G109" s="54" t="s">
        <v>193</v>
      </c>
      <c r="H109" s="66" t="s">
        <v>281</v>
      </c>
    </row>
    <row r="110" spans="1:8" ht="15" thickBot="1">
      <c r="A110" s="55">
        <v>42347</v>
      </c>
      <c r="B110" s="54" t="s">
        <v>217</v>
      </c>
      <c r="C110" s="54" t="s">
        <v>209</v>
      </c>
      <c r="D110" s="54" t="s">
        <v>205</v>
      </c>
      <c r="E110" s="56">
        <v>1.65</v>
      </c>
      <c r="F110" s="56">
        <v>7.68</v>
      </c>
      <c r="G110" s="54" t="s">
        <v>193</v>
      </c>
    </row>
    <row r="111" spans="1:8" ht="15" thickBot="1">
      <c r="A111" s="55">
        <v>42312</v>
      </c>
      <c r="B111" s="54" t="s">
        <v>217</v>
      </c>
      <c r="C111" s="54" t="s">
        <v>173</v>
      </c>
      <c r="D111" s="54" t="s">
        <v>171</v>
      </c>
      <c r="E111" s="56">
        <v>0</v>
      </c>
      <c r="F111" s="56">
        <v>57</v>
      </c>
      <c r="G111" s="54" t="s">
        <v>193</v>
      </c>
    </row>
    <row r="112" spans="1:8" ht="15" thickBot="1">
      <c r="A112" s="55">
        <v>42304</v>
      </c>
      <c r="B112" s="54" t="s">
        <v>217</v>
      </c>
      <c r="C112" s="54" t="s">
        <v>173</v>
      </c>
      <c r="D112" s="54" t="s">
        <v>171</v>
      </c>
      <c r="E112" s="56">
        <v>0</v>
      </c>
      <c r="F112" s="56">
        <v>456</v>
      </c>
      <c r="G112" s="54" t="s">
        <v>193</v>
      </c>
    </row>
    <row r="113" spans="1:8" ht="15" thickBot="1">
      <c r="A113" s="55">
        <v>41978</v>
      </c>
      <c r="B113" s="54" t="s">
        <v>217</v>
      </c>
      <c r="C113" s="54" t="s">
        <v>209</v>
      </c>
      <c r="D113" s="54" t="s">
        <v>205</v>
      </c>
      <c r="E113" s="56">
        <v>4</v>
      </c>
      <c r="F113" s="56">
        <v>4</v>
      </c>
      <c r="G113" s="54" t="s">
        <v>193</v>
      </c>
    </row>
    <row r="114" spans="1:8" ht="15" thickBot="1">
      <c r="A114" s="55">
        <v>41968</v>
      </c>
      <c r="B114" s="54" t="s">
        <v>217</v>
      </c>
      <c r="C114" s="54" t="s">
        <v>173</v>
      </c>
      <c r="D114" s="54" t="s">
        <v>171</v>
      </c>
      <c r="E114" s="56">
        <v>1169</v>
      </c>
      <c r="F114" s="56">
        <v>1169</v>
      </c>
      <c r="G114" s="54" t="s">
        <v>193</v>
      </c>
    </row>
    <row r="115" spans="1:8" ht="15" thickBot="1">
      <c r="A115" s="55">
        <v>41968</v>
      </c>
      <c r="B115" s="54" t="s">
        <v>217</v>
      </c>
      <c r="C115" s="54" t="s">
        <v>218</v>
      </c>
      <c r="D115" s="54" t="s">
        <v>171</v>
      </c>
      <c r="E115" s="56">
        <v>206.1</v>
      </c>
      <c r="F115" s="56">
        <v>281</v>
      </c>
      <c r="G115" s="54" t="s">
        <v>193</v>
      </c>
    </row>
    <row r="116" spans="1:8" ht="15" thickBot="1">
      <c r="A116" s="55">
        <v>41964</v>
      </c>
      <c r="B116" s="54" t="s">
        <v>217</v>
      </c>
      <c r="C116" s="54" t="s">
        <v>173</v>
      </c>
      <c r="D116" s="54" t="s">
        <v>171</v>
      </c>
      <c r="E116" s="56">
        <v>0</v>
      </c>
      <c r="F116" s="56">
        <v>91</v>
      </c>
      <c r="G116" s="54" t="s">
        <v>193</v>
      </c>
    </row>
    <row r="117" spans="1:8" ht="15" thickBot="1">
      <c r="A117" s="55">
        <v>41964</v>
      </c>
      <c r="B117" s="54" t="s">
        <v>217</v>
      </c>
      <c r="C117" s="54" t="s">
        <v>219</v>
      </c>
      <c r="D117" s="54" t="s">
        <v>171</v>
      </c>
      <c r="E117" s="56">
        <v>117.93</v>
      </c>
      <c r="F117" s="56">
        <v>329</v>
      </c>
      <c r="G117" s="54" t="s">
        <v>193</v>
      </c>
    </row>
    <row r="118" spans="1:8" ht="15" thickBot="1">
      <c r="A118" s="55">
        <v>41953</v>
      </c>
      <c r="B118" s="54" t="s">
        <v>217</v>
      </c>
      <c r="C118" s="54" t="s">
        <v>209</v>
      </c>
      <c r="D118" s="54" t="s">
        <v>205</v>
      </c>
      <c r="E118" s="56">
        <v>1.9</v>
      </c>
      <c r="F118" s="56">
        <v>7.52</v>
      </c>
      <c r="G118" s="54" t="s">
        <v>193</v>
      </c>
    </row>
    <row r="119" spans="1:8" ht="15" thickBot="1">
      <c r="A119" s="55">
        <v>42656</v>
      </c>
      <c r="B119" s="54" t="s">
        <v>191</v>
      </c>
      <c r="C119" s="54" t="s">
        <v>192</v>
      </c>
      <c r="D119" s="54" t="s">
        <v>171</v>
      </c>
      <c r="E119" s="56">
        <v>0</v>
      </c>
      <c r="F119" s="56">
        <v>82</v>
      </c>
      <c r="G119" s="54" t="s">
        <v>193</v>
      </c>
    </row>
    <row r="120" spans="1:8" ht="15" thickBot="1">
      <c r="A120" s="55">
        <v>42614</v>
      </c>
      <c r="B120" s="54" t="s">
        <v>191</v>
      </c>
      <c r="C120" s="54" t="s">
        <v>194</v>
      </c>
      <c r="D120" s="54" t="s">
        <v>171</v>
      </c>
      <c r="E120" s="56">
        <v>0</v>
      </c>
      <c r="F120" s="56">
        <v>483</v>
      </c>
      <c r="G120" s="54" t="s">
        <v>193</v>
      </c>
    </row>
    <row r="121" spans="1:8" ht="28.2" thickBot="1">
      <c r="A121" s="55">
        <v>42607</v>
      </c>
      <c r="B121" s="54" t="s">
        <v>191</v>
      </c>
      <c r="C121" s="54" t="s">
        <v>195</v>
      </c>
      <c r="D121" s="54" t="s">
        <v>171</v>
      </c>
      <c r="E121" s="56">
        <v>0</v>
      </c>
      <c r="F121" s="56">
        <v>130</v>
      </c>
      <c r="G121" s="54" t="s">
        <v>193</v>
      </c>
    </row>
    <row r="122" spans="1:8" ht="15" thickBot="1">
      <c r="A122" s="55">
        <v>42444</v>
      </c>
      <c r="B122" s="54" t="s">
        <v>191</v>
      </c>
      <c r="C122" s="54" t="s">
        <v>196</v>
      </c>
      <c r="D122" s="54" t="s">
        <v>171</v>
      </c>
      <c r="E122" s="56">
        <v>102.32</v>
      </c>
      <c r="F122" s="56">
        <v>225</v>
      </c>
      <c r="G122" s="54" t="s">
        <v>193</v>
      </c>
      <c r="H122" s="66" t="s">
        <v>282</v>
      </c>
    </row>
    <row r="123" spans="1:8" ht="28.2" thickBot="1">
      <c r="A123" s="55">
        <v>42355</v>
      </c>
      <c r="B123" s="54" t="s">
        <v>191</v>
      </c>
      <c r="C123" s="54" t="s">
        <v>197</v>
      </c>
      <c r="D123" s="54" t="s">
        <v>198</v>
      </c>
      <c r="E123" s="56">
        <v>0</v>
      </c>
      <c r="F123" s="56">
        <v>315</v>
      </c>
      <c r="G123" s="54" t="s">
        <v>193</v>
      </c>
    </row>
    <row r="124" spans="1:8" ht="15" thickBot="1">
      <c r="A124" s="55">
        <v>42339</v>
      </c>
      <c r="B124" s="54" t="s">
        <v>191</v>
      </c>
      <c r="C124" s="54" t="s">
        <v>199</v>
      </c>
      <c r="D124" s="54" t="s">
        <v>171</v>
      </c>
      <c r="E124" s="56">
        <v>1610</v>
      </c>
      <c r="F124" s="56">
        <v>1610</v>
      </c>
      <c r="G124" s="54" t="s">
        <v>193</v>
      </c>
    </row>
    <row r="125" spans="1:8" ht="15" thickBot="1">
      <c r="A125" s="55">
        <v>42339</v>
      </c>
      <c r="B125" s="54" t="s">
        <v>191</v>
      </c>
      <c r="C125" s="54" t="s">
        <v>200</v>
      </c>
      <c r="D125" s="54" t="s">
        <v>171</v>
      </c>
      <c r="E125" s="56">
        <v>1596</v>
      </c>
      <c r="F125" s="56">
        <v>1596</v>
      </c>
      <c r="G125" s="54" t="s">
        <v>193</v>
      </c>
    </row>
    <row r="126" spans="1:8" ht="28.2" thickBot="1">
      <c r="A126" s="55">
        <v>42339</v>
      </c>
      <c r="B126" s="54" t="s">
        <v>191</v>
      </c>
      <c r="C126" s="54" t="s">
        <v>197</v>
      </c>
      <c r="D126" s="54" t="s">
        <v>198</v>
      </c>
      <c r="E126" s="56">
        <v>499.3</v>
      </c>
      <c r="F126" s="56">
        <v>1772</v>
      </c>
      <c r="G126" s="54" t="s">
        <v>193</v>
      </c>
    </row>
    <row r="127" spans="1:8" ht="28.2" thickBot="1">
      <c r="A127" s="55">
        <v>42318</v>
      </c>
      <c r="B127" s="54" t="s">
        <v>191</v>
      </c>
      <c r="C127" s="54" t="s">
        <v>197</v>
      </c>
      <c r="D127" s="54" t="s">
        <v>198</v>
      </c>
      <c r="E127" s="56">
        <v>0</v>
      </c>
      <c r="F127" s="56">
        <v>122</v>
      </c>
      <c r="G127" s="54" t="s">
        <v>193</v>
      </c>
    </row>
    <row r="128" spans="1:8" ht="15" thickBot="1">
      <c r="A128" s="55">
        <v>42312</v>
      </c>
      <c r="B128" s="54" t="s">
        <v>191</v>
      </c>
      <c r="C128" s="54" t="s">
        <v>173</v>
      </c>
      <c r="D128" s="54" t="s">
        <v>171</v>
      </c>
      <c r="E128" s="56">
        <v>0</v>
      </c>
      <c r="F128" s="56">
        <v>111</v>
      </c>
      <c r="G128" s="54" t="s">
        <v>193</v>
      </c>
    </row>
    <row r="129" spans="1:8" ht="15" thickBot="1">
      <c r="A129" s="55">
        <v>42312</v>
      </c>
      <c r="B129" s="54" t="s">
        <v>191</v>
      </c>
      <c r="C129" s="54" t="s">
        <v>201</v>
      </c>
      <c r="D129" s="54" t="s">
        <v>171</v>
      </c>
      <c r="E129" s="56">
        <v>0</v>
      </c>
      <c r="F129" s="56">
        <v>315</v>
      </c>
      <c r="G129" s="54" t="s">
        <v>193</v>
      </c>
    </row>
    <row r="130" spans="1:8" ht="15" thickBot="1">
      <c r="A130" s="55">
        <v>42107</v>
      </c>
      <c r="B130" s="54" t="s">
        <v>191</v>
      </c>
      <c r="C130" s="54" t="s">
        <v>173</v>
      </c>
      <c r="D130" s="54" t="s">
        <v>171</v>
      </c>
      <c r="E130" s="56">
        <v>55.14</v>
      </c>
      <c r="F130" s="56">
        <v>232</v>
      </c>
      <c r="G130" s="54" t="s">
        <v>193</v>
      </c>
    </row>
    <row r="131" spans="1:8" ht="15" thickBot="1">
      <c r="A131" s="55">
        <v>42107</v>
      </c>
      <c r="B131" s="54" t="s">
        <v>191</v>
      </c>
      <c r="C131" s="54" t="s">
        <v>202</v>
      </c>
      <c r="D131" s="54" t="s">
        <v>171</v>
      </c>
      <c r="E131" s="56">
        <v>79.760000000000005</v>
      </c>
      <c r="F131" s="56">
        <v>213</v>
      </c>
      <c r="G131" s="54" t="s">
        <v>193</v>
      </c>
    </row>
    <row r="132" spans="1:8" ht="15" thickBot="1">
      <c r="A132" s="55">
        <v>42656</v>
      </c>
      <c r="B132" s="54" t="s">
        <v>203</v>
      </c>
      <c r="C132" s="54" t="s">
        <v>192</v>
      </c>
      <c r="D132" s="54" t="s">
        <v>171</v>
      </c>
      <c r="E132" s="56">
        <v>0</v>
      </c>
      <c r="F132" s="56">
        <v>82</v>
      </c>
      <c r="G132" s="54" t="s">
        <v>193</v>
      </c>
    </row>
    <row r="133" spans="1:8" ht="15" thickBot="1">
      <c r="A133" s="55">
        <v>42347</v>
      </c>
      <c r="B133" s="54" t="s">
        <v>203</v>
      </c>
      <c r="C133" s="54" t="s">
        <v>173</v>
      </c>
      <c r="D133" s="54" t="s">
        <v>171</v>
      </c>
      <c r="E133" s="56">
        <v>0</v>
      </c>
      <c r="F133" s="56">
        <v>78</v>
      </c>
      <c r="G133" s="54" t="s">
        <v>193</v>
      </c>
    </row>
    <row r="134" spans="1:8" ht="15" thickBot="1">
      <c r="A134" s="55">
        <v>42347</v>
      </c>
      <c r="B134" s="54" t="s">
        <v>203</v>
      </c>
      <c r="C134" s="54" t="s">
        <v>201</v>
      </c>
      <c r="D134" s="54" t="s">
        <v>171</v>
      </c>
      <c r="E134" s="56">
        <v>0</v>
      </c>
      <c r="F134" s="56">
        <v>275</v>
      </c>
      <c r="G134" s="54" t="s">
        <v>193</v>
      </c>
    </row>
    <row r="135" spans="1:8" ht="15" thickBot="1">
      <c r="A135" s="55">
        <v>42312</v>
      </c>
      <c r="B135" s="54" t="s">
        <v>203</v>
      </c>
      <c r="C135" s="54" t="s">
        <v>173</v>
      </c>
      <c r="D135" s="54" t="s">
        <v>171</v>
      </c>
      <c r="E135" s="56">
        <v>0</v>
      </c>
      <c r="F135" s="56">
        <v>57</v>
      </c>
      <c r="G135" s="54" t="s">
        <v>193</v>
      </c>
    </row>
    <row r="136" spans="1:8" ht="15" thickBot="1">
      <c r="A136" s="55">
        <v>42084</v>
      </c>
      <c r="B136" s="54" t="s">
        <v>203</v>
      </c>
      <c r="C136" s="54" t="s">
        <v>173</v>
      </c>
      <c r="D136" s="54" t="s">
        <v>171</v>
      </c>
      <c r="E136" s="56">
        <v>0</v>
      </c>
      <c r="F136" s="56">
        <v>95</v>
      </c>
      <c r="G136" s="54" t="s">
        <v>193</v>
      </c>
    </row>
    <row r="137" spans="1:8" ht="15" thickBot="1">
      <c r="A137" s="55">
        <v>42084</v>
      </c>
      <c r="B137" s="54" t="s">
        <v>203</v>
      </c>
      <c r="C137" s="54" t="s">
        <v>201</v>
      </c>
      <c r="D137" s="54" t="s">
        <v>171</v>
      </c>
      <c r="E137" s="56">
        <v>79.760000000000005</v>
      </c>
      <c r="F137" s="56">
        <v>213</v>
      </c>
      <c r="G137" s="54" t="s">
        <v>193</v>
      </c>
    </row>
    <row r="138" spans="1:8" ht="15" thickBot="1">
      <c r="A138" s="55">
        <v>42077</v>
      </c>
      <c r="B138" s="54" t="s">
        <v>203</v>
      </c>
      <c r="C138" s="54" t="s">
        <v>204</v>
      </c>
      <c r="D138" s="54" t="s">
        <v>205</v>
      </c>
      <c r="E138" s="56">
        <v>12.08</v>
      </c>
      <c r="F138" s="56">
        <v>73.84</v>
      </c>
      <c r="G138" s="54" t="s">
        <v>193</v>
      </c>
    </row>
    <row r="139" spans="1:8" ht="15" thickBot="1">
      <c r="A139" s="55">
        <v>41992</v>
      </c>
      <c r="B139" s="54" t="s">
        <v>203</v>
      </c>
      <c r="C139" s="54" t="s">
        <v>173</v>
      </c>
      <c r="D139" s="54" t="s">
        <v>171</v>
      </c>
      <c r="E139" s="56">
        <v>0</v>
      </c>
      <c r="F139" s="56">
        <v>78</v>
      </c>
      <c r="G139" s="54" t="s">
        <v>193</v>
      </c>
    </row>
    <row r="140" spans="1:8" ht="15" thickBot="1">
      <c r="A140" s="55">
        <v>41992</v>
      </c>
      <c r="B140" s="54" t="s">
        <v>203</v>
      </c>
      <c r="C140" s="54" t="s">
        <v>202</v>
      </c>
      <c r="D140" s="54" t="s">
        <v>171</v>
      </c>
      <c r="E140" s="56">
        <v>0</v>
      </c>
      <c r="F140" s="56">
        <v>275</v>
      </c>
      <c r="G140" s="54" t="s">
        <v>193</v>
      </c>
    </row>
    <row r="141" spans="1:8">
      <c r="A141" s="57"/>
      <c r="B141" s="58"/>
      <c r="C141" s="58"/>
      <c r="D141" s="58"/>
      <c r="E141" s="59"/>
      <c r="F141" s="59"/>
      <c r="G141" s="58"/>
    </row>
    <row r="142" spans="1:8" ht="28.2" thickBot="1">
      <c r="A142" s="55">
        <v>42864</v>
      </c>
      <c r="B142" s="85" t="s">
        <v>297</v>
      </c>
      <c r="C142" s="54" t="s">
        <v>222</v>
      </c>
      <c r="D142" s="85" t="s">
        <v>171</v>
      </c>
      <c r="E142" s="86">
        <v>275.57</v>
      </c>
      <c r="F142" s="86">
        <v>591</v>
      </c>
      <c r="G142" s="85" t="s">
        <v>193</v>
      </c>
      <c r="H142" s="54" t="s">
        <v>311</v>
      </c>
    </row>
    <row r="143" spans="1:8" ht="16.2" thickBot="1">
      <c r="A143" s="55">
        <v>42863</v>
      </c>
      <c r="B143" s="85" t="s">
        <v>298</v>
      </c>
      <c r="C143" s="54" t="s">
        <v>204</v>
      </c>
      <c r="D143" s="85" t="s">
        <v>205</v>
      </c>
      <c r="E143" s="86">
        <v>45</v>
      </c>
      <c r="F143" s="86">
        <v>170.01</v>
      </c>
      <c r="G143" s="85" t="s">
        <v>193</v>
      </c>
      <c r="H143" s="54" t="s">
        <v>309</v>
      </c>
    </row>
    <row r="144" spans="1:8" ht="28.2" thickBot="1">
      <c r="A144" s="55">
        <v>42863</v>
      </c>
      <c r="B144" s="85" t="s">
        <v>298</v>
      </c>
      <c r="C144" s="54" t="s">
        <v>222</v>
      </c>
      <c r="D144" s="85" t="s">
        <v>171</v>
      </c>
      <c r="E144" s="86">
        <v>181.07</v>
      </c>
      <c r="F144" s="86">
        <v>330</v>
      </c>
      <c r="G144" s="85" t="s">
        <v>193</v>
      </c>
      <c r="H144" s="54" t="s">
        <v>312</v>
      </c>
    </row>
    <row r="145" spans="1:9" ht="28.2" thickBot="1">
      <c r="A145" s="55">
        <v>42859</v>
      </c>
      <c r="B145" s="85" t="s">
        <v>297</v>
      </c>
      <c r="C145" s="54" t="s">
        <v>222</v>
      </c>
      <c r="D145" s="85" t="s">
        <v>171</v>
      </c>
      <c r="E145" s="86">
        <v>181.07</v>
      </c>
      <c r="F145" s="86">
        <v>330</v>
      </c>
      <c r="G145" s="85" t="s">
        <v>193</v>
      </c>
      <c r="H145" s="54" t="s">
        <v>313</v>
      </c>
    </row>
    <row r="146" spans="1:9" ht="28.2" thickBot="1">
      <c r="A146" s="55">
        <v>42859</v>
      </c>
      <c r="B146" s="85" t="s">
        <v>297</v>
      </c>
      <c r="C146" s="54" t="s">
        <v>222</v>
      </c>
      <c r="D146" s="85" t="s">
        <v>171</v>
      </c>
      <c r="E146" s="86">
        <v>75.87</v>
      </c>
      <c r="F146" s="86">
        <v>212</v>
      </c>
      <c r="G146" s="85" t="s">
        <v>193</v>
      </c>
      <c r="H146" s="54" t="s">
        <v>307</v>
      </c>
    </row>
    <row r="147" spans="1:9" ht="28.2" thickBot="1">
      <c r="A147" s="96">
        <v>42857</v>
      </c>
      <c r="B147" s="97" t="s">
        <v>297</v>
      </c>
      <c r="C147" s="98" t="s">
        <v>222</v>
      </c>
      <c r="D147" s="97" t="s">
        <v>171</v>
      </c>
      <c r="E147" s="99">
        <v>120.39</v>
      </c>
      <c r="F147" s="99">
        <v>219</v>
      </c>
      <c r="G147" s="97" t="s">
        <v>193</v>
      </c>
      <c r="H147" s="98" t="s">
        <v>314</v>
      </c>
      <c r="I147" t="s">
        <v>331</v>
      </c>
    </row>
    <row r="148" spans="1:9" ht="16.2" thickBot="1">
      <c r="A148" s="55">
        <v>42824</v>
      </c>
      <c r="B148" s="85" t="s">
        <v>297</v>
      </c>
      <c r="C148" s="54" t="s">
        <v>204</v>
      </c>
      <c r="D148" s="85" t="s">
        <v>205</v>
      </c>
      <c r="E148" s="86">
        <v>8.27</v>
      </c>
      <c r="F148" s="86">
        <v>9.7799999999999994</v>
      </c>
      <c r="G148" s="85" t="s">
        <v>193</v>
      </c>
      <c r="H148" s="54" t="s">
        <v>308</v>
      </c>
    </row>
    <row r="149" spans="1:9" ht="16.2" thickBot="1">
      <c r="A149" s="55">
        <v>42784</v>
      </c>
      <c r="B149" s="85" t="s">
        <v>299</v>
      </c>
      <c r="C149" s="54" t="s">
        <v>300</v>
      </c>
      <c r="D149" s="85" t="s">
        <v>171</v>
      </c>
      <c r="E149" s="86">
        <v>120.39</v>
      </c>
      <c r="F149" s="86">
        <v>219</v>
      </c>
      <c r="G149" s="85" t="s">
        <v>193</v>
      </c>
      <c r="H149" s="54" t="s">
        <v>306</v>
      </c>
    </row>
    <row r="150" spans="1:9" ht="16.2" thickBot="1">
      <c r="A150" s="55">
        <v>42778</v>
      </c>
      <c r="B150" s="85" t="s">
        <v>298</v>
      </c>
      <c r="C150" s="54" t="s">
        <v>301</v>
      </c>
      <c r="D150" s="85" t="s">
        <v>171</v>
      </c>
      <c r="E150" s="86">
        <v>269.98</v>
      </c>
      <c r="F150" s="86">
        <v>810.72</v>
      </c>
      <c r="G150" s="85" t="s">
        <v>193</v>
      </c>
      <c r="H150" s="54" t="s">
        <v>319</v>
      </c>
    </row>
    <row r="151" spans="1:9" ht="28.2" thickBot="1">
      <c r="A151" s="55">
        <v>42778</v>
      </c>
      <c r="B151" s="85" t="s">
        <v>298</v>
      </c>
      <c r="C151" s="54" t="s">
        <v>302</v>
      </c>
      <c r="D151" s="85" t="s">
        <v>171</v>
      </c>
      <c r="E151" s="86">
        <v>207.78</v>
      </c>
      <c r="F151" s="86">
        <v>428</v>
      </c>
      <c r="G151" s="85" t="s">
        <v>193</v>
      </c>
      <c r="H151" s="66" t="s">
        <v>318</v>
      </c>
    </row>
    <row r="152" spans="1:9" ht="16.2" thickBot="1">
      <c r="A152" s="55">
        <v>42778</v>
      </c>
      <c r="B152" s="85" t="s">
        <v>298</v>
      </c>
      <c r="C152" s="54" t="s">
        <v>303</v>
      </c>
      <c r="D152" s="85" t="s">
        <v>171</v>
      </c>
      <c r="E152" s="86">
        <v>60.92</v>
      </c>
      <c r="F152" s="86">
        <v>132</v>
      </c>
      <c r="G152" s="85" t="s">
        <v>193</v>
      </c>
      <c r="H152" s="54" t="s">
        <v>320</v>
      </c>
    </row>
    <row r="153" spans="1:9" ht="28.2" thickBot="1">
      <c r="A153" s="55">
        <v>42761</v>
      </c>
      <c r="B153" s="85" t="s">
        <v>297</v>
      </c>
      <c r="C153" s="54" t="s">
        <v>194</v>
      </c>
      <c r="D153" s="85" t="s">
        <v>171</v>
      </c>
      <c r="E153" s="86">
        <v>0</v>
      </c>
      <c r="F153" s="86">
        <v>297</v>
      </c>
      <c r="G153" s="85" t="s">
        <v>193</v>
      </c>
      <c r="H153" s="54" t="s">
        <v>321</v>
      </c>
    </row>
    <row r="154" spans="1:9" ht="15" customHeight="1" thickBot="1">
      <c r="A154" s="55">
        <v>42761</v>
      </c>
      <c r="B154" s="85" t="s">
        <v>298</v>
      </c>
      <c r="C154" s="54" t="s">
        <v>194</v>
      </c>
      <c r="D154" s="85" t="s">
        <v>171</v>
      </c>
      <c r="E154" s="86">
        <v>0</v>
      </c>
      <c r="F154" s="86">
        <v>329</v>
      </c>
      <c r="G154" s="85" t="s">
        <v>193</v>
      </c>
      <c r="H154" s="66" t="s">
        <v>315</v>
      </c>
    </row>
    <row r="155" spans="1:9" ht="42" thickBot="1">
      <c r="A155" s="55">
        <v>42761</v>
      </c>
      <c r="B155" s="87" t="s">
        <v>297</v>
      </c>
      <c r="C155" s="54" t="s">
        <v>194</v>
      </c>
      <c r="D155" s="87" t="s">
        <v>171</v>
      </c>
      <c r="E155" s="88">
        <v>0</v>
      </c>
      <c r="F155" s="88">
        <v>308</v>
      </c>
      <c r="G155" s="85" t="s">
        <v>193</v>
      </c>
      <c r="H155" s="54" t="s">
        <v>310</v>
      </c>
    </row>
    <row r="156" spans="1:9" ht="16.2" thickBot="1">
      <c r="A156" s="55">
        <v>42795</v>
      </c>
      <c r="B156" s="85" t="s">
        <v>364</v>
      </c>
      <c r="C156" s="85" t="s">
        <v>204</v>
      </c>
      <c r="D156" s="85" t="s">
        <v>205</v>
      </c>
      <c r="E156" s="86">
        <v>1.43</v>
      </c>
      <c r="F156" s="86">
        <v>9.83</v>
      </c>
      <c r="G156" s="85" t="s">
        <v>193</v>
      </c>
      <c r="H156" s="58"/>
    </row>
    <row r="157" spans="1:9" ht="16.2" thickBot="1">
      <c r="A157" s="55">
        <v>42773</v>
      </c>
      <c r="B157" s="85" t="s">
        <v>364</v>
      </c>
      <c r="C157" s="85" t="s">
        <v>204</v>
      </c>
      <c r="D157" s="85" t="s">
        <v>205</v>
      </c>
      <c r="E157" s="86">
        <v>0</v>
      </c>
      <c r="F157" s="86">
        <v>0</v>
      </c>
      <c r="G157" s="85" t="s">
        <v>193</v>
      </c>
      <c r="H157" s="58"/>
    </row>
    <row r="158" spans="1:9" ht="16.2" thickBot="1">
      <c r="A158" s="55">
        <v>42765</v>
      </c>
      <c r="B158" s="85" t="s">
        <v>364</v>
      </c>
      <c r="C158" s="85" t="s">
        <v>194</v>
      </c>
      <c r="D158" s="85" t="s">
        <v>171</v>
      </c>
      <c r="E158" s="86">
        <v>0</v>
      </c>
      <c r="F158" s="86">
        <v>308</v>
      </c>
      <c r="G158" s="85" t="s">
        <v>193</v>
      </c>
      <c r="H158" s="58"/>
    </row>
    <row r="159" spans="1:9" ht="16.2" thickBot="1">
      <c r="A159" s="55">
        <v>42765</v>
      </c>
      <c r="B159" s="85" t="s">
        <v>364</v>
      </c>
      <c r="C159" s="85" t="s">
        <v>194</v>
      </c>
      <c r="D159" s="85" t="s">
        <v>171</v>
      </c>
      <c r="E159" s="86">
        <v>120.39</v>
      </c>
      <c r="F159" s="86">
        <v>577</v>
      </c>
      <c r="G159" s="85" t="s">
        <v>193</v>
      </c>
      <c r="H159" s="58"/>
    </row>
    <row r="160" spans="1:9" ht="15.6">
      <c r="A160" s="57"/>
      <c r="B160" s="87"/>
      <c r="C160" s="58"/>
      <c r="D160" s="87"/>
      <c r="E160" s="88">
        <f>SUM(E142:E159)</f>
        <v>1668.1300000000003</v>
      </c>
      <c r="F160" s="88"/>
      <c r="G160" s="85"/>
      <c r="H160" s="58"/>
    </row>
    <row r="161" spans="1:11" ht="15.6">
      <c r="A161" s="57"/>
      <c r="B161" s="87"/>
      <c r="C161" s="58"/>
      <c r="D161" s="87" t="s">
        <v>365</v>
      </c>
      <c r="E161" s="131">
        <f>SUMIFS(E142:E159,D142:D159,"Pharmacy")</f>
        <v>54.699999999999996</v>
      </c>
      <c r="F161" s="88"/>
      <c r="G161" s="85"/>
      <c r="H161" s="58"/>
    </row>
    <row r="162" spans="1:11">
      <c r="A162" s="57"/>
      <c r="B162" s="58"/>
      <c r="C162" s="58"/>
      <c r="D162" s="58"/>
      <c r="E162" s="59"/>
      <c r="F162" s="59"/>
      <c r="G162" s="58"/>
    </row>
    <row r="163" spans="1:11">
      <c r="A163" s="160" t="s">
        <v>80</v>
      </c>
      <c r="B163" s="160"/>
      <c r="C163" s="160"/>
    </row>
    <row r="165" spans="1:11" ht="15" thickBot="1">
      <c r="A165" s="44" t="s">
        <v>10</v>
      </c>
      <c r="B165" s="45" t="s">
        <v>166</v>
      </c>
      <c r="C165" s="45" t="s">
        <v>167</v>
      </c>
      <c r="D165" s="45" t="s">
        <v>168</v>
      </c>
      <c r="E165" s="46" t="s">
        <v>169</v>
      </c>
      <c r="F165" s="47" t="s">
        <v>81</v>
      </c>
      <c r="G165" s="48" t="s">
        <v>85</v>
      </c>
      <c r="H165" s="48" t="s">
        <v>175</v>
      </c>
      <c r="I165" s="48" t="s">
        <v>176</v>
      </c>
    </row>
    <row r="166" spans="1:11" ht="28.2" thickBot="1">
      <c r="A166" s="67">
        <v>42563</v>
      </c>
      <c r="B166" s="68" t="s">
        <v>171</v>
      </c>
      <c r="C166" s="68" t="s">
        <v>2</v>
      </c>
      <c r="D166" s="69" t="s">
        <v>222</v>
      </c>
      <c r="E166" s="70">
        <v>177.11</v>
      </c>
      <c r="F166" s="39" t="s">
        <v>174</v>
      </c>
      <c r="G166" s="72">
        <v>132.83000000000001</v>
      </c>
      <c r="H166" s="3">
        <f>E166-G166</f>
        <v>44.28</v>
      </c>
      <c r="I166" s="51">
        <f>H166/E166*100</f>
        <v>25.001411552142734</v>
      </c>
      <c r="K166" t="s">
        <v>85</v>
      </c>
    </row>
    <row r="167" spans="1:11" ht="28.2" thickBot="1">
      <c r="A167" s="67">
        <v>42444</v>
      </c>
      <c r="B167" s="68" t="s">
        <v>171</v>
      </c>
      <c r="C167" s="68" t="s">
        <v>55</v>
      </c>
      <c r="D167" s="69" t="s">
        <v>222</v>
      </c>
      <c r="E167" s="70">
        <v>102.32</v>
      </c>
      <c r="F167" s="39" t="s">
        <v>174</v>
      </c>
      <c r="G167" s="72">
        <v>76.739999999999995</v>
      </c>
      <c r="H167" s="3">
        <f>E167-G167</f>
        <v>25.58</v>
      </c>
      <c r="I167" s="51">
        <f>H167/E167*100</f>
        <v>25</v>
      </c>
      <c r="K167" t="s">
        <v>85</v>
      </c>
    </row>
    <row r="168" spans="1:11" ht="28.2" thickBot="1">
      <c r="A168" s="67">
        <v>42444</v>
      </c>
      <c r="B168" s="68" t="s">
        <v>171</v>
      </c>
      <c r="C168" s="68" t="s">
        <v>16</v>
      </c>
      <c r="D168" s="71" t="s">
        <v>222</v>
      </c>
      <c r="E168" s="70">
        <v>173.81</v>
      </c>
      <c r="F168" s="39" t="s">
        <v>174</v>
      </c>
      <c r="G168" s="73">
        <v>130.36000000000001</v>
      </c>
      <c r="H168" s="3">
        <f>E168-G168</f>
        <v>43.449999999999989</v>
      </c>
      <c r="I168" s="51">
        <f>H168/E168*100</f>
        <v>24.998561647776302</v>
      </c>
      <c r="K168" t="s">
        <v>85</v>
      </c>
    </row>
    <row r="169" spans="1:11" ht="15" thickBot="1">
      <c r="A169" s="67"/>
      <c r="B169" s="68"/>
      <c r="C169" s="68"/>
      <c r="D169" s="71"/>
      <c r="E169" s="70"/>
      <c r="F169" s="39"/>
      <c r="G169" s="75"/>
      <c r="H169" s="3"/>
      <c r="I169" s="51"/>
    </row>
    <row r="170" spans="1:11" ht="28.2" thickBot="1">
      <c r="A170" s="67">
        <v>42864</v>
      </c>
      <c r="B170" s="68" t="s">
        <v>171</v>
      </c>
      <c r="C170" s="68" t="s">
        <v>2</v>
      </c>
      <c r="D170" s="71" t="s">
        <v>222</v>
      </c>
      <c r="E170" s="70">
        <v>275.57</v>
      </c>
      <c r="F170" s="39" t="s">
        <v>174</v>
      </c>
      <c r="G170" s="75">
        <v>206.68</v>
      </c>
      <c r="H170" s="3">
        <f t="shared" ref="H170:H179" si="0">E170-G170</f>
        <v>68.889999999999986</v>
      </c>
      <c r="I170" s="51">
        <f t="shared" ref="I170:I180" si="1">H170/E170*100</f>
        <v>24.99909278949087</v>
      </c>
      <c r="J170" t="s">
        <v>336</v>
      </c>
      <c r="K170" t="s">
        <v>85</v>
      </c>
    </row>
    <row r="171" spans="1:11" ht="28.2" thickBot="1">
      <c r="A171" s="67">
        <v>42863</v>
      </c>
      <c r="B171" s="68" t="s">
        <v>171</v>
      </c>
      <c r="C171" s="68" t="s">
        <v>31</v>
      </c>
      <c r="D171" s="71" t="s">
        <v>222</v>
      </c>
      <c r="E171" s="70">
        <v>181.07</v>
      </c>
      <c r="F171" s="39" t="s">
        <v>174</v>
      </c>
      <c r="G171" s="75">
        <v>135.80000000000001</v>
      </c>
      <c r="H171" s="3">
        <f t="shared" si="0"/>
        <v>45.269999999999982</v>
      </c>
      <c r="I171" s="51">
        <f t="shared" si="1"/>
        <v>25.001380681504383</v>
      </c>
      <c r="J171" t="s">
        <v>336</v>
      </c>
      <c r="K171" t="s">
        <v>85</v>
      </c>
    </row>
    <row r="172" spans="1:11" ht="28.2" thickBot="1">
      <c r="A172" s="100">
        <v>42859</v>
      </c>
      <c r="B172" s="68" t="s">
        <v>171</v>
      </c>
      <c r="C172" s="68" t="s">
        <v>2</v>
      </c>
      <c r="D172" s="71" t="s">
        <v>222</v>
      </c>
      <c r="E172" s="70">
        <v>75.87</v>
      </c>
      <c r="F172" s="39" t="s">
        <v>174</v>
      </c>
      <c r="G172" s="75">
        <v>56.9</v>
      </c>
      <c r="H172" s="3">
        <f t="shared" si="0"/>
        <v>18.970000000000006</v>
      </c>
      <c r="I172" s="51">
        <f t="shared" si="1"/>
        <v>25.003295110056683</v>
      </c>
      <c r="J172" t="s">
        <v>336</v>
      </c>
      <c r="K172" t="s">
        <v>85</v>
      </c>
    </row>
    <row r="173" spans="1:11" ht="28.2" thickBot="1">
      <c r="A173" s="100">
        <v>42859</v>
      </c>
      <c r="B173" s="68" t="s">
        <v>171</v>
      </c>
      <c r="C173" s="68" t="s">
        <v>2</v>
      </c>
      <c r="D173" s="71" t="s">
        <v>222</v>
      </c>
      <c r="E173" s="70">
        <v>181.07</v>
      </c>
      <c r="F173" s="39" t="s">
        <v>174</v>
      </c>
      <c r="G173" s="75">
        <v>135.80000000000001</v>
      </c>
      <c r="H173" s="3">
        <f t="shared" si="0"/>
        <v>45.269999999999982</v>
      </c>
      <c r="I173" s="51">
        <f t="shared" si="1"/>
        <v>25.001380681504383</v>
      </c>
      <c r="J173" t="s">
        <v>336</v>
      </c>
      <c r="K173" t="s">
        <v>85</v>
      </c>
    </row>
    <row r="174" spans="1:11" ht="28.2" thickBot="1">
      <c r="A174" s="100">
        <v>42857</v>
      </c>
      <c r="B174" s="68" t="s">
        <v>171</v>
      </c>
      <c r="C174" s="68" t="s">
        <v>2</v>
      </c>
      <c r="D174" s="71" t="s">
        <v>222</v>
      </c>
      <c r="E174" s="70">
        <v>120.39</v>
      </c>
      <c r="F174" s="39" t="s">
        <v>174</v>
      </c>
      <c r="G174" s="75">
        <v>90.29</v>
      </c>
      <c r="H174" s="3">
        <f t="shared" si="0"/>
        <v>30.099999999999994</v>
      </c>
      <c r="I174" s="51">
        <f t="shared" si="1"/>
        <v>25.002076584433919</v>
      </c>
      <c r="J174" t="s">
        <v>336</v>
      </c>
      <c r="K174" t="s">
        <v>85</v>
      </c>
    </row>
    <row r="175" spans="1:11" ht="28.2" thickBot="1">
      <c r="A175" s="100">
        <v>42784</v>
      </c>
      <c r="B175" s="68" t="s">
        <v>171</v>
      </c>
      <c r="C175" s="68" t="s">
        <v>55</v>
      </c>
      <c r="D175" s="71" t="s">
        <v>222</v>
      </c>
      <c r="E175" s="70">
        <v>120.39</v>
      </c>
      <c r="F175" s="39" t="s">
        <v>174</v>
      </c>
      <c r="G175" s="75">
        <v>90.29</v>
      </c>
      <c r="H175" s="3">
        <f t="shared" si="0"/>
        <v>30.099999999999994</v>
      </c>
      <c r="I175" s="51">
        <f t="shared" si="1"/>
        <v>25.002076584433919</v>
      </c>
      <c r="J175" t="s">
        <v>337</v>
      </c>
      <c r="K175" t="s">
        <v>85</v>
      </c>
    </row>
    <row r="176" spans="1:11" ht="28.2" thickBot="1">
      <c r="A176" s="100">
        <v>42778</v>
      </c>
      <c r="B176" s="68" t="s">
        <v>171</v>
      </c>
      <c r="C176" s="68" t="s">
        <v>31</v>
      </c>
      <c r="D176" s="71" t="s">
        <v>316</v>
      </c>
      <c r="E176" s="70">
        <v>207.78</v>
      </c>
      <c r="F176" s="39" t="s">
        <v>174</v>
      </c>
      <c r="G176" s="75">
        <v>155.84</v>
      </c>
      <c r="H176" s="3">
        <f t="shared" si="0"/>
        <v>51.94</v>
      </c>
      <c r="I176" s="51">
        <f t="shared" si="1"/>
        <v>24.997593608624506</v>
      </c>
      <c r="J176" t="s">
        <v>337</v>
      </c>
    </row>
    <row r="177" spans="1:11" ht="15" thickBot="1">
      <c r="A177" s="100">
        <v>42778</v>
      </c>
      <c r="B177" s="68" t="s">
        <v>171</v>
      </c>
      <c r="C177" s="68" t="s">
        <v>31</v>
      </c>
      <c r="D177" s="71" t="s">
        <v>301</v>
      </c>
      <c r="E177" s="70">
        <v>269.98</v>
      </c>
      <c r="F177" s="39" t="s">
        <v>174</v>
      </c>
      <c r="G177" s="75">
        <v>202.49</v>
      </c>
      <c r="H177" s="3">
        <f t="shared" si="0"/>
        <v>67.490000000000009</v>
      </c>
      <c r="I177" s="51">
        <f t="shared" si="1"/>
        <v>24.998148010963778</v>
      </c>
      <c r="J177" t="s">
        <v>337</v>
      </c>
      <c r="K177" t="s">
        <v>85</v>
      </c>
    </row>
    <row r="178" spans="1:11" ht="28.2" thickBot="1">
      <c r="A178" s="67">
        <v>42778</v>
      </c>
      <c r="B178" s="68" t="s">
        <v>171</v>
      </c>
      <c r="C178" s="68" t="s">
        <v>31</v>
      </c>
      <c r="D178" s="71" t="s">
        <v>222</v>
      </c>
      <c r="E178" s="70">
        <v>60.92</v>
      </c>
      <c r="F178" s="39" t="s">
        <v>174</v>
      </c>
      <c r="G178" s="75">
        <v>45.69</v>
      </c>
      <c r="H178" s="3">
        <f t="shared" si="0"/>
        <v>15.230000000000004</v>
      </c>
      <c r="I178" s="51">
        <f t="shared" si="1"/>
        <v>25.000000000000007</v>
      </c>
      <c r="J178" t="s">
        <v>337</v>
      </c>
      <c r="K178" t="s">
        <v>85</v>
      </c>
    </row>
    <row r="179" spans="1:11" ht="27.6">
      <c r="A179" s="104">
        <v>42765</v>
      </c>
      <c r="B179" s="105" t="s">
        <v>171</v>
      </c>
      <c r="C179" s="105" t="s">
        <v>16</v>
      </c>
      <c r="D179" s="106" t="s">
        <v>222</v>
      </c>
      <c r="E179" s="107">
        <v>120.39</v>
      </c>
      <c r="F179" s="108" t="s">
        <v>174</v>
      </c>
      <c r="G179" s="75">
        <v>90.29</v>
      </c>
      <c r="H179" s="109">
        <f t="shared" si="0"/>
        <v>30.099999999999994</v>
      </c>
      <c r="I179" s="110">
        <f t="shared" si="1"/>
        <v>25.002076584433919</v>
      </c>
      <c r="J179" t="s">
        <v>337</v>
      </c>
      <c r="K179" s="111" t="s">
        <v>317</v>
      </c>
    </row>
    <row r="180" spans="1:11" ht="43.2">
      <c r="A180" s="67"/>
      <c r="B180" s="68"/>
      <c r="C180" s="68"/>
      <c r="D180" s="74"/>
      <c r="E180" s="70">
        <f>SUM(E170:E179)</f>
        <v>1613.43</v>
      </c>
      <c r="F180" s="39"/>
      <c r="G180" s="70">
        <f>SUM(G170:G179)</f>
        <v>1210.0700000000002</v>
      </c>
      <c r="H180" s="70">
        <f>SUM(H170:H179)</f>
        <v>403.36</v>
      </c>
      <c r="I180" s="112">
        <f t="shared" si="1"/>
        <v>25.000154949393526</v>
      </c>
      <c r="J180" t="s">
        <v>337</v>
      </c>
      <c r="K180" s="6" t="s">
        <v>327</v>
      </c>
    </row>
    <row r="181" spans="1:11">
      <c r="A181" s="67"/>
      <c r="B181" s="68"/>
      <c r="C181" s="68"/>
      <c r="D181" s="39" t="s">
        <v>333</v>
      </c>
      <c r="E181" s="70">
        <f>SUMIFS(E170:E179,C170:C179,"Awais Sultan")</f>
        <v>652.9</v>
      </c>
      <c r="F181" s="39"/>
      <c r="G181" s="70"/>
      <c r="H181" s="70"/>
      <c r="I181" s="112"/>
      <c r="J181" s="6"/>
    </row>
    <row r="182" spans="1:11">
      <c r="A182" s="67"/>
      <c r="B182" s="68"/>
      <c r="C182" s="68"/>
      <c r="D182" s="39" t="s">
        <v>334</v>
      </c>
      <c r="E182" s="70">
        <f>SUMIFS(E170:E179,C170:C179,"Saliha Awais")</f>
        <v>120.39</v>
      </c>
      <c r="F182" s="39"/>
      <c r="G182" s="70"/>
      <c r="H182" s="70"/>
      <c r="I182" s="112"/>
      <c r="J182" s="6"/>
    </row>
    <row r="183" spans="1:11">
      <c r="A183" s="67"/>
      <c r="B183" s="68"/>
      <c r="C183" s="68"/>
      <c r="D183" s="39" t="s">
        <v>332</v>
      </c>
      <c r="E183" s="70">
        <f>SUMIFS(E170:E179,C170:C179,"Dania Sultan")</f>
        <v>719.75</v>
      </c>
      <c r="F183" s="39"/>
      <c r="G183" s="70"/>
      <c r="H183" s="70"/>
      <c r="I183" s="112"/>
      <c r="J183" s="6"/>
    </row>
    <row r="184" spans="1:11">
      <c r="A184" s="67"/>
      <c r="B184" s="68"/>
      <c r="C184" s="68"/>
      <c r="D184" s="39" t="s">
        <v>335</v>
      </c>
      <c r="E184" s="70">
        <f>SUMIFS(E170:E179,C170:C179,"Mekael Sultan")</f>
        <v>120.39</v>
      </c>
      <c r="F184" s="39"/>
      <c r="G184" s="70"/>
      <c r="H184" s="70"/>
      <c r="I184" s="112"/>
      <c r="J184" s="6"/>
    </row>
    <row r="185" spans="1:11">
      <c r="A185" s="67"/>
      <c r="B185" s="68"/>
      <c r="C185" s="68"/>
      <c r="D185" s="39" t="s">
        <v>326</v>
      </c>
      <c r="E185" s="120">
        <f>SUM(E181:E184)</f>
        <v>1613.43</v>
      </c>
      <c r="F185" s="39"/>
      <c r="G185" s="120"/>
      <c r="H185" s="3"/>
      <c r="I185" s="51"/>
    </row>
    <row r="186" spans="1:11">
      <c r="A186" s="67"/>
      <c r="B186" s="68"/>
      <c r="C186" s="68"/>
      <c r="D186" s="39" t="s">
        <v>338</v>
      </c>
      <c r="E186" s="70">
        <f>SUMIFS(E170:E179,C170:C179,"Awais Sultan",J170:J179,"BILLED")</f>
        <v>0</v>
      </c>
      <c r="F186" s="39"/>
      <c r="G186" s="70"/>
      <c r="H186" s="3"/>
      <c r="I186" s="51"/>
    </row>
    <row r="187" spans="1:11">
      <c r="A187" s="67"/>
      <c r="B187" s="68"/>
      <c r="C187" s="68"/>
      <c r="D187" s="39" t="s">
        <v>339</v>
      </c>
      <c r="E187" s="70">
        <f>SUMIFS(E170:E179,C170:C179,"Saliha Awais",J170:J179,"BILLED")</f>
        <v>120.39</v>
      </c>
      <c r="F187" s="140" t="s">
        <v>395</v>
      </c>
      <c r="G187" s="70"/>
      <c r="H187" s="3"/>
      <c r="I187" s="51"/>
    </row>
    <row r="188" spans="1:11">
      <c r="A188" s="67"/>
      <c r="B188" s="68"/>
      <c r="C188" s="68"/>
      <c r="D188" s="39" t="s">
        <v>340</v>
      </c>
      <c r="E188" s="70">
        <f>SUMIFS(E170:E179,C170:C179,"Dania Sultan",J170:J179,"BILLED")</f>
        <v>538.67999999999995</v>
      </c>
      <c r="F188" s="39"/>
      <c r="G188" s="70"/>
      <c r="H188" s="3"/>
      <c r="I188" s="51"/>
    </row>
    <row r="189" spans="1:11">
      <c r="A189" s="67"/>
      <c r="B189" s="68"/>
      <c r="C189" s="68"/>
      <c r="D189" s="39" t="s">
        <v>341</v>
      </c>
      <c r="E189" s="70">
        <f>SUMIFS(E170:E179,C170:C179,"Mekael Sultan",J170:J179,"BILLED")</f>
        <v>120.39</v>
      </c>
      <c r="F189" s="39"/>
      <c r="G189" s="70"/>
      <c r="H189" s="3"/>
      <c r="I189" s="51"/>
    </row>
    <row r="190" spans="1:11">
      <c r="A190" s="67"/>
      <c r="B190" s="68"/>
      <c r="C190" s="68"/>
      <c r="D190" s="39" t="s">
        <v>342</v>
      </c>
      <c r="E190" s="120">
        <f>SUM(E186:E189)</f>
        <v>779.45999999999992</v>
      </c>
      <c r="F190" s="39"/>
      <c r="G190" s="120"/>
      <c r="H190" s="3"/>
      <c r="I190" s="51"/>
    </row>
    <row r="191" spans="1:11">
      <c r="A191" s="67"/>
      <c r="B191" s="68"/>
      <c r="C191" s="68"/>
      <c r="D191" s="39" t="s">
        <v>343</v>
      </c>
      <c r="E191" s="120">
        <f>E186+20</f>
        <v>20</v>
      </c>
      <c r="F191" s="140" t="s">
        <v>348</v>
      </c>
      <c r="G191" s="120"/>
      <c r="H191" s="3"/>
      <c r="I191" s="51"/>
    </row>
    <row r="192" spans="1:11">
      <c r="A192" s="67"/>
      <c r="B192" s="68"/>
      <c r="C192" s="68"/>
      <c r="D192" s="39" t="s">
        <v>344</v>
      </c>
      <c r="E192" s="120">
        <f>E187+20</f>
        <v>140.38999999999999</v>
      </c>
      <c r="F192" s="140" t="s">
        <v>348</v>
      </c>
      <c r="G192" s="120"/>
      <c r="H192" s="3"/>
      <c r="I192" s="51"/>
    </row>
    <row r="193" spans="1:9">
      <c r="A193" s="67"/>
      <c r="B193" s="68"/>
      <c r="C193" s="68"/>
      <c r="D193" s="39" t="s">
        <v>345</v>
      </c>
      <c r="E193" s="120">
        <f>E188-185</f>
        <v>353.67999999999995</v>
      </c>
      <c r="F193" s="39" t="s">
        <v>349</v>
      </c>
      <c r="G193" s="120"/>
      <c r="H193" s="3"/>
      <c r="I193" s="51"/>
    </row>
    <row r="194" spans="1:9">
      <c r="A194" s="67"/>
      <c r="B194" s="68"/>
      <c r="C194" s="68"/>
      <c r="D194" s="39" t="s">
        <v>346</v>
      </c>
      <c r="E194" s="120">
        <f>E189-35</f>
        <v>85.39</v>
      </c>
      <c r="F194" s="39" t="s">
        <v>350</v>
      </c>
      <c r="G194" s="120"/>
      <c r="H194" s="3"/>
      <c r="I194" s="51"/>
    </row>
    <row r="195" spans="1:9">
      <c r="A195" s="67"/>
      <c r="B195" s="68"/>
      <c r="C195" s="68"/>
      <c r="D195" s="39" t="s">
        <v>347</v>
      </c>
      <c r="E195" s="121">
        <f>SUM(E191:E194)</f>
        <v>599.45999999999992</v>
      </c>
      <c r="F195" s="39"/>
      <c r="G195" s="75"/>
      <c r="H195" s="3"/>
      <c r="I195" s="51"/>
    </row>
    <row r="196" spans="1:9">
      <c r="A196" s="67"/>
      <c r="B196" s="68"/>
      <c r="C196" s="68"/>
      <c r="D196" s="39"/>
      <c r="E196" s="123"/>
      <c r="F196" s="39"/>
      <c r="G196" s="75"/>
      <c r="H196" s="3"/>
      <c r="I196" s="51"/>
    </row>
    <row r="197" spans="1:9">
      <c r="A197" s="160" t="s">
        <v>89</v>
      </c>
      <c r="B197" s="160"/>
      <c r="C197" s="160"/>
    </row>
    <row r="199" spans="1:9">
      <c r="A199" s="9" t="s">
        <v>10</v>
      </c>
      <c r="B199" s="9" t="s">
        <v>90</v>
      </c>
    </row>
    <row r="200" spans="1:9">
      <c r="A200" s="77">
        <v>42585</v>
      </c>
      <c r="B200" s="78">
        <v>132.83000000000001</v>
      </c>
      <c r="C200" t="s">
        <v>225</v>
      </c>
    </row>
    <row r="201" spans="1:9">
      <c r="A201" s="77">
        <v>42473</v>
      </c>
      <c r="B201" s="78">
        <v>207.1</v>
      </c>
      <c r="C201" t="s">
        <v>226</v>
      </c>
    </row>
    <row r="202" spans="1:9">
      <c r="A202" s="77">
        <v>42233</v>
      </c>
      <c r="B202" s="78">
        <v>1235.07</v>
      </c>
    </row>
    <row r="203" spans="1:9">
      <c r="A203" s="77">
        <v>42221</v>
      </c>
      <c r="B203" s="78">
        <v>187.5</v>
      </c>
    </row>
    <row r="204" spans="1:9">
      <c r="A204" s="77">
        <v>42221</v>
      </c>
      <c r="B204" s="78">
        <v>77.430000000000007</v>
      </c>
    </row>
    <row r="205" spans="1:9">
      <c r="A205" s="77">
        <v>42170</v>
      </c>
      <c r="B205" s="78">
        <v>942.79</v>
      </c>
    </row>
    <row r="206" spans="1:9">
      <c r="A206" s="77">
        <v>42158</v>
      </c>
      <c r="B206" s="78">
        <v>118.76</v>
      </c>
    </row>
    <row r="207" spans="1:9">
      <c r="A207" s="77">
        <v>42144</v>
      </c>
      <c r="B207" s="78">
        <v>91.38</v>
      </c>
    </row>
    <row r="208" spans="1:9">
      <c r="A208" s="77">
        <v>42137</v>
      </c>
      <c r="B208" s="78">
        <v>101.18</v>
      </c>
    </row>
    <row r="209" spans="1:3">
      <c r="A209" s="77">
        <v>42107</v>
      </c>
      <c r="B209" s="78">
        <v>59.82</v>
      </c>
    </row>
    <row r="210" spans="1:3">
      <c r="A210" s="77"/>
    </row>
    <row r="211" spans="1:3" ht="28.2" thickBot="1">
      <c r="A211" s="77">
        <v>42879</v>
      </c>
      <c r="B211" s="78">
        <v>535.17999999999995</v>
      </c>
      <c r="C211" s="54" t="s">
        <v>322</v>
      </c>
    </row>
    <row r="212" spans="1:3" ht="15" thickBot="1">
      <c r="A212" s="77">
        <v>42872</v>
      </c>
      <c r="B212" s="78">
        <v>90.29</v>
      </c>
      <c r="C212" s="54" t="s">
        <v>323</v>
      </c>
    </row>
    <row r="213" spans="1:3" ht="28.2" thickBot="1">
      <c r="A213" s="77">
        <v>42795</v>
      </c>
      <c r="B213" s="78">
        <v>494.31</v>
      </c>
      <c r="C213" s="54" t="s">
        <v>325</v>
      </c>
    </row>
    <row r="214" spans="1:3" ht="15" thickBot="1">
      <c r="A214" s="77">
        <v>42793</v>
      </c>
      <c r="B214" s="78">
        <v>90.29</v>
      </c>
      <c r="C214" s="54" t="s">
        <v>324</v>
      </c>
    </row>
    <row r="215" spans="1:3">
      <c r="A215" s="77"/>
      <c r="B215" s="3">
        <f>SUM(B211:B214)</f>
        <v>1210.07</v>
      </c>
      <c r="C215" s="76" t="s">
        <v>326</v>
      </c>
    </row>
    <row r="216" spans="1:3">
      <c r="A216" s="77"/>
      <c r="B216" s="3"/>
      <c r="C216" s="76"/>
    </row>
    <row r="217" spans="1:3">
      <c r="A217" s="77"/>
      <c r="B217" s="3"/>
      <c r="C217" s="76"/>
    </row>
    <row r="218" spans="1:3">
      <c r="A218" s="77"/>
    </row>
    <row r="219" spans="1:3" ht="72">
      <c r="A219" s="113" t="s">
        <v>397</v>
      </c>
      <c r="B219" s="114">
        <f>E180</f>
        <v>1613.43</v>
      </c>
    </row>
    <row r="220" spans="1:3" ht="28.8">
      <c r="A220" s="113" t="s">
        <v>328</v>
      </c>
      <c r="B220" s="115">
        <v>255</v>
      </c>
    </row>
    <row r="221" spans="1:3">
      <c r="A221" s="113" t="s">
        <v>329</v>
      </c>
      <c r="B221" s="114">
        <f>B219-B220</f>
        <v>1358.43</v>
      </c>
    </row>
    <row r="222" spans="1:3" ht="27.6">
      <c r="A222" s="113" t="s">
        <v>396</v>
      </c>
      <c r="B222" s="114">
        <f>120.39</f>
        <v>120.39</v>
      </c>
      <c r="C222" s="107" t="s">
        <v>398</v>
      </c>
    </row>
    <row r="223" spans="1:3" ht="43.2">
      <c r="A223" s="113" t="s">
        <v>400</v>
      </c>
      <c r="B223" s="114">
        <f>B219-B222</f>
        <v>1493.04</v>
      </c>
      <c r="C223" s="107"/>
    </row>
    <row r="224" spans="1:3" ht="28.8">
      <c r="A224" s="113" t="s">
        <v>401</v>
      </c>
      <c r="B224" s="114">
        <f>B221-B222</f>
        <v>1238.04</v>
      </c>
      <c r="C224" s="107"/>
    </row>
    <row r="225" spans="1:10">
      <c r="A225" s="77"/>
    </row>
    <row r="226" spans="1:10">
      <c r="A226" s="122" t="s">
        <v>351</v>
      </c>
    </row>
    <row r="227" spans="1:10">
      <c r="A227" t="s">
        <v>272</v>
      </c>
      <c r="B227" t="s">
        <v>10</v>
      </c>
      <c r="C227" t="s">
        <v>352</v>
      </c>
      <c r="D227" t="s">
        <v>356</v>
      </c>
      <c r="E227" t="s">
        <v>271</v>
      </c>
      <c r="F227" t="s">
        <v>353</v>
      </c>
      <c r="G227" t="s">
        <v>354</v>
      </c>
      <c r="H227" t="s">
        <v>357</v>
      </c>
      <c r="I227" t="s">
        <v>358</v>
      </c>
    </row>
    <row r="228" spans="1:10">
      <c r="B228" s="2">
        <v>42683</v>
      </c>
      <c r="C228" s="2"/>
      <c r="D228" s="2"/>
      <c r="E228">
        <v>177.11</v>
      </c>
      <c r="F228">
        <v>44.28</v>
      </c>
    </row>
    <row r="229" spans="1:10">
      <c r="B229" s="2">
        <v>42683</v>
      </c>
      <c r="C229" s="2"/>
      <c r="D229" s="2"/>
      <c r="E229">
        <v>102.32</v>
      </c>
      <c r="F229">
        <v>25.58</v>
      </c>
    </row>
    <row r="230" spans="1:10">
      <c r="B230" s="2" t="s">
        <v>269</v>
      </c>
      <c r="C230" s="2"/>
      <c r="D230" s="2"/>
      <c r="E230">
        <v>173.81</v>
      </c>
      <c r="F230">
        <v>43.45</v>
      </c>
    </row>
    <row r="231" spans="1:10">
      <c r="B231" s="2">
        <v>42563</v>
      </c>
      <c r="C231" s="2"/>
      <c r="D231" s="2"/>
      <c r="E231">
        <v>15</v>
      </c>
      <c r="F231">
        <v>15</v>
      </c>
    </row>
    <row r="232" spans="1:10">
      <c r="B232" s="2">
        <v>42530</v>
      </c>
      <c r="C232" s="2"/>
      <c r="D232" s="2"/>
      <c r="E232">
        <v>15</v>
      </c>
      <c r="F232">
        <v>15</v>
      </c>
    </row>
    <row r="233" spans="1:10">
      <c r="B233" s="2">
        <v>42450</v>
      </c>
      <c r="C233" s="2"/>
      <c r="D233" s="2"/>
      <c r="E233">
        <v>176.46</v>
      </c>
      <c r="F233">
        <v>44.11</v>
      </c>
    </row>
    <row r="234" spans="1:10">
      <c r="B234" s="2"/>
      <c r="C234" s="2"/>
      <c r="D234" s="2"/>
      <c r="E234">
        <v>162</v>
      </c>
      <c r="F234">
        <v>162</v>
      </c>
      <c r="J234" s="79" t="s">
        <v>278</v>
      </c>
    </row>
    <row r="235" spans="1:10">
      <c r="A235" s="1">
        <v>42687</v>
      </c>
      <c r="B235" s="1">
        <v>42687</v>
      </c>
      <c r="C235" s="1"/>
      <c r="D235" s="1"/>
      <c r="E235">
        <f>SUM(E228:E234)</f>
        <v>821.7</v>
      </c>
      <c r="F235">
        <f>SUM(F228:F234)</f>
        <v>349.42</v>
      </c>
    </row>
    <row r="237" spans="1:10">
      <c r="B237" s="1">
        <v>42887</v>
      </c>
      <c r="C237">
        <v>35</v>
      </c>
      <c r="D237" s="3">
        <f>SUM(E171,E178)</f>
        <v>241.99</v>
      </c>
      <c r="E237" s="3">
        <f>SUM(G171,G178)</f>
        <v>181.49</v>
      </c>
      <c r="F237">
        <v>206.99</v>
      </c>
      <c r="G237">
        <f>F237+C237</f>
        <v>241.99</v>
      </c>
      <c r="H237" s="3">
        <f>D237-G237</f>
        <v>0</v>
      </c>
      <c r="I237" s="3">
        <f>G237-E237</f>
        <v>60.5</v>
      </c>
      <c r="J237" t="s">
        <v>360</v>
      </c>
    </row>
    <row r="238" spans="1:10">
      <c r="B238" s="1">
        <v>42887</v>
      </c>
      <c r="C238">
        <v>35</v>
      </c>
      <c r="D238" s="3">
        <f>SUM(E170,E172,E173,E174)</f>
        <v>652.9</v>
      </c>
      <c r="E238" s="3">
        <f>SUM(G170,G172,G173,G174)</f>
        <v>489.67</v>
      </c>
      <c r="F238">
        <v>617.9</v>
      </c>
      <c r="G238">
        <f>F238+C238</f>
        <v>652.9</v>
      </c>
      <c r="H238" s="3">
        <f>D238-G238</f>
        <v>0</v>
      </c>
      <c r="I238" s="3">
        <f>G238-E238</f>
        <v>163.22999999999996</v>
      </c>
      <c r="J238" t="s">
        <v>361</v>
      </c>
    </row>
    <row r="239" spans="1:10">
      <c r="B239" s="1">
        <v>42887</v>
      </c>
      <c r="C239">
        <v>35</v>
      </c>
      <c r="D239" s="3">
        <f>E175</f>
        <v>120.39</v>
      </c>
      <c r="E239" s="3">
        <f>G175</f>
        <v>90.29</v>
      </c>
      <c r="F239">
        <v>85.39</v>
      </c>
      <c r="G239">
        <f>F239+C239</f>
        <v>120.39</v>
      </c>
      <c r="H239" s="3">
        <f>D239-G239</f>
        <v>0</v>
      </c>
      <c r="I239" s="3">
        <f>G239-E239</f>
        <v>30.099999999999994</v>
      </c>
      <c r="J239" t="s">
        <v>362</v>
      </c>
    </row>
    <row r="240" spans="1:10">
      <c r="B240" s="1">
        <v>42887</v>
      </c>
      <c r="C240">
        <v>150</v>
      </c>
      <c r="D240" s="3">
        <f>E177</f>
        <v>269.98</v>
      </c>
      <c r="E240" s="3">
        <f>G177</f>
        <v>202.49</v>
      </c>
      <c r="F240">
        <v>119.98</v>
      </c>
      <c r="G240">
        <f>F240+C240</f>
        <v>269.98</v>
      </c>
      <c r="H240" s="3">
        <f>D240-G240</f>
        <v>0</v>
      </c>
      <c r="I240" s="3">
        <f>G240-E240</f>
        <v>67.490000000000009</v>
      </c>
      <c r="J240" s="3" t="s">
        <v>355</v>
      </c>
    </row>
    <row r="241" spans="1:10">
      <c r="B241" s="1">
        <v>42889</v>
      </c>
      <c r="D241" s="3">
        <f>E176</f>
        <v>207.78</v>
      </c>
      <c r="E241" s="3">
        <f>G176</f>
        <v>155.84</v>
      </c>
      <c r="F241">
        <v>187</v>
      </c>
      <c r="G241">
        <f>F241+C241</f>
        <v>187</v>
      </c>
      <c r="H241" s="3">
        <f>D241-G241</f>
        <v>20.78</v>
      </c>
      <c r="I241" s="3">
        <f>G241-E241</f>
        <v>31.159999999999997</v>
      </c>
      <c r="J241" t="s">
        <v>363</v>
      </c>
    </row>
    <row r="242" spans="1:10">
      <c r="D242" s="3">
        <f t="shared" ref="D242:I242" si="2">SUM(D237:D241)</f>
        <v>1493.04</v>
      </c>
      <c r="E242" s="3">
        <f t="shared" si="2"/>
        <v>1119.78</v>
      </c>
      <c r="F242" s="3">
        <f t="shared" si="2"/>
        <v>1217.26</v>
      </c>
      <c r="G242">
        <f t="shared" si="2"/>
        <v>1472.26</v>
      </c>
      <c r="H242" s="3">
        <f t="shared" si="2"/>
        <v>20.78</v>
      </c>
      <c r="I242" s="124">
        <f t="shared" si="2"/>
        <v>352.4799999999999</v>
      </c>
    </row>
    <row r="243" spans="1:10">
      <c r="E243" t="s">
        <v>399</v>
      </c>
      <c r="F243" s="3">
        <f>SUM(F242,H242)</f>
        <v>1238.04</v>
      </c>
      <c r="G243" s="3">
        <f>SUM(G242,H242)</f>
        <v>1493.04</v>
      </c>
    </row>
    <row r="244" spans="1:10">
      <c r="A244" s="125" t="s">
        <v>366</v>
      </c>
      <c r="B244" s="126">
        <f>I242+E161</f>
        <v>407.17999999999989</v>
      </c>
    </row>
    <row r="245" spans="1:10">
      <c r="A245" s="125" t="s">
        <v>376</v>
      </c>
      <c r="B245" s="128" t="s">
        <v>359</v>
      </c>
    </row>
    <row r="246" spans="1:10">
      <c r="A246" s="125" t="s">
        <v>375</v>
      </c>
      <c r="B246" s="126">
        <v>0</v>
      </c>
    </row>
    <row r="247" spans="1:10">
      <c r="A247" s="125" t="s">
        <v>379</v>
      </c>
      <c r="B247" s="126">
        <v>0</v>
      </c>
    </row>
    <row r="248" spans="1:10">
      <c r="A248" s="125" t="s">
        <v>378</v>
      </c>
      <c r="B248" s="126">
        <f>SUM(B244,B247,B246)</f>
        <v>407.17999999999989</v>
      </c>
    </row>
  </sheetData>
  <mergeCells count="7">
    <mergeCell ref="A197:C197"/>
    <mergeCell ref="A2:B2"/>
    <mergeCell ref="A3:B3"/>
    <mergeCell ref="A6:B6"/>
    <mergeCell ref="A34:B34"/>
    <mergeCell ref="A78:C78"/>
    <mergeCell ref="A163:C163"/>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selection activeCell="B2" sqref="B2:F7"/>
    </sheetView>
  </sheetViews>
  <sheetFormatPr defaultColWidth="11.5546875" defaultRowHeight="14.4"/>
  <cols>
    <col min="3" max="3" width="13.109375" customWidth="1"/>
    <col min="4" max="4" width="15.77734375" bestFit="1" customWidth="1"/>
    <col min="6" max="6" width="12" bestFit="1" customWidth="1"/>
    <col min="7" max="7" width="10.6640625" bestFit="1" customWidth="1"/>
  </cols>
  <sheetData>
    <row r="1" spans="1:10" ht="16.8">
      <c r="I1" s="133"/>
    </row>
    <row r="2" spans="1:10" ht="17.399999999999999">
      <c r="B2" s="134">
        <v>42936</v>
      </c>
      <c r="C2" s="135" t="s">
        <v>171</v>
      </c>
      <c r="D2" s="135" t="s">
        <v>31</v>
      </c>
      <c r="E2" s="135" t="s">
        <v>222</v>
      </c>
      <c r="F2" s="136">
        <v>122.17</v>
      </c>
      <c r="G2" s="135"/>
      <c r="H2" s="135"/>
      <c r="J2" s="85"/>
    </row>
    <row r="3" spans="1:10" ht="17.399999999999999">
      <c r="A3" s="137"/>
      <c r="B3" s="134">
        <v>42921</v>
      </c>
      <c r="C3" s="135" t="s">
        <v>171</v>
      </c>
      <c r="D3" s="135" t="s">
        <v>2</v>
      </c>
      <c r="E3" s="135" t="s">
        <v>222</v>
      </c>
      <c r="F3" s="136">
        <v>136.1</v>
      </c>
      <c r="G3" s="135"/>
      <c r="H3" s="135"/>
      <c r="I3" s="85"/>
    </row>
    <row r="4" spans="1:10" ht="17.399999999999999">
      <c r="A4" s="137"/>
      <c r="B4" s="134">
        <v>42921</v>
      </c>
      <c r="C4" s="135" t="s">
        <v>171</v>
      </c>
      <c r="D4" s="135" t="s">
        <v>2</v>
      </c>
      <c r="E4" s="135" t="s">
        <v>369</v>
      </c>
      <c r="F4" s="136">
        <v>1559.91</v>
      </c>
      <c r="G4" s="135"/>
      <c r="H4" s="135"/>
      <c r="I4" s="85"/>
    </row>
    <row r="5" spans="1:10" ht="17.399999999999999">
      <c r="A5" s="137"/>
      <c r="B5" s="134">
        <v>42913</v>
      </c>
      <c r="C5" s="135" t="s">
        <v>171</v>
      </c>
      <c r="D5" s="135" t="s">
        <v>2</v>
      </c>
      <c r="E5" s="135" t="s">
        <v>222</v>
      </c>
      <c r="F5" s="136">
        <v>125.66</v>
      </c>
      <c r="G5" s="135"/>
      <c r="H5" s="135"/>
    </row>
    <row r="6" spans="1:10" ht="17.399999999999999">
      <c r="A6" s="137"/>
      <c r="B6" s="134">
        <v>42894</v>
      </c>
      <c r="C6" s="135" t="s">
        <v>171</v>
      </c>
      <c r="D6" s="135" t="s">
        <v>31</v>
      </c>
      <c r="E6" s="135" t="s">
        <v>222</v>
      </c>
      <c r="F6" s="136">
        <v>122.17</v>
      </c>
      <c r="G6" s="135"/>
      <c r="H6" s="135"/>
      <c r="I6" s="85"/>
    </row>
    <row r="7" spans="1:10" ht="17.399999999999999">
      <c r="A7" s="137"/>
      <c r="B7" s="134">
        <v>42894</v>
      </c>
      <c r="C7" s="135" t="s">
        <v>171</v>
      </c>
      <c r="D7" s="135" t="s">
        <v>31</v>
      </c>
      <c r="E7" s="135" t="s">
        <v>368</v>
      </c>
      <c r="F7" s="136">
        <v>108.54</v>
      </c>
      <c r="G7" s="135"/>
      <c r="I7" s="85"/>
    </row>
    <row r="8" spans="1:10" ht="21.6">
      <c r="A8" s="129"/>
      <c r="B8" s="130"/>
      <c r="C8" s="130"/>
      <c r="D8" s="85"/>
      <c r="E8" s="85"/>
      <c r="F8" s="85"/>
      <c r="G8" s="86"/>
      <c r="H8" s="86"/>
      <c r="I8" s="85"/>
    </row>
    <row r="9" spans="1:10" ht="21.6">
      <c r="A9" s="129"/>
      <c r="B9" s="130"/>
      <c r="C9" s="130"/>
      <c r="D9" s="85"/>
      <c r="E9" s="85"/>
      <c r="F9" s="85"/>
      <c r="G9" s="86"/>
      <c r="H9" s="86"/>
      <c r="I9" s="85"/>
    </row>
    <row r="10" spans="1:10" ht="21.6">
      <c r="A10" s="129"/>
      <c r="B10" s="130"/>
      <c r="C10" s="130"/>
      <c r="D10" s="85"/>
      <c r="E10" s="85"/>
      <c r="F10" s="85"/>
      <c r="G10" s="86"/>
      <c r="H10" s="86"/>
      <c r="I10" s="85"/>
    </row>
    <row r="11" spans="1:10" ht="21.6">
      <c r="A11" s="129"/>
      <c r="B11" s="130"/>
      <c r="C11" s="130"/>
      <c r="D11" s="85"/>
      <c r="E11" s="85"/>
      <c r="F11" s="85"/>
      <c r="G11" s="86"/>
      <c r="H11" s="86"/>
      <c r="I11" s="85"/>
    </row>
    <row r="12" spans="1:10" ht="21.6">
      <c r="A12" s="129"/>
      <c r="B12" s="130"/>
      <c r="C12" s="130"/>
      <c r="D12" s="85"/>
      <c r="E12" s="85"/>
      <c r="F12" s="85"/>
      <c r="G12" s="86"/>
      <c r="H12" s="86"/>
      <c r="I12" s="85"/>
    </row>
    <row r="13" spans="1:10" ht="21.6">
      <c r="A13" s="129"/>
      <c r="B13" s="130"/>
      <c r="C13" s="130"/>
      <c r="D13" s="85"/>
      <c r="E13" s="85"/>
      <c r="F13" s="85"/>
      <c r="G13" s="86"/>
      <c r="H13" s="86"/>
      <c r="I13" s="85"/>
    </row>
    <row r="14" spans="1:10" ht="21.6">
      <c r="A14" s="129"/>
      <c r="B14" s="130"/>
      <c r="C14" s="130"/>
      <c r="D14" s="85"/>
      <c r="E14" s="85"/>
      <c r="F14" s="85"/>
      <c r="G14" s="86"/>
      <c r="H14" s="86"/>
      <c r="I14" s="85"/>
    </row>
    <row r="15" spans="1:10" ht="21.6">
      <c r="A15" s="129"/>
      <c r="B15" s="130"/>
      <c r="C15" s="130"/>
      <c r="D15" s="85"/>
      <c r="E15" s="85"/>
      <c r="F15" s="85"/>
      <c r="G15" s="86"/>
      <c r="H15" s="86"/>
      <c r="I15" s="85"/>
    </row>
    <row r="16" spans="1:10" ht="21.6">
      <c r="A16" s="129"/>
      <c r="B16" s="130"/>
      <c r="C16" s="130"/>
      <c r="D16" s="85"/>
      <c r="E16" s="85"/>
      <c r="F16" s="85"/>
      <c r="G16" s="86"/>
      <c r="H16" s="86"/>
      <c r="I16" s="85"/>
    </row>
    <row r="17" spans="1:9" ht="21.6">
      <c r="A17" s="129"/>
      <c r="B17" s="130"/>
      <c r="C17" s="130"/>
      <c r="D17" s="85"/>
      <c r="E17" s="85"/>
      <c r="F17" s="85"/>
      <c r="G17" s="86"/>
      <c r="H17" s="86"/>
      <c r="I17" s="85"/>
    </row>
    <row r="18" spans="1:9" ht="21.6">
      <c r="A18" s="129"/>
      <c r="B18" s="132"/>
      <c r="C18" s="132"/>
      <c r="D18" s="87"/>
      <c r="E18" s="87"/>
      <c r="F18" s="87"/>
      <c r="G18" s="88"/>
    </row>
  </sheetData>
  <hyperlinks>
    <hyperlink ref="A3" r:id="rId1" display="https://employee.hrcts.com/Dashboard/ExpenseTracker.aspx"/>
    <hyperlink ref="A4" r:id="rId2" display="https://employee.hrcts.com/Dashboard/ExpenseTracker.aspx"/>
    <hyperlink ref="A5" r:id="rId3" display="https://employee.hrcts.com/Dashboard/ExpenseTracker.aspx"/>
    <hyperlink ref="A6" r:id="rId4" display="https://employee.hrcts.com/Dashboard/ExpenseTracker.aspx"/>
    <hyperlink ref="A7" r:id="rId5" display="https://employee.hrcts.com/Dashboard/ExpenseTracker.aspx"/>
  </hyperlinks>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03"/>
  <sheetViews>
    <sheetView topLeftCell="A78" workbookViewId="0">
      <selection activeCell="C100" sqref="C100"/>
    </sheetView>
  </sheetViews>
  <sheetFormatPr defaultColWidth="8.77734375" defaultRowHeight="14.4"/>
  <cols>
    <col min="1" max="1" width="27.77734375" bestFit="1" customWidth="1"/>
    <col min="2" max="2" width="22.6640625" bestFit="1" customWidth="1"/>
    <col min="3" max="3" width="29" bestFit="1" customWidth="1"/>
    <col min="4" max="4" width="35" bestFit="1" customWidth="1"/>
    <col min="5" max="5" width="44.33203125" bestFit="1" customWidth="1"/>
    <col min="6" max="6" width="43.33203125" bestFit="1" customWidth="1"/>
    <col min="7" max="7" width="50.6640625" bestFit="1" customWidth="1"/>
    <col min="8" max="8" width="41.6640625" bestFit="1" customWidth="1"/>
    <col min="9" max="9" width="18.6640625" bestFit="1" customWidth="1"/>
    <col min="10" max="10" width="45.109375" bestFit="1" customWidth="1"/>
    <col min="11" max="11" width="26.6640625" customWidth="1"/>
  </cols>
  <sheetData>
    <row r="2" spans="1:10">
      <c r="A2" s="160" t="s">
        <v>25</v>
      </c>
      <c r="B2" s="160"/>
    </row>
    <row r="3" spans="1:10">
      <c r="A3" s="159" t="s">
        <v>24</v>
      </c>
      <c r="B3" s="159"/>
      <c r="C3" t="s">
        <v>233</v>
      </c>
    </row>
    <row r="4" spans="1:10">
      <c r="A4" s="81" t="s">
        <v>231</v>
      </c>
      <c r="B4" s="81"/>
      <c r="C4" s="6" t="s">
        <v>232</v>
      </c>
    </row>
    <row r="6" spans="1:10">
      <c r="A6" s="160" t="s">
        <v>235</v>
      </c>
      <c r="B6" s="159"/>
    </row>
    <row r="8" spans="1:10">
      <c r="A8" s="9"/>
      <c r="B8" s="9" t="s">
        <v>0</v>
      </c>
      <c r="C8" s="9" t="s">
        <v>1</v>
      </c>
      <c r="D8" s="9" t="s">
        <v>237</v>
      </c>
      <c r="E8" s="9" t="s">
        <v>94</v>
      </c>
      <c r="F8" s="9" t="s">
        <v>5</v>
      </c>
      <c r="G8" s="9" t="s">
        <v>283</v>
      </c>
      <c r="H8" s="9" t="s">
        <v>6</v>
      </c>
      <c r="I8" s="9" t="s">
        <v>23</v>
      </c>
      <c r="J8" s="9" t="s">
        <v>284</v>
      </c>
    </row>
    <row r="9" spans="1:10">
      <c r="A9" s="8" t="s">
        <v>2</v>
      </c>
      <c r="B9" s="8"/>
    </row>
    <row r="10" spans="1:10" ht="86.4">
      <c r="A10" s="79" t="s">
        <v>285</v>
      </c>
      <c r="B10" s="83">
        <v>42761</v>
      </c>
      <c r="C10" s="84" t="s">
        <v>286</v>
      </c>
      <c r="D10" s="84">
        <v>605</v>
      </c>
      <c r="E10" s="82">
        <v>585</v>
      </c>
      <c r="F10" s="79"/>
      <c r="G10" s="84"/>
      <c r="H10" s="82">
        <v>20</v>
      </c>
      <c r="I10" s="93" t="s">
        <v>305</v>
      </c>
      <c r="J10" s="84" t="s">
        <v>331</v>
      </c>
    </row>
    <row r="11" spans="1:10">
      <c r="A11" s="79"/>
      <c r="B11" s="83"/>
      <c r="C11" s="84"/>
      <c r="D11" s="84"/>
      <c r="E11" s="82"/>
      <c r="F11" s="79"/>
      <c r="G11" s="84"/>
      <c r="H11" s="116">
        <f>H10</f>
        <v>20</v>
      </c>
      <c r="I11" s="93"/>
      <c r="J11" s="84"/>
    </row>
    <row r="12" spans="1:10">
      <c r="A12" s="8" t="s">
        <v>14</v>
      </c>
      <c r="B12" s="8"/>
    </row>
    <row r="13" spans="1:10" ht="41.4">
      <c r="A13" s="89" t="s">
        <v>289</v>
      </c>
      <c r="B13" s="94">
        <v>42784</v>
      </c>
      <c r="C13" s="95" t="s">
        <v>288</v>
      </c>
      <c r="D13" s="95">
        <v>219</v>
      </c>
      <c r="E13" s="92">
        <v>98.61</v>
      </c>
      <c r="F13" s="89"/>
      <c r="G13" s="95">
        <v>35</v>
      </c>
      <c r="H13" s="92">
        <v>85.39</v>
      </c>
      <c r="I13" s="92" t="s">
        <v>304</v>
      </c>
      <c r="J13" t="s">
        <v>331</v>
      </c>
    </row>
    <row r="14" spans="1:10">
      <c r="A14" s="89"/>
      <c r="B14" s="94"/>
      <c r="C14" s="95"/>
      <c r="D14" s="95"/>
      <c r="E14" s="92"/>
      <c r="F14" s="89"/>
      <c r="G14" s="95"/>
      <c r="H14" s="117">
        <f>H13</f>
        <v>85.39</v>
      </c>
      <c r="I14" s="92"/>
    </row>
    <row r="15" spans="1:10">
      <c r="A15" s="8" t="s">
        <v>18</v>
      </c>
      <c r="B15" s="8"/>
    </row>
    <row r="16" spans="1:10">
      <c r="A16" t="s">
        <v>293</v>
      </c>
      <c r="B16" s="60">
        <v>42778</v>
      </c>
      <c r="C16" s="61" t="s">
        <v>295</v>
      </c>
      <c r="D16" s="61">
        <v>428</v>
      </c>
      <c r="E16" s="61">
        <v>220.22</v>
      </c>
      <c r="G16" s="61"/>
      <c r="H16" s="61">
        <v>207.78</v>
      </c>
    </row>
    <row r="17" spans="1:9">
      <c r="B17" s="60"/>
      <c r="C17" s="61"/>
      <c r="D17" s="61"/>
      <c r="E17" s="61"/>
      <c r="G17" s="61"/>
      <c r="H17" s="118">
        <f>SUM(H16:H16)</f>
        <v>207.78</v>
      </c>
    </row>
    <row r="18" spans="1:9">
      <c r="A18" s="8" t="s">
        <v>16</v>
      </c>
      <c r="B18" s="8"/>
    </row>
    <row r="19" spans="1:9" ht="69">
      <c r="A19" s="79" t="s">
        <v>296</v>
      </c>
      <c r="B19" s="101">
        <v>42765</v>
      </c>
      <c r="C19" s="82" t="s">
        <v>286</v>
      </c>
      <c r="D19" s="102">
        <v>885</v>
      </c>
      <c r="E19" s="102">
        <v>744.61</v>
      </c>
      <c r="F19" s="79"/>
      <c r="G19" s="103"/>
      <c r="H19" s="102">
        <v>140.38999999999999</v>
      </c>
      <c r="I19" s="82" t="s">
        <v>330</v>
      </c>
    </row>
    <row r="20" spans="1:9">
      <c r="A20" s="79"/>
      <c r="B20" s="101"/>
      <c r="C20" s="82"/>
      <c r="D20" s="102"/>
      <c r="E20" s="102"/>
      <c r="F20" s="79"/>
      <c r="G20" s="103"/>
      <c r="H20" s="119">
        <f>H19</f>
        <v>140.38999999999999</v>
      </c>
      <c r="I20" s="82"/>
    </row>
    <row r="21" spans="1:9">
      <c r="A21" s="79"/>
      <c r="B21" s="101"/>
      <c r="C21" s="82"/>
      <c r="D21" s="102"/>
      <c r="E21" s="102"/>
      <c r="F21" s="79"/>
      <c r="G21" s="103"/>
      <c r="H21" s="119">
        <f>SUM(H11,H14,H17,H20)</f>
        <v>453.56</v>
      </c>
      <c r="I21" s="82"/>
    </row>
    <row r="23" spans="1:9">
      <c r="A23" s="160" t="s">
        <v>30</v>
      </c>
      <c r="B23" s="159"/>
      <c r="C23" s="159"/>
    </row>
    <row r="24" spans="1:9">
      <c r="A24" s="7"/>
      <c r="B24" s="81"/>
      <c r="C24" s="81"/>
    </row>
    <row r="25" spans="1:9" ht="28.2" thickBot="1">
      <c r="A25" s="53" t="s">
        <v>185</v>
      </c>
      <c r="B25" s="53" t="s">
        <v>186</v>
      </c>
      <c r="C25" s="53" t="s">
        <v>187</v>
      </c>
      <c r="D25" s="53" t="s">
        <v>188</v>
      </c>
      <c r="E25" s="53" t="s">
        <v>189</v>
      </c>
      <c r="F25" s="53" t="s">
        <v>190</v>
      </c>
      <c r="G25" s="53" t="s">
        <v>81</v>
      </c>
    </row>
    <row r="26" spans="1:9" ht="16.2" thickBot="1">
      <c r="A26" s="132">
        <v>42936</v>
      </c>
      <c r="B26" s="87" t="s">
        <v>298</v>
      </c>
      <c r="C26" s="87" t="s">
        <v>367</v>
      </c>
      <c r="D26" s="87" t="s">
        <v>171</v>
      </c>
      <c r="E26" s="88">
        <v>122.17</v>
      </c>
      <c r="F26" s="88">
        <v>219</v>
      </c>
      <c r="G26" s="87" t="s">
        <v>193</v>
      </c>
      <c r="H26" s="54" t="s">
        <v>392</v>
      </c>
    </row>
    <row r="27" spans="1:9" ht="16.2" thickBot="1">
      <c r="A27" s="132">
        <v>42894</v>
      </c>
      <c r="B27" s="87" t="s">
        <v>298</v>
      </c>
      <c r="C27" s="87" t="s">
        <v>368</v>
      </c>
      <c r="D27" s="87" t="s">
        <v>171</v>
      </c>
      <c r="E27" s="88">
        <v>108.54</v>
      </c>
      <c r="F27" s="88">
        <v>336</v>
      </c>
      <c r="G27" s="87" t="s">
        <v>193</v>
      </c>
      <c r="H27" s="54"/>
    </row>
    <row r="28" spans="1:9" ht="16.2" thickBot="1">
      <c r="A28" s="132">
        <v>42894</v>
      </c>
      <c r="B28" s="87" t="s">
        <v>298</v>
      </c>
      <c r="C28" s="87" t="s">
        <v>367</v>
      </c>
      <c r="D28" s="87" t="s">
        <v>171</v>
      </c>
      <c r="E28" s="88">
        <v>122.17</v>
      </c>
      <c r="F28" s="88">
        <v>219</v>
      </c>
      <c r="G28" s="87" t="s">
        <v>193</v>
      </c>
      <c r="H28" s="54" t="s">
        <v>392</v>
      </c>
    </row>
    <row r="29" spans="1:9" ht="16.2" thickBot="1">
      <c r="A29" s="130">
        <v>42921</v>
      </c>
      <c r="B29" s="85" t="s">
        <v>297</v>
      </c>
      <c r="C29" s="85" t="s">
        <v>222</v>
      </c>
      <c r="D29" s="85" t="s">
        <v>171</v>
      </c>
      <c r="E29" s="86">
        <v>136.1</v>
      </c>
      <c r="F29" s="86">
        <v>347</v>
      </c>
      <c r="G29" s="85" t="s">
        <v>193</v>
      </c>
      <c r="H29" s="54"/>
    </row>
    <row r="30" spans="1:9" ht="16.2" thickBot="1">
      <c r="A30" s="130">
        <v>42921</v>
      </c>
      <c r="B30" s="85" t="s">
        <v>297</v>
      </c>
      <c r="C30" s="85" t="s">
        <v>369</v>
      </c>
      <c r="D30" s="85" t="s">
        <v>171</v>
      </c>
      <c r="E30" s="86">
        <v>1559.91</v>
      </c>
      <c r="F30" s="86">
        <v>3777</v>
      </c>
      <c r="G30" s="85" t="s">
        <v>193</v>
      </c>
      <c r="H30" s="54" t="s">
        <v>391</v>
      </c>
    </row>
    <row r="31" spans="1:9" ht="16.2" thickBot="1">
      <c r="A31" s="130">
        <v>42913</v>
      </c>
      <c r="B31" s="85" t="s">
        <v>297</v>
      </c>
      <c r="C31" s="85" t="s">
        <v>222</v>
      </c>
      <c r="D31" s="85" t="s">
        <v>171</v>
      </c>
      <c r="E31" s="86">
        <v>125.66</v>
      </c>
      <c r="F31" s="86">
        <v>225</v>
      </c>
      <c r="G31" s="85" t="s">
        <v>193</v>
      </c>
      <c r="H31" s="98"/>
    </row>
    <row r="32" spans="1:9" ht="15.6">
      <c r="A32" s="57"/>
      <c r="B32" s="87"/>
      <c r="C32" s="58"/>
      <c r="D32" s="87"/>
      <c r="E32" s="88">
        <f>SUM(E26:E31)</f>
        <v>2174.5500000000002</v>
      </c>
      <c r="F32" s="88"/>
      <c r="G32" s="85"/>
      <c r="H32" s="58" t="s">
        <v>393</v>
      </c>
    </row>
    <row r="33" spans="1:11" ht="15.6">
      <c r="A33" s="57"/>
      <c r="B33" s="87"/>
      <c r="C33" s="58"/>
      <c r="D33" s="87" t="s">
        <v>365</v>
      </c>
      <c r="E33" s="131">
        <f>SUMIFS(E26:E31,D26:D31,"Pharmacy")</f>
        <v>0</v>
      </c>
      <c r="F33" s="88"/>
      <c r="G33" s="85"/>
      <c r="H33" s="58"/>
    </row>
    <row r="34" spans="1:11">
      <c r="A34" s="57"/>
      <c r="B34" s="58"/>
      <c r="C34" s="58"/>
      <c r="D34" s="58"/>
      <c r="E34" s="59"/>
      <c r="F34" s="59"/>
      <c r="G34" s="58"/>
    </row>
    <row r="35" spans="1:11">
      <c r="A35" s="160" t="s">
        <v>80</v>
      </c>
      <c r="B35" s="160"/>
      <c r="C35" s="160"/>
    </row>
    <row r="37" spans="1:11" ht="15" thickBot="1">
      <c r="A37" s="44" t="s">
        <v>10</v>
      </c>
      <c r="B37" s="45" t="s">
        <v>166</v>
      </c>
      <c r="C37" s="45" t="s">
        <v>167</v>
      </c>
      <c r="D37" s="45" t="s">
        <v>168</v>
      </c>
      <c r="E37" s="46" t="s">
        <v>169</v>
      </c>
      <c r="F37" s="47" t="s">
        <v>81</v>
      </c>
      <c r="G37" s="48" t="s">
        <v>85</v>
      </c>
      <c r="H37" s="48" t="s">
        <v>175</v>
      </c>
      <c r="I37" s="48" t="s">
        <v>176</v>
      </c>
    </row>
    <row r="38" spans="1:11" ht="28.2" thickBot="1">
      <c r="A38" s="67">
        <v>42936</v>
      </c>
      <c r="B38" s="68" t="s">
        <v>171</v>
      </c>
      <c r="C38" s="68" t="s">
        <v>31</v>
      </c>
      <c r="D38" s="71" t="s">
        <v>222</v>
      </c>
      <c r="E38" s="70">
        <v>122.17</v>
      </c>
      <c r="F38" s="39" t="s">
        <v>174</v>
      </c>
      <c r="G38" s="75">
        <v>73.3</v>
      </c>
      <c r="H38" s="3">
        <f t="shared" ref="H38:H43" si="0">E38-G38</f>
        <v>48.870000000000005</v>
      </c>
      <c r="I38" s="51">
        <f t="shared" ref="I38:I44" si="1">H38/E38*100</f>
        <v>40.001637063108788</v>
      </c>
      <c r="J38" t="s">
        <v>336</v>
      </c>
    </row>
    <row r="39" spans="1:11" ht="28.2" thickBot="1">
      <c r="A39" s="67">
        <v>42921</v>
      </c>
      <c r="B39" s="68" t="s">
        <v>171</v>
      </c>
      <c r="C39" s="68" t="s">
        <v>2</v>
      </c>
      <c r="D39" s="71" t="s">
        <v>222</v>
      </c>
      <c r="E39" s="70">
        <v>136.1</v>
      </c>
      <c r="F39" s="39" t="s">
        <v>174</v>
      </c>
      <c r="G39" s="75">
        <v>81.66</v>
      </c>
      <c r="H39" s="3">
        <f t="shared" si="0"/>
        <v>54.44</v>
      </c>
      <c r="I39" s="51">
        <f t="shared" si="1"/>
        <v>40</v>
      </c>
      <c r="J39" t="s">
        <v>336</v>
      </c>
    </row>
    <row r="40" spans="1:11" ht="28.2" thickBot="1">
      <c r="A40" s="67">
        <v>42921</v>
      </c>
      <c r="B40" s="68" t="s">
        <v>171</v>
      </c>
      <c r="C40" s="68" t="s">
        <v>2</v>
      </c>
      <c r="D40" s="71" t="s">
        <v>369</v>
      </c>
      <c r="E40" s="70">
        <v>1559.91</v>
      </c>
      <c r="F40" s="39" t="s">
        <v>174</v>
      </c>
      <c r="G40" s="75">
        <v>935.95</v>
      </c>
      <c r="H40" s="3">
        <f t="shared" si="0"/>
        <v>623.96</v>
      </c>
      <c r="I40" s="51">
        <f t="shared" si="1"/>
        <v>39.999743574949839</v>
      </c>
      <c r="J40" t="s">
        <v>336</v>
      </c>
    </row>
    <row r="41" spans="1:11" ht="28.2" thickBot="1">
      <c r="A41" s="67">
        <v>42913</v>
      </c>
      <c r="B41" s="68" t="s">
        <v>171</v>
      </c>
      <c r="C41" s="68" t="s">
        <v>2</v>
      </c>
      <c r="D41" s="71" t="s">
        <v>222</v>
      </c>
      <c r="E41" s="70">
        <v>125.66</v>
      </c>
      <c r="F41" s="39" t="s">
        <v>174</v>
      </c>
      <c r="G41" s="75">
        <v>94.25</v>
      </c>
      <c r="H41" s="3">
        <f t="shared" si="0"/>
        <v>31.409999999999997</v>
      </c>
      <c r="I41" s="51">
        <f t="shared" si="1"/>
        <v>24.996021009072098</v>
      </c>
      <c r="J41" t="s">
        <v>336</v>
      </c>
    </row>
    <row r="42" spans="1:11" ht="28.2" thickBot="1">
      <c r="A42" s="67">
        <v>42894</v>
      </c>
      <c r="B42" s="68" t="s">
        <v>171</v>
      </c>
      <c r="C42" s="68" t="s">
        <v>31</v>
      </c>
      <c r="D42" s="71" t="s">
        <v>222</v>
      </c>
      <c r="E42" s="70">
        <v>122.17</v>
      </c>
      <c r="F42" s="39" t="s">
        <v>174</v>
      </c>
      <c r="G42" s="75">
        <v>91.63</v>
      </c>
      <c r="H42" s="3">
        <f t="shared" si="0"/>
        <v>30.540000000000006</v>
      </c>
      <c r="I42" s="51">
        <f t="shared" si="1"/>
        <v>24.997953671114026</v>
      </c>
      <c r="J42" t="s">
        <v>336</v>
      </c>
    </row>
    <row r="43" spans="1:11" ht="27.6">
      <c r="A43" s="67">
        <v>42894</v>
      </c>
      <c r="B43" s="68" t="s">
        <v>171</v>
      </c>
      <c r="C43" s="68" t="s">
        <v>31</v>
      </c>
      <c r="D43" s="71" t="s">
        <v>368</v>
      </c>
      <c r="E43" s="70">
        <v>108.54</v>
      </c>
      <c r="F43" s="39" t="s">
        <v>174</v>
      </c>
      <c r="G43" s="75">
        <v>81.41</v>
      </c>
      <c r="H43" s="3">
        <f t="shared" si="0"/>
        <v>27.13000000000001</v>
      </c>
      <c r="I43" s="51">
        <f t="shared" si="1"/>
        <v>24.99539340335361</v>
      </c>
      <c r="J43" t="s">
        <v>336</v>
      </c>
    </row>
    <row r="44" spans="1:11">
      <c r="A44" s="67"/>
      <c r="B44" s="68"/>
      <c r="C44" s="68"/>
      <c r="D44" s="74"/>
      <c r="E44" s="70">
        <f>SUM(E38:E43)</f>
        <v>2174.5500000000002</v>
      </c>
      <c r="F44" s="39"/>
      <c r="G44" s="70">
        <f>SUM(G38:G43)</f>
        <v>1358.2</v>
      </c>
      <c r="H44" s="70">
        <f>SUM(H38:H43)</f>
        <v>816.34999999999991</v>
      </c>
      <c r="I44" s="112">
        <f t="shared" si="1"/>
        <v>37.541100457565925</v>
      </c>
      <c r="J44" t="s">
        <v>336</v>
      </c>
      <c r="K44" s="6"/>
    </row>
    <row r="45" spans="1:11">
      <c r="A45" s="67"/>
      <c r="B45" s="68"/>
      <c r="C45" s="68"/>
      <c r="D45" s="39" t="s">
        <v>333</v>
      </c>
      <c r="E45" s="70">
        <f>SUMIFS(E38:E43,C38:C43,"Awais Sultan")</f>
        <v>1821.67</v>
      </c>
      <c r="F45" s="39"/>
      <c r="G45" s="70"/>
      <c r="H45" s="70"/>
      <c r="I45" s="112"/>
      <c r="J45" s="6"/>
    </row>
    <row r="46" spans="1:11">
      <c r="A46" s="67"/>
      <c r="B46" s="68"/>
      <c r="C46" s="68"/>
      <c r="D46" s="39" t="s">
        <v>334</v>
      </c>
      <c r="E46" s="70">
        <f>SUMIFS(E38:E43,C38:C43,"Saliha Awais")</f>
        <v>0</v>
      </c>
      <c r="F46" s="39"/>
      <c r="G46" s="70"/>
      <c r="H46" s="70"/>
      <c r="I46" s="112"/>
      <c r="J46" s="6"/>
    </row>
    <row r="47" spans="1:11">
      <c r="A47" s="67"/>
      <c r="B47" s="68"/>
      <c r="C47" s="68"/>
      <c r="D47" s="39" t="s">
        <v>332</v>
      </c>
      <c r="E47" s="70">
        <f>SUMIFS(E38:E43,C38:C43,"Dania Sultan")</f>
        <v>352.88</v>
      </c>
      <c r="F47" s="39"/>
      <c r="G47" s="70"/>
      <c r="H47" s="70"/>
      <c r="I47" s="112"/>
      <c r="J47" s="6"/>
    </row>
    <row r="48" spans="1:11">
      <c r="A48" s="67"/>
      <c r="B48" s="68"/>
      <c r="C48" s="68"/>
      <c r="D48" s="39" t="s">
        <v>335</v>
      </c>
      <c r="E48" s="70">
        <f>SUMIFS(E38:E43,C38:C43,"Mekael Sultan")</f>
        <v>0</v>
      </c>
      <c r="F48" s="39"/>
      <c r="G48" s="70"/>
      <c r="H48" s="70"/>
      <c r="I48" s="112"/>
      <c r="J48" s="6"/>
    </row>
    <row r="49" spans="1:9">
      <c r="A49" s="67"/>
      <c r="B49" s="68"/>
      <c r="C49" s="68"/>
      <c r="D49" s="39" t="s">
        <v>326</v>
      </c>
      <c r="E49" s="120">
        <f>SUM(E45:E48)</f>
        <v>2174.5500000000002</v>
      </c>
      <c r="F49" s="39"/>
      <c r="G49" s="120"/>
      <c r="H49" s="3"/>
      <c r="I49" s="51"/>
    </row>
    <row r="50" spans="1:9">
      <c r="A50" s="67"/>
      <c r="B50" s="68"/>
      <c r="C50" s="68"/>
      <c r="D50" s="39" t="s">
        <v>338</v>
      </c>
      <c r="E50" s="70">
        <f>SUMIFS(E38:E43,C38:C43,"Awais Sultan",J38:J43,"BILLED")</f>
        <v>0</v>
      </c>
      <c r="F50" s="39"/>
      <c r="G50" s="70"/>
      <c r="H50" s="3"/>
      <c r="I50" s="51"/>
    </row>
    <row r="51" spans="1:9">
      <c r="A51" s="67"/>
      <c r="B51" s="68"/>
      <c r="C51" s="68"/>
      <c r="D51" s="39" t="s">
        <v>339</v>
      </c>
      <c r="E51" s="70">
        <f>SUMIFS(E38:E43,C38:C43,"Saliha Awais",J38:J43,"BILLED")</f>
        <v>0</v>
      </c>
      <c r="F51" s="39"/>
      <c r="G51" s="70"/>
      <c r="H51" s="3"/>
      <c r="I51" s="51"/>
    </row>
    <row r="52" spans="1:9">
      <c r="A52" s="67"/>
      <c r="B52" s="68"/>
      <c r="C52" s="68"/>
      <c r="D52" s="39" t="s">
        <v>340</v>
      </c>
      <c r="E52" s="70">
        <f>SUMIFS(E38:E43,C38:C43,"Dania Sultan",J38:J43,"BILLED")</f>
        <v>0</v>
      </c>
      <c r="F52" s="39"/>
      <c r="G52" s="70"/>
      <c r="H52" s="3"/>
      <c r="I52" s="51"/>
    </row>
    <row r="53" spans="1:9">
      <c r="A53" s="67"/>
      <c r="B53" s="68"/>
      <c r="C53" s="68"/>
      <c r="D53" s="39" t="s">
        <v>341</v>
      </c>
      <c r="E53" s="70">
        <f>SUMIFS(E38:E43,C38:C43,"Mekael Sultan",J38:J43,"BILLED")</f>
        <v>0</v>
      </c>
      <c r="F53" s="39"/>
      <c r="G53" s="70"/>
      <c r="H53" s="3"/>
      <c r="I53" s="51"/>
    </row>
    <row r="54" spans="1:9">
      <c r="A54" s="67"/>
      <c r="B54" s="68"/>
      <c r="C54" s="68"/>
      <c r="D54" s="39" t="s">
        <v>342</v>
      </c>
      <c r="E54" s="120">
        <f>SUM(E50:E53)</f>
        <v>0</v>
      </c>
      <c r="F54" s="39"/>
      <c r="G54" s="120"/>
      <c r="H54" s="3"/>
      <c r="I54" s="51"/>
    </row>
    <row r="55" spans="1:9">
      <c r="A55" s="67"/>
      <c r="B55" s="68"/>
      <c r="C55" s="68"/>
      <c r="D55" s="39" t="s">
        <v>343</v>
      </c>
      <c r="E55" s="120">
        <f>E50</f>
        <v>0</v>
      </c>
      <c r="F55" s="39" t="s">
        <v>348</v>
      </c>
      <c r="G55" s="120"/>
      <c r="H55" s="3"/>
      <c r="I55" s="51"/>
    </row>
    <row r="56" spans="1:9">
      <c r="A56" s="67"/>
      <c r="B56" s="68"/>
      <c r="C56" s="68"/>
      <c r="D56" s="39" t="s">
        <v>344</v>
      </c>
      <c r="E56" s="120">
        <f>E51</f>
        <v>0</v>
      </c>
      <c r="F56" s="39" t="s">
        <v>348</v>
      </c>
      <c r="G56" s="120"/>
      <c r="H56" s="3"/>
      <c r="I56" s="51"/>
    </row>
    <row r="57" spans="1:9">
      <c r="A57" s="67"/>
      <c r="B57" s="68"/>
      <c r="C57" s="68"/>
      <c r="D57" s="39" t="s">
        <v>345</v>
      </c>
      <c r="E57" s="120">
        <f>E52</f>
        <v>0</v>
      </c>
      <c r="F57" s="39" t="s">
        <v>349</v>
      </c>
      <c r="G57" s="120"/>
      <c r="H57" s="3"/>
      <c r="I57" s="51"/>
    </row>
    <row r="58" spans="1:9">
      <c r="A58" s="67"/>
      <c r="B58" s="68"/>
      <c r="C58" s="68"/>
      <c r="D58" s="39" t="s">
        <v>346</v>
      </c>
      <c r="E58" s="120">
        <f>E53</f>
        <v>0</v>
      </c>
      <c r="F58" s="39" t="s">
        <v>350</v>
      </c>
      <c r="G58" s="120"/>
      <c r="H58" s="3"/>
      <c r="I58" s="51"/>
    </row>
    <row r="59" spans="1:9">
      <c r="A59" s="67"/>
      <c r="B59" s="68"/>
      <c r="C59" s="68"/>
      <c r="D59" s="39" t="s">
        <v>347</v>
      </c>
      <c r="E59" s="121">
        <f>SUM(E55:E58)</f>
        <v>0</v>
      </c>
      <c r="F59" s="39"/>
      <c r="G59" s="75"/>
      <c r="H59" s="3"/>
      <c r="I59" s="51"/>
    </row>
    <row r="60" spans="1:9">
      <c r="A60" s="67"/>
      <c r="B60" s="68"/>
      <c r="C60" s="68"/>
      <c r="D60" s="39"/>
      <c r="E60" s="123"/>
      <c r="F60" s="39"/>
      <c r="G60" s="75"/>
      <c r="H60" s="3"/>
      <c r="I60" s="51"/>
    </row>
    <row r="61" spans="1:9">
      <c r="A61" s="160" t="s">
        <v>89</v>
      </c>
      <c r="B61" s="160"/>
      <c r="C61" s="160"/>
    </row>
    <row r="63" spans="1:9">
      <c r="A63" s="9" t="s">
        <v>10</v>
      </c>
      <c r="B63" s="9" t="s">
        <v>90</v>
      </c>
    </row>
    <row r="64" spans="1:9" ht="15" thickBot="1">
      <c r="A64" s="77">
        <v>42949</v>
      </c>
      <c r="B64" s="78">
        <v>73.3</v>
      </c>
      <c r="C64" s="54" t="s">
        <v>370</v>
      </c>
    </row>
    <row r="65" spans="1:3" ht="15" thickBot="1">
      <c r="A65" s="77">
        <v>42935</v>
      </c>
      <c r="B65" s="78">
        <v>1017.61</v>
      </c>
      <c r="C65" s="54" t="s">
        <v>374</v>
      </c>
    </row>
    <row r="66" spans="1:3" ht="15" thickBot="1">
      <c r="A66" s="77">
        <v>42928</v>
      </c>
      <c r="B66" s="78">
        <v>94.25</v>
      </c>
      <c r="C66" s="54" t="s">
        <v>371</v>
      </c>
    </row>
    <row r="67" spans="1:3" ht="15" thickBot="1">
      <c r="A67" s="77">
        <v>42914</v>
      </c>
      <c r="B67" s="78">
        <v>81.41</v>
      </c>
      <c r="C67" s="54" t="s">
        <v>372</v>
      </c>
    </row>
    <row r="68" spans="1:3" ht="15" thickBot="1">
      <c r="A68" s="77">
        <v>42907</v>
      </c>
      <c r="B68" s="78">
        <v>91.63</v>
      </c>
      <c r="C68" s="54" t="s">
        <v>373</v>
      </c>
    </row>
    <row r="69" spans="1:3">
      <c r="A69" s="77"/>
      <c r="B69" s="3">
        <f>SUM(B64:B68)</f>
        <v>1358.2000000000003</v>
      </c>
      <c r="C69" s="76" t="s">
        <v>326</v>
      </c>
    </row>
    <row r="70" spans="1:3">
      <c r="A70" s="77"/>
      <c r="B70" s="3"/>
      <c r="C70" s="76"/>
    </row>
    <row r="71" spans="1:3">
      <c r="A71" s="77"/>
      <c r="B71" s="3"/>
      <c r="C71" s="76"/>
    </row>
    <row r="72" spans="1:3">
      <c r="A72" s="77"/>
    </row>
    <row r="73" spans="1:3" ht="72">
      <c r="A73" s="113" t="s">
        <v>402</v>
      </c>
      <c r="B73" s="114">
        <f>E44</f>
        <v>2174.5500000000002</v>
      </c>
    </row>
    <row r="74" spans="1:3" ht="28.8">
      <c r="A74" s="113" t="s">
        <v>328</v>
      </c>
      <c r="B74" s="115">
        <f>70+75</f>
        <v>145</v>
      </c>
      <c r="C74" t="s">
        <v>388</v>
      </c>
    </row>
    <row r="75" spans="1:3">
      <c r="A75" s="113" t="s">
        <v>329</v>
      </c>
      <c r="B75" s="114">
        <f>B73-B74</f>
        <v>2029.5500000000002</v>
      </c>
    </row>
    <row r="76" spans="1:3">
      <c r="A76" s="113" t="s">
        <v>396</v>
      </c>
      <c r="B76" s="114">
        <f>0</f>
        <v>0</v>
      </c>
    </row>
    <row r="77" spans="1:3" ht="28.8">
      <c r="A77" s="113" t="s">
        <v>400</v>
      </c>
      <c r="B77" s="114">
        <f>B73-B76</f>
        <v>2174.5500000000002</v>
      </c>
    </row>
    <row r="78" spans="1:3" ht="28.8">
      <c r="A78" s="113" t="s">
        <v>401</v>
      </c>
      <c r="B78" s="114">
        <f>B75-B76</f>
        <v>2029.5500000000002</v>
      </c>
    </row>
    <row r="79" spans="1:3" ht="28.8">
      <c r="A79" s="113" t="s">
        <v>403</v>
      </c>
      <c r="B79" s="114">
        <f>H44</f>
        <v>816.34999999999991</v>
      </c>
    </row>
    <row r="80" spans="1:3" ht="28.8">
      <c r="A80" s="113" t="s">
        <v>389</v>
      </c>
      <c r="B80" s="114">
        <f>B79-B74</f>
        <v>671.34999999999991</v>
      </c>
    </row>
    <row r="81" spans="1:9">
      <c r="A81" s="113"/>
      <c r="B81" s="114"/>
    </row>
    <row r="82" spans="1:9">
      <c r="A82" s="77"/>
    </row>
    <row r="83" spans="1:9">
      <c r="A83" s="122" t="s">
        <v>351</v>
      </c>
    </row>
    <row r="84" spans="1:9">
      <c r="A84" t="s">
        <v>272</v>
      </c>
      <c r="B84" t="s">
        <v>10</v>
      </c>
      <c r="C84" t="s">
        <v>352</v>
      </c>
      <c r="D84" t="s">
        <v>356</v>
      </c>
      <c r="E84" t="s">
        <v>404</v>
      </c>
      <c r="F84" t="s">
        <v>405</v>
      </c>
      <c r="G84" t="s">
        <v>354</v>
      </c>
      <c r="H84" t="s">
        <v>357</v>
      </c>
      <c r="I84" t="s">
        <v>358</v>
      </c>
    </row>
    <row r="85" spans="1:9">
      <c r="D85" s="3">
        <f>SUM(D75:D84)</f>
        <v>0</v>
      </c>
      <c r="E85" s="3">
        <f>SUM(E75:E84)</f>
        <v>0</v>
      </c>
      <c r="F85" s="3"/>
      <c r="G85">
        <f>SUM(G75:G84)</f>
        <v>0</v>
      </c>
      <c r="H85" s="3">
        <f>SUM(H75:H84)</f>
        <v>0</v>
      </c>
      <c r="I85" s="124">
        <f>SUM(I75:I84)</f>
        <v>0</v>
      </c>
    </row>
    <row r="86" spans="1:9">
      <c r="D86" s="3"/>
      <c r="E86" t="s">
        <v>399</v>
      </c>
      <c r="F86" s="3">
        <f>SUM(F85,H85)</f>
        <v>0</v>
      </c>
      <c r="G86" s="3">
        <f>SUM(G85,H85)</f>
        <v>0</v>
      </c>
      <c r="H86" s="3"/>
      <c r="I86" s="138"/>
    </row>
    <row r="87" spans="1:9">
      <c r="D87" s="3"/>
      <c r="F87" s="3"/>
      <c r="G87" s="3"/>
      <c r="H87" s="3"/>
      <c r="I87" s="138"/>
    </row>
    <row r="88" spans="1:9">
      <c r="A88" s="127" t="s">
        <v>385</v>
      </c>
      <c r="D88" s="3"/>
      <c r="E88" s="3"/>
      <c r="F88" s="3"/>
      <c r="H88" s="3"/>
      <c r="I88" s="138"/>
    </row>
    <row r="89" spans="1:9">
      <c r="A89" t="s">
        <v>386</v>
      </c>
      <c r="B89" t="s">
        <v>10</v>
      </c>
      <c r="C89" t="s">
        <v>387</v>
      </c>
      <c r="D89" s="3"/>
      <c r="E89" s="3"/>
      <c r="F89" s="3"/>
      <c r="H89" s="3"/>
      <c r="I89" s="138"/>
    </row>
    <row r="90" spans="1:9">
      <c r="A90" t="s">
        <v>14</v>
      </c>
      <c r="C90">
        <v>50</v>
      </c>
      <c r="D90" s="3"/>
      <c r="E90" s="3"/>
      <c r="F90" s="3"/>
      <c r="H90" s="3"/>
      <c r="I90" s="138"/>
    </row>
    <row r="91" spans="1:9">
      <c r="A91" t="s">
        <v>16</v>
      </c>
      <c r="C91">
        <v>128.4</v>
      </c>
      <c r="D91" s="3"/>
      <c r="E91" s="3"/>
      <c r="F91" s="3"/>
      <c r="H91" s="3"/>
      <c r="I91" s="138"/>
    </row>
    <row r="92" spans="1:9">
      <c r="A92" t="s">
        <v>16</v>
      </c>
      <c r="C92">
        <v>233.6</v>
      </c>
      <c r="D92" s="3"/>
      <c r="E92" s="3"/>
      <c r="F92" s="3"/>
      <c r="H92" s="3"/>
      <c r="I92" s="138"/>
    </row>
    <row r="93" spans="1:9">
      <c r="B93" t="s">
        <v>326</v>
      </c>
      <c r="C93">
        <f>SUM(C90:C92)</f>
        <v>412</v>
      </c>
      <c r="D93" s="3"/>
      <c r="E93" s="3"/>
      <c r="F93" s="3"/>
      <c r="H93" s="3"/>
      <c r="I93" s="138"/>
    </row>
    <row r="95" spans="1:9">
      <c r="A95" s="125" t="s">
        <v>366</v>
      </c>
      <c r="B95" s="126">
        <f>E59+B74</f>
        <v>145</v>
      </c>
      <c r="C95" t="s">
        <v>394</v>
      </c>
    </row>
    <row r="96" spans="1:9">
      <c r="A96" s="125" t="s">
        <v>376</v>
      </c>
      <c r="B96" s="128" t="s">
        <v>377</v>
      </c>
    </row>
    <row r="97" spans="1:3">
      <c r="A97" s="125" t="s">
        <v>375</v>
      </c>
      <c r="B97" s="128">
        <f>B75</f>
        <v>2029.5500000000002</v>
      </c>
    </row>
    <row r="98" spans="1:3" ht="28.8">
      <c r="A98" s="125" t="s">
        <v>390</v>
      </c>
      <c r="B98" s="126">
        <f>B80</f>
        <v>671.34999999999991</v>
      </c>
    </row>
    <row r="99" spans="1:3">
      <c r="A99" s="125" t="s">
        <v>380</v>
      </c>
      <c r="B99" s="126">
        <v>44</v>
      </c>
      <c r="C99" t="s">
        <v>381</v>
      </c>
    </row>
    <row r="100" spans="1:3">
      <c r="A100" s="125" t="s">
        <v>382</v>
      </c>
      <c r="B100" s="126">
        <f>13.28+12.99</f>
        <v>26.27</v>
      </c>
      <c r="C100" t="s">
        <v>383</v>
      </c>
    </row>
    <row r="101" spans="1:3">
      <c r="A101" s="125" t="s">
        <v>384</v>
      </c>
      <c r="B101" s="126">
        <f>C93</f>
        <v>412</v>
      </c>
    </row>
    <row r="102" spans="1:3">
      <c r="A102" s="125" t="s">
        <v>379</v>
      </c>
      <c r="B102" s="126">
        <v>407.18</v>
      </c>
    </row>
    <row r="103" spans="1:3">
      <c r="A103" s="125" t="s">
        <v>378</v>
      </c>
      <c r="B103" s="126">
        <f>SUM(B95,B98,B99,B100,B101,B102)</f>
        <v>1705.8</v>
      </c>
    </row>
  </sheetData>
  <mergeCells count="6">
    <mergeCell ref="A6:B6"/>
    <mergeCell ref="A23:C23"/>
    <mergeCell ref="A35:C35"/>
    <mergeCell ref="A61:C61"/>
    <mergeCell ref="A2:B2"/>
    <mergeCell ref="A3:B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4"/>
  <sheetViews>
    <sheetView topLeftCell="A121" workbookViewId="0">
      <selection activeCell="F121" sqref="F121"/>
    </sheetView>
  </sheetViews>
  <sheetFormatPr defaultColWidth="8.77734375" defaultRowHeight="14.4"/>
  <cols>
    <col min="1" max="1" width="27.77734375" bestFit="1" customWidth="1"/>
    <col min="2" max="2" width="22.6640625" bestFit="1" customWidth="1"/>
    <col min="3" max="3" width="29" bestFit="1" customWidth="1"/>
    <col min="4" max="4" width="35" bestFit="1" customWidth="1"/>
    <col min="5" max="5" width="44.33203125" bestFit="1" customWidth="1"/>
    <col min="6" max="6" width="43.33203125" bestFit="1" customWidth="1"/>
    <col min="7" max="7" width="50.6640625" bestFit="1" customWidth="1"/>
    <col min="8" max="8" width="41.6640625" bestFit="1" customWidth="1"/>
    <col min="9" max="9" width="18.6640625" bestFit="1" customWidth="1"/>
    <col min="10" max="10" width="45.109375" bestFit="1" customWidth="1"/>
    <col min="11" max="11" width="26.6640625" customWidth="1"/>
  </cols>
  <sheetData>
    <row r="1" spans="1:10">
      <c r="A1" s="141">
        <v>0.16388888888888889</v>
      </c>
    </row>
    <row r="3" spans="1:10">
      <c r="A3" s="160" t="s">
        <v>25</v>
      </c>
      <c r="B3" s="160"/>
    </row>
    <row r="4" spans="1:10">
      <c r="A4" s="159" t="s">
        <v>24</v>
      </c>
      <c r="B4" s="159"/>
      <c r="C4" t="s">
        <v>233</v>
      </c>
    </row>
    <row r="5" spans="1:10">
      <c r="A5" s="139" t="s">
        <v>231</v>
      </c>
      <c r="B5" s="139"/>
      <c r="C5" s="6" t="s">
        <v>232</v>
      </c>
    </row>
    <row r="7" spans="1:10">
      <c r="A7" s="160" t="s">
        <v>235</v>
      </c>
      <c r="B7" s="159"/>
    </row>
    <row r="8" spans="1:10">
      <c r="C8" t="s">
        <v>410</v>
      </c>
    </row>
    <row r="9" spans="1:10">
      <c r="A9" s="9"/>
      <c r="B9" s="9" t="s">
        <v>0</v>
      </c>
      <c r="C9" s="9" t="s">
        <v>1</v>
      </c>
      <c r="D9" s="9" t="s">
        <v>237</v>
      </c>
      <c r="E9" s="9" t="s">
        <v>94</v>
      </c>
      <c r="F9" s="9" t="s">
        <v>5</v>
      </c>
      <c r="G9" s="9" t="s">
        <v>283</v>
      </c>
      <c r="H9" s="9" t="s">
        <v>6</v>
      </c>
      <c r="I9" s="9" t="s">
        <v>23</v>
      </c>
      <c r="J9" s="9" t="s">
        <v>284</v>
      </c>
    </row>
    <row r="10" spans="1:10">
      <c r="A10" s="8" t="s">
        <v>2</v>
      </c>
      <c r="B10" s="8"/>
    </row>
    <row r="11" spans="1:10" s="143" customFormat="1" ht="86.4">
      <c r="B11" s="144">
        <v>42985</v>
      </c>
      <c r="C11" s="145" t="s">
        <v>408</v>
      </c>
      <c r="D11" s="145">
        <v>219</v>
      </c>
      <c r="E11" s="146">
        <v>96.83</v>
      </c>
      <c r="G11" s="145"/>
      <c r="H11" s="146">
        <v>122.17</v>
      </c>
      <c r="I11" s="147" t="s">
        <v>416</v>
      </c>
      <c r="J11" s="145"/>
    </row>
    <row r="12" spans="1:10" s="148" customFormat="1">
      <c r="B12" s="2">
        <v>42921</v>
      </c>
      <c r="C12" s="11" t="s">
        <v>409</v>
      </c>
      <c r="D12" s="11">
        <v>347</v>
      </c>
      <c r="E12" s="12">
        <v>210.9</v>
      </c>
      <c r="G12" s="11"/>
      <c r="H12" s="12">
        <v>136.1</v>
      </c>
      <c r="I12" s="149"/>
      <c r="J12" s="11"/>
    </row>
    <row r="13" spans="1:10">
      <c r="A13" s="79"/>
      <c r="B13" s="83"/>
      <c r="C13" s="84"/>
      <c r="D13" s="84"/>
      <c r="E13" s="82"/>
      <c r="F13" s="79"/>
      <c r="G13" s="84"/>
      <c r="H13" s="116">
        <f>SUM(H11:H12)</f>
        <v>258.27</v>
      </c>
      <c r="I13" s="93"/>
      <c r="J13" s="84"/>
    </row>
    <row r="14" spans="1:10">
      <c r="A14" s="8" t="s">
        <v>14</v>
      </c>
      <c r="B14" s="8"/>
    </row>
    <row r="15" spans="1:10" ht="158.4">
      <c r="A15" s="79"/>
      <c r="B15" s="154">
        <v>42972</v>
      </c>
      <c r="C15" s="79" t="s">
        <v>422</v>
      </c>
      <c r="D15" s="79">
        <v>118.12</v>
      </c>
      <c r="E15" s="79">
        <v>0</v>
      </c>
      <c r="F15" s="79"/>
      <c r="G15" s="79"/>
      <c r="H15" s="79">
        <v>118.12</v>
      </c>
      <c r="I15" s="93" t="s">
        <v>424</v>
      </c>
    </row>
    <row r="16" spans="1:10" ht="41.4">
      <c r="A16" s="89" t="s">
        <v>289</v>
      </c>
      <c r="B16" s="94">
        <v>42784</v>
      </c>
      <c r="C16" s="95" t="s">
        <v>288</v>
      </c>
      <c r="D16" s="95">
        <v>219</v>
      </c>
      <c r="E16" s="92">
        <v>98.61</v>
      </c>
      <c r="F16" s="89"/>
      <c r="G16" s="95">
        <v>35</v>
      </c>
      <c r="H16" s="92">
        <v>85.39</v>
      </c>
      <c r="I16" s="92" t="s">
        <v>304</v>
      </c>
      <c r="J16" t="s">
        <v>331</v>
      </c>
    </row>
    <row r="17" spans="1:9">
      <c r="A17" s="89"/>
      <c r="B17" s="94"/>
      <c r="C17" s="95"/>
      <c r="D17" s="95"/>
      <c r="E17" s="92"/>
      <c r="F17" s="89"/>
      <c r="G17" s="95"/>
      <c r="H17" s="117">
        <f>H16</f>
        <v>85.39</v>
      </c>
      <c r="I17" s="92"/>
    </row>
    <row r="18" spans="1:9">
      <c r="A18" s="8" t="s">
        <v>18</v>
      </c>
      <c r="B18" s="8"/>
    </row>
    <row r="19" spans="1:9" ht="158.4">
      <c r="A19" s="79"/>
      <c r="B19" s="154">
        <v>42972</v>
      </c>
      <c r="C19" s="79" t="s">
        <v>422</v>
      </c>
      <c r="D19" s="79">
        <v>78.62</v>
      </c>
      <c r="E19" s="79">
        <v>0</v>
      </c>
      <c r="F19" s="79"/>
      <c r="G19" s="79"/>
      <c r="H19" s="79">
        <v>78.62</v>
      </c>
      <c r="I19" s="93" t="s">
        <v>423</v>
      </c>
    </row>
    <row r="20" spans="1:9">
      <c r="A20" t="s">
        <v>293</v>
      </c>
      <c r="B20" s="60">
        <v>42778</v>
      </c>
      <c r="C20" s="61" t="s">
        <v>295</v>
      </c>
      <c r="D20" s="61">
        <v>428</v>
      </c>
      <c r="E20" s="61">
        <v>220.22</v>
      </c>
      <c r="G20" s="61"/>
      <c r="H20" s="61">
        <v>207.78</v>
      </c>
    </row>
    <row r="21" spans="1:9">
      <c r="B21" s="60"/>
      <c r="C21" s="61"/>
      <c r="D21" s="61"/>
      <c r="E21" s="61"/>
      <c r="G21" s="61"/>
      <c r="H21" s="118">
        <f>SUM(H20:H20)</f>
        <v>207.78</v>
      </c>
    </row>
    <row r="22" spans="1:9">
      <c r="A22" s="8" t="s">
        <v>16</v>
      </c>
      <c r="B22" s="8"/>
    </row>
    <row r="23" spans="1:9" ht="69">
      <c r="A23" s="79" t="s">
        <v>296</v>
      </c>
      <c r="B23" s="101">
        <v>42765</v>
      </c>
      <c r="C23" s="82" t="s">
        <v>286</v>
      </c>
      <c r="D23" s="102">
        <v>885</v>
      </c>
      <c r="E23" s="102">
        <v>744.61</v>
      </c>
      <c r="F23" s="79"/>
      <c r="G23" s="103"/>
      <c r="H23" s="102">
        <v>140.38999999999999</v>
      </c>
      <c r="I23" s="82" t="s">
        <v>330</v>
      </c>
    </row>
    <row r="24" spans="1:9">
      <c r="A24" s="79"/>
      <c r="B24" s="101"/>
      <c r="C24" s="82"/>
      <c r="D24" s="102"/>
      <c r="E24" s="102"/>
      <c r="F24" s="79"/>
      <c r="G24" s="103"/>
      <c r="H24" s="119">
        <f>H23</f>
        <v>140.38999999999999</v>
      </c>
      <c r="I24" s="82"/>
    </row>
    <row r="25" spans="1:9">
      <c r="A25" s="79"/>
      <c r="B25" s="101"/>
      <c r="C25" s="82"/>
      <c r="D25" s="102"/>
      <c r="E25" s="102"/>
      <c r="F25" s="79"/>
      <c r="G25" s="103"/>
      <c r="H25" s="119">
        <f>SUM(H13,H17,H21,H24)</f>
        <v>691.82999999999993</v>
      </c>
      <c r="I25" s="82"/>
    </row>
    <row r="27" spans="1:9">
      <c r="A27" s="160" t="s">
        <v>30</v>
      </c>
      <c r="B27" s="159"/>
      <c r="C27" s="159"/>
    </row>
    <row r="28" spans="1:9">
      <c r="A28" s="7"/>
      <c r="B28" s="139"/>
      <c r="C28" s="139"/>
    </row>
    <row r="29" spans="1:9" ht="28.2" thickBot="1">
      <c r="A29" s="53" t="s">
        <v>185</v>
      </c>
      <c r="B29" s="53" t="s">
        <v>186</v>
      </c>
      <c r="C29" s="53" t="s">
        <v>187</v>
      </c>
      <c r="D29" s="53" t="s">
        <v>188</v>
      </c>
      <c r="E29" s="53" t="s">
        <v>189</v>
      </c>
      <c r="F29" s="53" t="s">
        <v>190</v>
      </c>
      <c r="G29" s="53" t="s">
        <v>81</v>
      </c>
    </row>
    <row r="30" spans="1:9" ht="16.2" thickBot="1">
      <c r="A30" s="132">
        <v>42936</v>
      </c>
      <c r="B30" s="87" t="s">
        <v>298</v>
      </c>
      <c r="C30" s="87" t="s">
        <v>367</v>
      </c>
      <c r="D30" s="87" t="s">
        <v>171</v>
      </c>
      <c r="E30" s="88">
        <v>122.17</v>
      </c>
      <c r="F30" s="88">
        <v>219</v>
      </c>
      <c r="G30" s="87" t="s">
        <v>193</v>
      </c>
      <c r="H30" s="54" t="s">
        <v>392</v>
      </c>
    </row>
    <row r="31" spans="1:9" ht="16.2" thickBot="1">
      <c r="A31" s="132">
        <v>42894</v>
      </c>
      <c r="B31" s="87" t="s">
        <v>298</v>
      </c>
      <c r="C31" s="87" t="s">
        <v>368</v>
      </c>
      <c r="D31" s="87" t="s">
        <v>171</v>
      </c>
      <c r="E31" s="88">
        <v>108.54</v>
      </c>
      <c r="F31" s="88">
        <v>336</v>
      </c>
      <c r="G31" s="87" t="s">
        <v>193</v>
      </c>
      <c r="H31" s="54"/>
    </row>
    <row r="32" spans="1:9" ht="16.2" thickBot="1">
      <c r="A32" s="132">
        <v>42894</v>
      </c>
      <c r="B32" s="87" t="s">
        <v>298</v>
      </c>
      <c r="C32" s="87" t="s">
        <v>367</v>
      </c>
      <c r="D32" s="87" t="s">
        <v>171</v>
      </c>
      <c r="E32" s="88">
        <v>122.17</v>
      </c>
      <c r="F32" s="88">
        <v>219</v>
      </c>
      <c r="G32" s="87" t="s">
        <v>193</v>
      </c>
      <c r="H32" s="54" t="s">
        <v>392</v>
      </c>
    </row>
    <row r="33" spans="1:11" ht="16.2" thickBot="1">
      <c r="A33" s="130">
        <v>42921</v>
      </c>
      <c r="B33" s="85" t="s">
        <v>297</v>
      </c>
      <c r="C33" s="85" t="s">
        <v>222</v>
      </c>
      <c r="D33" s="85" t="s">
        <v>171</v>
      </c>
      <c r="E33" s="86">
        <v>136.1</v>
      </c>
      <c r="F33" s="86">
        <v>347</v>
      </c>
      <c r="G33" s="85" t="s">
        <v>193</v>
      </c>
      <c r="H33" s="54"/>
    </row>
    <row r="34" spans="1:11" ht="16.2" thickBot="1">
      <c r="A34" s="130">
        <v>42921</v>
      </c>
      <c r="B34" s="85" t="s">
        <v>297</v>
      </c>
      <c r="C34" s="85" t="s">
        <v>369</v>
      </c>
      <c r="D34" s="85" t="s">
        <v>171</v>
      </c>
      <c r="E34" s="86">
        <v>1559.91</v>
      </c>
      <c r="F34" s="86">
        <v>3777</v>
      </c>
      <c r="G34" s="85" t="s">
        <v>193</v>
      </c>
      <c r="H34" s="54" t="s">
        <v>391</v>
      </c>
    </row>
    <row r="35" spans="1:11" ht="16.2" thickBot="1">
      <c r="A35" s="130">
        <v>42913</v>
      </c>
      <c r="B35" s="85" t="s">
        <v>297</v>
      </c>
      <c r="C35" s="85" t="s">
        <v>222</v>
      </c>
      <c r="D35" s="85" t="s">
        <v>171</v>
      </c>
      <c r="E35" s="86">
        <v>125.66</v>
      </c>
      <c r="F35" s="86">
        <v>225</v>
      </c>
      <c r="G35" s="85" t="s">
        <v>193</v>
      </c>
      <c r="H35" s="98"/>
    </row>
    <row r="36" spans="1:11" ht="15.6">
      <c r="A36" s="57"/>
      <c r="B36" s="87"/>
      <c r="C36" s="58"/>
      <c r="D36" s="87"/>
      <c r="E36" s="88">
        <f>SUM(E30:E35)</f>
        <v>2174.5500000000002</v>
      </c>
      <c r="F36" s="88"/>
      <c r="G36" s="85"/>
      <c r="H36" s="58" t="s">
        <v>393</v>
      </c>
    </row>
    <row r="37" spans="1:11" ht="15.6">
      <c r="A37" s="57"/>
      <c r="B37" s="87"/>
      <c r="C37" s="58"/>
      <c r="D37" s="87" t="s">
        <v>365</v>
      </c>
      <c r="E37" s="131">
        <f>SUMIFS(E30:E35,D30:D35,"Pharmacy")</f>
        <v>0</v>
      </c>
      <c r="F37" s="88"/>
      <c r="G37" s="85"/>
      <c r="H37" s="58"/>
    </row>
    <row r="38" spans="1:11">
      <c r="A38" s="57"/>
      <c r="B38" s="58"/>
      <c r="C38" s="58"/>
      <c r="D38" s="58"/>
      <c r="E38" s="59"/>
      <c r="F38" s="59"/>
      <c r="G38" s="58"/>
    </row>
    <row r="39" spans="1:11">
      <c r="A39" s="160" t="s">
        <v>80</v>
      </c>
      <c r="B39" s="160"/>
      <c r="C39" s="160"/>
    </row>
    <row r="41" spans="1:11" ht="15" thickBot="1">
      <c r="A41" s="44" t="s">
        <v>10</v>
      </c>
      <c r="B41" s="45" t="s">
        <v>166</v>
      </c>
      <c r="C41" s="45" t="s">
        <v>167</v>
      </c>
      <c r="D41" s="45" t="s">
        <v>168</v>
      </c>
      <c r="E41" s="46" t="s">
        <v>169</v>
      </c>
      <c r="F41" s="47" t="s">
        <v>81</v>
      </c>
      <c r="G41" s="48" t="s">
        <v>85</v>
      </c>
      <c r="H41" s="48" t="s">
        <v>175</v>
      </c>
      <c r="I41" s="48" t="s">
        <v>176</v>
      </c>
    </row>
    <row r="42" spans="1:11" ht="28.2" thickBot="1">
      <c r="A42" s="67">
        <v>42985</v>
      </c>
      <c r="B42" s="68" t="s">
        <v>171</v>
      </c>
      <c r="C42" s="68" t="s">
        <v>2</v>
      </c>
      <c r="D42" s="71" t="s">
        <v>222</v>
      </c>
      <c r="E42" s="70">
        <v>122.17</v>
      </c>
      <c r="F42" s="39" t="s">
        <v>174</v>
      </c>
      <c r="G42" s="75">
        <v>73.3</v>
      </c>
      <c r="H42" s="3">
        <f t="shared" ref="H42" si="0">E42-G42</f>
        <v>48.870000000000005</v>
      </c>
      <c r="I42" s="51">
        <f t="shared" ref="I42" si="1">H42/E42*100</f>
        <v>40.001637063108788</v>
      </c>
      <c r="J42" t="s">
        <v>337</v>
      </c>
      <c r="K42" t="s">
        <v>426</v>
      </c>
    </row>
    <row r="43" spans="1:11" ht="15" thickBot="1">
      <c r="A43" s="67">
        <v>42972</v>
      </c>
      <c r="B43" s="68" t="s">
        <v>171</v>
      </c>
      <c r="C43" s="68" t="s">
        <v>55</v>
      </c>
      <c r="D43" s="71" t="s">
        <v>425</v>
      </c>
      <c r="E43" s="70">
        <v>118.12</v>
      </c>
      <c r="F43" s="39" t="s">
        <v>174</v>
      </c>
      <c r="G43" s="75">
        <v>70.87</v>
      </c>
      <c r="H43" s="3">
        <f t="shared" ref="H43:H44" si="2">E43-G43</f>
        <v>47.25</v>
      </c>
      <c r="I43" s="51">
        <f t="shared" ref="I43:I44" si="3">H43/E43*100</f>
        <v>40.001693193362684</v>
      </c>
    </row>
    <row r="44" spans="1:11" ht="15" thickBot="1">
      <c r="A44" s="67">
        <v>42972</v>
      </c>
      <c r="B44" s="68" t="s">
        <v>171</v>
      </c>
      <c r="C44" s="68" t="s">
        <v>31</v>
      </c>
      <c r="D44" s="71" t="s">
        <v>425</v>
      </c>
      <c r="E44" s="70">
        <v>78.62</v>
      </c>
      <c r="F44" s="39" t="s">
        <v>174</v>
      </c>
      <c r="G44" s="75">
        <v>47.17</v>
      </c>
      <c r="H44" s="3">
        <f t="shared" si="2"/>
        <v>31.450000000000003</v>
      </c>
      <c r="I44" s="51">
        <f t="shared" si="3"/>
        <v>40.002543881963874</v>
      </c>
    </row>
    <row r="45" spans="1:11" ht="28.2" thickBot="1">
      <c r="A45" s="67">
        <v>42936</v>
      </c>
      <c r="B45" s="68" t="s">
        <v>171</v>
      </c>
      <c r="C45" s="68" t="s">
        <v>31</v>
      </c>
      <c r="D45" s="71" t="s">
        <v>222</v>
      </c>
      <c r="E45" s="70">
        <v>122.17</v>
      </c>
      <c r="F45" s="39" t="s">
        <v>174</v>
      </c>
      <c r="G45" s="75">
        <v>73.3</v>
      </c>
      <c r="H45" s="3">
        <f>E45-G45</f>
        <v>48.870000000000005</v>
      </c>
      <c r="I45" s="51">
        <f>H45/E45*100</f>
        <v>40.001637063108788</v>
      </c>
      <c r="J45" t="s">
        <v>337</v>
      </c>
      <c r="K45" t="s">
        <v>412</v>
      </c>
    </row>
    <row r="46" spans="1:11" ht="28.2" thickBot="1">
      <c r="A46" s="67">
        <v>42921</v>
      </c>
      <c r="B46" s="68" t="s">
        <v>171</v>
      </c>
      <c r="C46" s="68" t="s">
        <v>2</v>
      </c>
      <c r="D46" s="71" t="s">
        <v>222</v>
      </c>
      <c r="E46" s="70">
        <v>136.1</v>
      </c>
      <c r="F46" s="39" t="s">
        <v>174</v>
      </c>
      <c r="G46" s="75">
        <v>81.66</v>
      </c>
      <c r="H46" s="3">
        <f t="shared" ref="H46:H50" si="4">E46-G46</f>
        <v>54.44</v>
      </c>
      <c r="I46" s="51">
        <f t="shared" ref="I46:I51" si="5">H46/E46*100</f>
        <v>40</v>
      </c>
      <c r="J46" t="s">
        <v>337</v>
      </c>
      <c r="K46" t="s">
        <v>413</v>
      </c>
    </row>
    <row r="47" spans="1:11" ht="28.2" thickBot="1">
      <c r="A47" s="67">
        <v>42921</v>
      </c>
      <c r="B47" s="68" t="s">
        <v>171</v>
      </c>
      <c r="C47" s="68" t="s">
        <v>2</v>
      </c>
      <c r="D47" s="71" t="s">
        <v>369</v>
      </c>
      <c r="E47" s="70">
        <v>1559.91</v>
      </c>
      <c r="F47" s="39" t="s">
        <v>174</v>
      </c>
      <c r="G47" s="75">
        <v>935.95</v>
      </c>
      <c r="H47" s="3">
        <f t="shared" si="4"/>
        <v>623.96</v>
      </c>
      <c r="I47" s="51">
        <f t="shared" si="5"/>
        <v>39.999743574949839</v>
      </c>
      <c r="J47" t="s">
        <v>337</v>
      </c>
      <c r="K47" t="s">
        <v>407</v>
      </c>
    </row>
    <row r="48" spans="1:11" ht="28.2" thickBot="1">
      <c r="A48" s="67">
        <v>42913</v>
      </c>
      <c r="B48" s="68" t="s">
        <v>171</v>
      </c>
      <c r="C48" s="68" t="s">
        <v>2</v>
      </c>
      <c r="D48" s="71" t="s">
        <v>222</v>
      </c>
      <c r="E48" s="70">
        <v>125.66</v>
      </c>
      <c r="F48" s="39" t="s">
        <v>174</v>
      </c>
      <c r="G48" s="75">
        <v>94.25</v>
      </c>
      <c r="H48" s="3">
        <f t="shared" si="4"/>
        <v>31.409999999999997</v>
      </c>
      <c r="I48" s="51">
        <f t="shared" si="5"/>
        <v>24.996021009072098</v>
      </c>
      <c r="J48" t="s">
        <v>337</v>
      </c>
      <c r="K48" t="s">
        <v>415</v>
      </c>
    </row>
    <row r="49" spans="1:11" ht="28.2" thickBot="1">
      <c r="A49" s="67">
        <v>42894</v>
      </c>
      <c r="B49" s="68" t="s">
        <v>171</v>
      </c>
      <c r="C49" s="68" t="s">
        <v>31</v>
      </c>
      <c r="D49" s="71" t="s">
        <v>222</v>
      </c>
      <c r="E49" s="70">
        <v>122.17</v>
      </c>
      <c r="F49" s="39" t="s">
        <v>174</v>
      </c>
      <c r="G49" s="75">
        <v>91.63</v>
      </c>
      <c r="H49" s="3">
        <f t="shared" si="4"/>
        <v>30.540000000000006</v>
      </c>
      <c r="I49" s="51">
        <f t="shared" si="5"/>
        <v>24.997953671114026</v>
      </c>
      <c r="J49" t="s">
        <v>337</v>
      </c>
      <c r="K49" t="s">
        <v>414</v>
      </c>
    </row>
    <row r="50" spans="1:11" ht="27.6">
      <c r="A50" s="67">
        <v>42894</v>
      </c>
      <c r="B50" s="68" t="s">
        <v>171</v>
      </c>
      <c r="C50" s="68" t="s">
        <v>31</v>
      </c>
      <c r="D50" s="71" t="s">
        <v>368</v>
      </c>
      <c r="E50" s="70">
        <v>108.54</v>
      </c>
      <c r="F50" s="39" t="s">
        <v>174</v>
      </c>
      <c r="G50" s="75">
        <v>81.41</v>
      </c>
      <c r="H50" s="3">
        <f t="shared" si="4"/>
        <v>27.13000000000001</v>
      </c>
      <c r="I50" s="51">
        <f t="shared" si="5"/>
        <v>24.99539340335361</v>
      </c>
      <c r="J50" t="s">
        <v>337</v>
      </c>
      <c r="K50" t="s">
        <v>406</v>
      </c>
    </row>
    <row r="51" spans="1:11">
      <c r="A51" s="67"/>
      <c r="B51" s="68"/>
      <c r="C51" s="68"/>
      <c r="D51" s="74"/>
      <c r="E51" s="70">
        <f>SUM(E42:E50)</f>
        <v>2493.46</v>
      </c>
      <c r="F51" s="39"/>
      <c r="G51" s="70">
        <f>SUM(G44:G50)</f>
        <v>1405.3700000000001</v>
      </c>
      <c r="H51" s="70">
        <f>SUM(H42:H50)</f>
        <v>943.92</v>
      </c>
      <c r="I51" s="112">
        <f t="shared" si="5"/>
        <v>37.855830853512792</v>
      </c>
      <c r="J51" t="s">
        <v>336</v>
      </c>
      <c r="K51" s="6"/>
    </row>
    <row r="52" spans="1:11">
      <c r="A52" s="67"/>
      <c r="B52" s="68"/>
      <c r="C52" s="68"/>
      <c r="D52" s="39" t="s">
        <v>333</v>
      </c>
      <c r="E52" s="70">
        <f>SUMIFS(E42:E50,C42:C50,"Awais Sultan")</f>
        <v>1943.8400000000001</v>
      </c>
      <c r="F52" s="39"/>
      <c r="G52" s="70"/>
      <c r="H52" s="70"/>
      <c r="I52" s="112"/>
      <c r="J52" s="6"/>
    </row>
    <row r="53" spans="1:11">
      <c r="A53" s="67"/>
      <c r="B53" s="68"/>
      <c r="C53" s="68"/>
      <c r="D53" s="39" t="s">
        <v>334</v>
      </c>
      <c r="E53" s="70">
        <f>SUMIFS(E42:E50,C42:C50,"Saliha Awais")</f>
        <v>0</v>
      </c>
      <c r="F53" s="39"/>
      <c r="G53" s="70"/>
      <c r="H53" s="70"/>
      <c r="I53" s="112"/>
      <c r="J53" s="6"/>
    </row>
    <row r="54" spans="1:11">
      <c r="A54" s="67"/>
      <c r="B54" s="68"/>
      <c r="C54" s="68"/>
      <c r="D54" s="39" t="s">
        <v>332</v>
      </c>
      <c r="E54" s="70">
        <f>SUMIFS(E42:E50,C42:C50,"Dania Sultan")</f>
        <v>431.50000000000006</v>
      </c>
      <c r="F54" s="39"/>
      <c r="G54" s="70"/>
      <c r="H54" s="70"/>
      <c r="I54" s="112"/>
      <c r="J54" s="6"/>
    </row>
    <row r="55" spans="1:11">
      <c r="A55" s="67"/>
      <c r="B55" s="68"/>
      <c r="C55" s="68"/>
      <c r="D55" s="39" t="s">
        <v>335</v>
      </c>
      <c r="E55" s="70">
        <f>SUMIFS(E42:E50,C42:C50,"Mekael Sultan")</f>
        <v>118.12</v>
      </c>
      <c r="F55" s="39"/>
      <c r="G55" s="70"/>
      <c r="H55" s="70"/>
      <c r="I55" s="112"/>
      <c r="J55" s="6"/>
    </row>
    <row r="56" spans="1:11">
      <c r="A56" s="67"/>
      <c r="B56" s="68"/>
      <c r="C56" s="68"/>
      <c r="D56" s="39" t="s">
        <v>326</v>
      </c>
      <c r="E56" s="120">
        <f>SUM(E52:E55)</f>
        <v>2493.46</v>
      </c>
      <c r="F56" s="39"/>
      <c r="G56" s="120"/>
      <c r="H56" s="3"/>
      <c r="I56" s="51"/>
    </row>
    <row r="57" spans="1:11">
      <c r="A57" s="67"/>
      <c r="B57" s="68"/>
      <c r="C57" s="68"/>
      <c r="D57" s="39" t="s">
        <v>338</v>
      </c>
      <c r="E57" s="70">
        <f>SUMIFS(E42:E50,C42:C50,"Awais Sultan",J42:J50,"BILLED")</f>
        <v>1943.8400000000001</v>
      </c>
      <c r="F57" s="39"/>
      <c r="G57" s="70"/>
      <c r="H57" s="3"/>
      <c r="I57" s="51"/>
    </row>
    <row r="58" spans="1:11">
      <c r="A58" s="67"/>
      <c r="B58" s="68"/>
      <c r="C58" s="68"/>
      <c r="D58" s="39" t="s">
        <v>339</v>
      </c>
      <c r="E58" s="70">
        <f>SUMIFS(E42:E50,C42:C50,"Saliha Awais",J42:J50,"BILLED")</f>
        <v>0</v>
      </c>
      <c r="F58" s="39"/>
      <c r="G58" s="70"/>
      <c r="H58" s="3"/>
      <c r="I58" s="51"/>
    </row>
    <row r="59" spans="1:11">
      <c r="A59" s="67"/>
      <c r="B59" s="68"/>
      <c r="C59" s="68"/>
      <c r="D59" s="39" t="s">
        <v>340</v>
      </c>
      <c r="E59" s="70">
        <f>SUMIFS(E42:E50,C42:C50,"Dania Sultan",J42:J50,"BILLED")</f>
        <v>352.88</v>
      </c>
      <c r="F59" s="39"/>
      <c r="G59" s="70"/>
      <c r="H59" s="3"/>
      <c r="I59" s="51"/>
    </row>
    <row r="60" spans="1:11">
      <c r="A60" s="67"/>
      <c r="B60" s="68"/>
      <c r="C60" s="68"/>
      <c r="D60" s="39" t="s">
        <v>341</v>
      </c>
      <c r="E60" s="70">
        <f>SUMIFS(E42:E50,C42:C50,"Mekael Sultan",J42:J50,"BILLED")</f>
        <v>0</v>
      </c>
      <c r="F60" s="39"/>
      <c r="G60" s="70"/>
      <c r="H60" s="3"/>
      <c r="I60" s="51"/>
    </row>
    <row r="61" spans="1:11">
      <c r="A61" s="67"/>
      <c r="B61" s="68"/>
      <c r="C61" s="68"/>
      <c r="D61" s="39" t="s">
        <v>342</v>
      </c>
      <c r="E61" s="120">
        <f>SUM(E57:E60)</f>
        <v>2296.7200000000003</v>
      </c>
      <c r="F61" s="39"/>
      <c r="G61" s="120"/>
      <c r="H61" s="3"/>
      <c r="I61" s="51"/>
    </row>
    <row r="62" spans="1:11">
      <c r="A62" s="67"/>
      <c r="B62" s="68"/>
      <c r="C62" s="68"/>
      <c r="D62" s="39" t="s">
        <v>343</v>
      </c>
      <c r="E62" s="120">
        <f>E57</f>
        <v>1943.8400000000001</v>
      </c>
      <c r="F62" s="39"/>
      <c r="G62" s="120"/>
      <c r="H62" s="3"/>
      <c r="I62" s="51"/>
    </row>
    <row r="63" spans="1:11">
      <c r="A63" s="67"/>
      <c r="B63" s="68"/>
      <c r="C63" s="68"/>
      <c r="D63" s="39" t="s">
        <v>344</v>
      </c>
      <c r="E63" s="120">
        <f>E58</f>
        <v>0</v>
      </c>
      <c r="F63" s="39"/>
      <c r="G63" s="120"/>
      <c r="H63" s="3"/>
      <c r="I63" s="51"/>
    </row>
    <row r="64" spans="1:11">
      <c r="A64" s="67"/>
      <c r="B64" s="68"/>
      <c r="C64" s="68"/>
      <c r="D64" s="39" t="s">
        <v>345</v>
      </c>
      <c r="E64" s="120">
        <f>E59</f>
        <v>352.88</v>
      </c>
      <c r="F64" s="39"/>
      <c r="G64" s="120"/>
      <c r="H64" s="3"/>
      <c r="I64" s="51"/>
    </row>
    <row r="65" spans="1:9">
      <c r="A65" s="67"/>
      <c r="B65" s="68"/>
      <c r="C65" s="68"/>
      <c r="D65" s="39" t="s">
        <v>346</v>
      </c>
      <c r="E65" s="120">
        <f>E60</f>
        <v>0</v>
      </c>
      <c r="F65" s="39"/>
      <c r="G65" s="120"/>
      <c r="H65" s="3"/>
      <c r="I65" s="51"/>
    </row>
    <row r="66" spans="1:9">
      <c r="A66" s="67"/>
      <c r="B66" s="68"/>
      <c r="C66" s="68"/>
      <c r="D66" s="39" t="s">
        <v>347</v>
      </c>
      <c r="E66" s="121">
        <f>SUM(E62:E65)</f>
        <v>2296.7200000000003</v>
      </c>
      <c r="F66" s="39"/>
      <c r="G66" s="75"/>
      <c r="H66" s="3"/>
      <c r="I66" s="51"/>
    </row>
    <row r="67" spans="1:9">
      <c r="A67" s="67"/>
      <c r="B67" s="68"/>
      <c r="C67" s="68"/>
      <c r="D67" s="39"/>
      <c r="E67" s="123"/>
      <c r="F67" s="39"/>
      <c r="G67" s="75"/>
      <c r="H67" s="3"/>
      <c r="I67" s="51"/>
    </row>
    <row r="68" spans="1:9">
      <c r="A68" s="160" t="s">
        <v>89</v>
      </c>
      <c r="B68" s="160"/>
      <c r="C68" s="160"/>
    </row>
    <row r="70" spans="1:9">
      <c r="A70" s="9" t="s">
        <v>10</v>
      </c>
      <c r="B70" s="9" t="s">
        <v>90</v>
      </c>
    </row>
    <row r="71" spans="1:9">
      <c r="A71" s="150">
        <v>42998</v>
      </c>
      <c r="B71" s="151">
        <v>73.3</v>
      </c>
      <c r="C71" s="143" t="s">
        <v>418</v>
      </c>
    </row>
    <row r="72" spans="1:9" ht="86.4">
      <c r="A72" s="152">
        <v>42991</v>
      </c>
      <c r="B72" s="153">
        <v>118.04</v>
      </c>
      <c r="C72" s="79" t="s">
        <v>417</v>
      </c>
      <c r="D72" s="6" t="s">
        <v>421</v>
      </c>
    </row>
    <row r="73" spans="1:9" ht="15" thickBot="1">
      <c r="A73" s="77">
        <v>42949</v>
      </c>
      <c r="B73" s="78">
        <v>73.3</v>
      </c>
      <c r="C73" s="54" t="s">
        <v>370</v>
      </c>
    </row>
    <row r="74" spans="1:9" ht="15" thickBot="1">
      <c r="A74" s="77">
        <v>42935</v>
      </c>
      <c r="B74" s="78">
        <v>1017.61</v>
      </c>
      <c r="C74" s="54" t="s">
        <v>374</v>
      </c>
    </row>
    <row r="75" spans="1:9" ht="15" thickBot="1">
      <c r="A75" s="77">
        <v>42928</v>
      </c>
      <c r="B75" s="78">
        <v>94.25</v>
      </c>
      <c r="C75" s="54" t="s">
        <v>371</v>
      </c>
    </row>
    <row r="76" spans="1:9" ht="15" thickBot="1">
      <c r="A76" s="77">
        <v>42914</v>
      </c>
      <c r="B76" s="78">
        <v>81.41</v>
      </c>
      <c r="C76" s="54" t="s">
        <v>372</v>
      </c>
    </row>
    <row r="77" spans="1:9" ht="15" thickBot="1">
      <c r="A77" s="77">
        <v>42907</v>
      </c>
      <c r="B77" s="78">
        <v>91.63</v>
      </c>
      <c r="C77" s="54" t="s">
        <v>373</v>
      </c>
    </row>
    <row r="78" spans="1:9">
      <c r="A78" s="77"/>
      <c r="B78" s="3">
        <f>SUM(B71:B77)</f>
        <v>1549.54</v>
      </c>
      <c r="C78" s="76" t="s">
        <v>326</v>
      </c>
    </row>
    <row r="79" spans="1:9">
      <c r="A79" s="77"/>
      <c r="B79" s="3"/>
      <c r="C79" s="76"/>
    </row>
    <row r="80" spans="1:9">
      <c r="A80" s="77"/>
      <c r="B80" s="3"/>
      <c r="C80" s="76"/>
    </row>
    <row r="81" spans="1:10">
      <c r="A81" s="77"/>
    </row>
    <row r="82" spans="1:10" ht="57.6">
      <c r="A82" s="113" t="s">
        <v>427</v>
      </c>
      <c r="B82" s="114">
        <f>E51</f>
        <v>2493.46</v>
      </c>
    </row>
    <row r="83" spans="1:10" ht="28.8">
      <c r="A83" s="113" t="s">
        <v>328</v>
      </c>
      <c r="B83" s="115">
        <f>70+75</f>
        <v>145</v>
      </c>
      <c r="C83" t="s">
        <v>388</v>
      </c>
    </row>
    <row r="84" spans="1:10">
      <c r="A84" s="113" t="s">
        <v>329</v>
      </c>
      <c r="B84" s="114">
        <f>B82-B83</f>
        <v>2348.46</v>
      </c>
    </row>
    <row r="85" spans="1:10">
      <c r="A85" s="113" t="s">
        <v>396</v>
      </c>
      <c r="B85" s="114">
        <f>0</f>
        <v>0</v>
      </c>
    </row>
    <row r="86" spans="1:10" ht="28.8">
      <c r="A86" s="113" t="s">
        <v>428</v>
      </c>
      <c r="B86" s="114">
        <f>B82-B85</f>
        <v>2493.46</v>
      </c>
    </row>
    <row r="87" spans="1:10" ht="28.8">
      <c r="A87" s="113" t="s">
        <v>401</v>
      </c>
      <c r="B87" s="114">
        <f>B84-B85</f>
        <v>2348.46</v>
      </c>
    </row>
    <row r="88" spans="1:10">
      <c r="A88" s="113" t="s">
        <v>429</v>
      </c>
      <c r="B88" s="114">
        <f>H51</f>
        <v>943.92</v>
      </c>
    </row>
    <row r="89" spans="1:10" ht="28.8">
      <c r="A89" s="113" t="s">
        <v>430</v>
      </c>
      <c r="B89" s="114">
        <f>B88-B83</f>
        <v>798.92</v>
      </c>
    </row>
    <row r="90" spans="1:10">
      <c r="A90" s="113"/>
      <c r="B90" s="114"/>
    </row>
    <row r="91" spans="1:10">
      <c r="A91" s="77"/>
    </row>
    <row r="92" spans="1:10">
      <c r="A92" s="122" t="s">
        <v>351</v>
      </c>
    </row>
    <row r="93" spans="1:10">
      <c r="A93" t="s">
        <v>411</v>
      </c>
      <c r="B93" t="s">
        <v>10</v>
      </c>
      <c r="C93" t="s">
        <v>352</v>
      </c>
      <c r="D93" t="s">
        <v>356</v>
      </c>
      <c r="E93" t="s">
        <v>404</v>
      </c>
      <c r="F93" t="s">
        <v>405</v>
      </c>
      <c r="G93" t="s">
        <v>354</v>
      </c>
      <c r="H93" t="s">
        <v>357</v>
      </c>
      <c r="I93" t="s">
        <v>358</v>
      </c>
    </row>
    <row r="94" spans="1:10">
      <c r="B94" s="2"/>
      <c r="C94" s="2"/>
      <c r="D94" s="2"/>
    </row>
    <row r="95" spans="1:10">
      <c r="A95" s="1">
        <v>43066</v>
      </c>
      <c r="B95" s="1">
        <v>42894</v>
      </c>
      <c r="C95">
        <v>35</v>
      </c>
      <c r="D95" s="3">
        <f>SUM(E49)</f>
        <v>122.17</v>
      </c>
      <c r="E95" s="3">
        <f>SUM(G49)</f>
        <v>91.63</v>
      </c>
      <c r="F95">
        <v>87.17</v>
      </c>
      <c r="G95">
        <f t="shared" ref="G95:G101" si="6">SUM(C95,F95)</f>
        <v>122.17</v>
      </c>
      <c r="H95">
        <f t="shared" ref="H95:H101" si="7">G95-D95</f>
        <v>0</v>
      </c>
      <c r="I95" s="3">
        <f t="shared" ref="I95:I101" si="8">G95-E95</f>
        <v>30.540000000000006</v>
      </c>
      <c r="J95" t="s">
        <v>420</v>
      </c>
    </row>
    <row r="96" spans="1:10">
      <c r="A96" s="1">
        <v>43066</v>
      </c>
      <c r="B96" s="1">
        <v>42921</v>
      </c>
      <c r="C96">
        <v>0</v>
      </c>
      <c r="D96" s="3">
        <f>SUM(E50)</f>
        <v>108.54</v>
      </c>
      <c r="E96" s="3">
        <f>SUM(G50)</f>
        <v>81.41</v>
      </c>
      <c r="F96">
        <v>108.54</v>
      </c>
      <c r="G96">
        <f t="shared" si="6"/>
        <v>108.54</v>
      </c>
      <c r="H96">
        <f t="shared" si="7"/>
        <v>0</v>
      </c>
      <c r="I96" s="3">
        <f t="shared" si="8"/>
        <v>27.13000000000001</v>
      </c>
      <c r="J96" t="s">
        <v>420</v>
      </c>
    </row>
    <row r="97" spans="1:10">
      <c r="A97" s="1">
        <v>43066</v>
      </c>
      <c r="B97" s="1">
        <v>42913</v>
      </c>
      <c r="C97">
        <v>0</v>
      </c>
      <c r="D97" s="3">
        <f>SUM(E48)</f>
        <v>125.66</v>
      </c>
      <c r="E97" s="3">
        <f>SUM(G48)</f>
        <v>94.25</v>
      </c>
      <c r="F97">
        <v>125.66</v>
      </c>
      <c r="G97">
        <f t="shared" si="6"/>
        <v>125.66</v>
      </c>
      <c r="H97">
        <f t="shared" si="7"/>
        <v>0</v>
      </c>
      <c r="I97" s="3">
        <f t="shared" si="8"/>
        <v>31.409999999999997</v>
      </c>
      <c r="J97" t="s">
        <v>420</v>
      </c>
    </row>
    <row r="98" spans="1:10">
      <c r="A98" s="1">
        <v>43066</v>
      </c>
      <c r="B98" s="1">
        <v>42921</v>
      </c>
      <c r="C98">
        <v>75</v>
      </c>
      <c r="D98" s="3">
        <f>SUM(E47)</f>
        <v>1559.91</v>
      </c>
      <c r="E98" s="3">
        <f>SUM(G47)</f>
        <v>935.95</v>
      </c>
      <c r="F98">
        <v>1484.91</v>
      </c>
      <c r="G98">
        <f t="shared" si="6"/>
        <v>1559.91</v>
      </c>
      <c r="H98">
        <f t="shared" si="7"/>
        <v>0</v>
      </c>
      <c r="I98" s="3">
        <f t="shared" si="8"/>
        <v>623.96</v>
      </c>
      <c r="J98" t="s">
        <v>420</v>
      </c>
    </row>
    <row r="99" spans="1:10">
      <c r="A99" s="1">
        <v>43104</v>
      </c>
      <c r="B99" s="1">
        <v>42921</v>
      </c>
      <c r="C99">
        <v>0</v>
      </c>
      <c r="D99" s="3">
        <f>SUM(E46)</f>
        <v>136.1</v>
      </c>
      <c r="E99" s="3">
        <f>SUM(G46)</f>
        <v>81.66</v>
      </c>
      <c r="F99">
        <v>136.1</v>
      </c>
      <c r="G99">
        <f t="shared" si="6"/>
        <v>136.1</v>
      </c>
      <c r="H99">
        <f t="shared" si="7"/>
        <v>0</v>
      </c>
      <c r="I99" s="3">
        <f t="shared" si="8"/>
        <v>54.44</v>
      </c>
      <c r="J99" t="s">
        <v>420</v>
      </c>
    </row>
    <row r="100" spans="1:10">
      <c r="A100" s="1">
        <v>43104</v>
      </c>
      <c r="B100" s="1">
        <v>42936</v>
      </c>
      <c r="C100">
        <v>35</v>
      </c>
      <c r="D100" s="3">
        <f>SUM(E45)</f>
        <v>122.17</v>
      </c>
      <c r="E100" s="3">
        <f>SUM(G45)</f>
        <v>73.3</v>
      </c>
      <c r="F100">
        <v>87.17</v>
      </c>
      <c r="G100">
        <f t="shared" ref="G100" si="9">SUM(C100,F100)</f>
        <v>122.17</v>
      </c>
      <c r="H100">
        <f t="shared" ref="H100" si="10">G100-D100</f>
        <v>0</v>
      </c>
      <c r="I100" s="3">
        <f t="shared" ref="I100" si="11">G100-E100</f>
        <v>48.870000000000005</v>
      </c>
      <c r="J100" t="s">
        <v>420</v>
      </c>
    </row>
    <row r="101" spans="1:10">
      <c r="A101" s="1">
        <v>43152</v>
      </c>
      <c r="B101" s="1">
        <v>42985</v>
      </c>
      <c r="C101">
        <v>0</v>
      </c>
      <c r="D101" s="3">
        <f>SUM(E45)</f>
        <v>122.17</v>
      </c>
      <c r="E101" s="3">
        <f>SUM(G45)</f>
        <v>73.3</v>
      </c>
      <c r="F101">
        <v>122.17</v>
      </c>
      <c r="G101">
        <f t="shared" si="6"/>
        <v>122.17</v>
      </c>
      <c r="H101">
        <f t="shared" si="7"/>
        <v>0</v>
      </c>
      <c r="I101" s="3">
        <f t="shared" si="8"/>
        <v>48.870000000000005</v>
      </c>
      <c r="J101" t="s">
        <v>419</v>
      </c>
    </row>
    <row r="102" spans="1:10">
      <c r="C102" s="3">
        <f t="shared" ref="C102:I102" si="12">SUM(C94:C101)</f>
        <v>145</v>
      </c>
      <c r="D102" s="3">
        <f t="shared" si="12"/>
        <v>2296.7200000000003</v>
      </c>
      <c r="E102" s="3">
        <f t="shared" si="12"/>
        <v>1431.5</v>
      </c>
      <c r="F102" s="3">
        <f t="shared" si="12"/>
        <v>2151.7200000000003</v>
      </c>
      <c r="G102" s="3">
        <f t="shared" si="12"/>
        <v>2296.7200000000003</v>
      </c>
      <c r="H102" s="3">
        <f t="shared" si="12"/>
        <v>0</v>
      </c>
      <c r="I102" s="142">
        <f t="shared" si="12"/>
        <v>865.22</v>
      </c>
    </row>
    <row r="103" spans="1:10">
      <c r="D103" s="3"/>
      <c r="E103" t="s">
        <v>399</v>
      </c>
      <c r="F103" s="3">
        <f>SUM(F102,H102)</f>
        <v>2151.7200000000003</v>
      </c>
      <c r="G103" s="3">
        <f>SUM(G102,H102)</f>
        <v>2296.7200000000003</v>
      </c>
      <c r="H103" s="3"/>
      <c r="I103" s="138"/>
    </row>
    <row r="104" spans="1:10">
      <c r="D104" s="3"/>
      <c r="F104" s="3"/>
      <c r="G104" s="3"/>
      <c r="H104" s="3"/>
      <c r="I104" s="138"/>
    </row>
    <row r="105" spans="1:10">
      <c r="A105" s="127" t="s">
        <v>385</v>
      </c>
      <c r="D105" s="3"/>
      <c r="E105" s="3"/>
      <c r="F105" s="3"/>
      <c r="H105" s="3"/>
      <c r="I105" s="138"/>
    </row>
    <row r="106" spans="1:10">
      <c r="A106" t="s">
        <v>386</v>
      </c>
      <c r="B106" t="s">
        <v>10</v>
      </c>
      <c r="C106" t="s">
        <v>387</v>
      </c>
      <c r="D106" s="3"/>
      <c r="E106" s="3"/>
      <c r="F106" s="3"/>
      <c r="H106" s="3"/>
      <c r="I106" s="138"/>
    </row>
    <row r="107" spans="1:10">
      <c r="A107" t="s">
        <v>14</v>
      </c>
      <c r="C107">
        <v>50</v>
      </c>
      <c r="D107" s="3"/>
      <c r="E107" s="3"/>
      <c r="F107" s="3"/>
      <c r="H107" s="3"/>
      <c r="I107" s="138"/>
    </row>
    <row r="108" spans="1:10">
      <c r="A108" t="s">
        <v>16</v>
      </c>
      <c r="C108">
        <v>128.4</v>
      </c>
      <c r="D108" s="3"/>
      <c r="E108" s="3"/>
      <c r="F108" s="3"/>
      <c r="H108" s="3"/>
      <c r="I108" s="138"/>
    </row>
    <row r="109" spans="1:10">
      <c r="A109" t="s">
        <v>16</v>
      </c>
      <c r="C109">
        <v>233.6</v>
      </c>
      <c r="D109" s="3"/>
      <c r="E109" s="3"/>
      <c r="F109" s="3"/>
      <c r="H109" s="3"/>
      <c r="I109" s="138"/>
    </row>
    <row r="110" spans="1:10" ht="15.6">
      <c r="A110" t="s">
        <v>436</v>
      </c>
      <c r="C110" s="156">
        <v>92.3</v>
      </c>
      <c r="D110" s="3"/>
      <c r="E110" s="3"/>
      <c r="F110" s="3"/>
      <c r="H110" s="3"/>
      <c r="I110" s="138"/>
    </row>
    <row r="111" spans="1:10">
      <c r="A111" t="s">
        <v>436</v>
      </c>
      <c r="C111">
        <v>116.65</v>
      </c>
      <c r="D111" s="3"/>
      <c r="E111" s="3"/>
      <c r="F111" s="3"/>
      <c r="H111" s="3"/>
      <c r="I111" s="138"/>
    </row>
    <row r="112" spans="1:10">
      <c r="B112" t="s">
        <v>326</v>
      </c>
      <c r="C112">
        <f>SUM(C107:C111)</f>
        <v>620.95000000000005</v>
      </c>
      <c r="D112" s="3"/>
      <c r="E112" s="3"/>
      <c r="F112" s="3"/>
      <c r="H112" s="3"/>
      <c r="I112" s="138"/>
    </row>
    <row r="114" spans="1:3">
      <c r="A114" s="125" t="s">
        <v>366</v>
      </c>
      <c r="B114" s="126">
        <f>I102+150</f>
        <v>1015.22</v>
      </c>
      <c r="C114" t="s">
        <v>439</v>
      </c>
    </row>
    <row r="115" spans="1:3" ht="72">
      <c r="A115" s="125" t="s">
        <v>376</v>
      </c>
      <c r="B115" s="155" t="s">
        <v>433</v>
      </c>
    </row>
    <row r="116" spans="1:3">
      <c r="A116" s="125" t="s">
        <v>375</v>
      </c>
      <c r="B116" s="128">
        <f>E56-G103</f>
        <v>196.73999999999978</v>
      </c>
    </row>
    <row r="117" spans="1:3" ht="43.2">
      <c r="A117" s="125" t="s">
        <v>431</v>
      </c>
      <c r="B117" s="128">
        <f>B116+140.39</f>
        <v>337.12999999999977</v>
      </c>
    </row>
    <row r="118" spans="1:3" ht="28.8">
      <c r="A118" s="125" t="s">
        <v>390</v>
      </c>
      <c r="B118" s="126">
        <f>H51-I102</f>
        <v>78.699999999999932</v>
      </c>
    </row>
    <row r="119" spans="1:3" ht="86.4">
      <c r="A119" s="158" t="s">
        <v>432</v>
      </c>
      <c r="B119" s="157">
        <f>B118+50.1</f>
        <v>128.79999999999993</v>
      </c>
      <c r="C119" s="6" t="s">
        <v>434</v>
      </c>
    </row>
    <row r="120" spans="1:3">
      <c r="A120" s="125" t="s">
        <v>380</v>
      </c>
      <c r="B120" s="126">
        <v>67</v>
      </c>
      <c r="C120" t="s">
        <v>437</v>
      </c>
    </row>
    <row r="121" spans="1:3">
      <c r="A121" s="125" t="s">
        <v>382</v>
      </c>
      <c r="B121" s="126">
        <v>77.19</v>
      </c>
      <c r="C121" t="s">
        <v>438</v>
      </c>
    </row>
    <row r="122" spans="1:3">
      <c r="A122" s="125" t="s">
        <v>384</v>
      </c>
      <c r="B122" s="126">
        <f>C112</f>
        <v>620.95000000000005</v>
      </c>
    </row>
    <row r="123" spans="1:3" ht="72">
      <c r="A123" s="158" t="s">
        <v>379</v>
      </c>
      <c r="B123" s="126">
        <v>407.18</v>
      </c>
      <c r="C123" s="93" t="s">
        <v>435</v>
      </c>
    </row>
    <row r="124" spans="1:3">
      <c r="A124" s="125" t="s">
        <v>378</v>
      </c>
      <c r="B124" s="157">
        <f>SUM(B114,B119,B120,B121,B122,B123)</f>
        <v>2316.34</v>
      </c>
    </row>
  </sheetData>
  <mergeCells count="6">
    <mergeCell ref="A68:C68"/>
    <mergeCell ref="A3:B3"/>
    <mergeCell ref="A4:B4"/>
    <mergeCell ref="A7:B7"/>
    <mergeCell ref="A27:C27"/>
    <mergeCell ref="A39:C39"/>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tabSelected="1" workbookViewId="0">
      <selection activeCell="D4" sqref="D4"/>
    </sheetView>
  </sheetViews>
  <sheetFormatPr defaultRowHeight="14.4"/>
  <cols>
    <col min="3" max="3" width="11.21875" bestFit="1" customWidth="1"/>
    <col min="4" max="4" width="10.109375" bestFit="1" customWidth="1"/>
  </cols>
  <sheetData>
    <row r="1" spans="1:4" ht="15" thickBot="1">
      <c r="A1" t="s">
        <v>217</v>
      </c>
      <c r="B1">
        <v>120.39</v>
      </c>
      <c r="C1" s="55">
        <v>42765</v>
      </c>
      <c r="D1"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053015</vt:lpstr>
      <vt:lpstr>temp</vt:lpstr>
      <vt:lpstr>011116</vt:lpstr>
      <vt:lpstr>032116</vt:lpstr>
      <vt:lpstr>110716</vt:lpstr>
      <vt:lpstr>060117</vt:lpstr>
      <vt:lpstr>Sheet1</vt:lpstr>
      <vt:lpstr>081017</vt:lpstr>
      <vt:lpstr>010418</vt:lpstr>
      <vt:lpstr>Ref No</vt:lpstr>
    </vt:vector>
  </TitlesOfParts>
  <Company>PNC Bank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Sultan</dc:creator>
  <cp:lastModifiedBy>Sultan, Awais</cp:lastModifiedBy>
  <dcterms:created xsi:type="dcterms:W3CDTF">2015-05-11T03:39:54Z</dcterms:created>
  <dcterms:modified xsi:type="dcterms:W3CDTF">2018-04-16T17:39:41Z</dcterms:modified>
</cp:coreProperties>
</file>