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7 Tax Return Docs\"/>
    </mc:Choice>
  </mc:AlternateContent>
  <bookViews>
    <workbookView xWindow="0" yWindow="0" windowWidth="17280" windowHeight="72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E13" i="1"/>
  <c r="F13" i="1"/>
  <c r="C14" i="1"/>
  <c r="E14" i="1"/>
  <c r="F14" i="1"/>
  <c r="C15" i="1"/>
  <c r="E15" i="1"/>
  <c r="F15" i="1"/>
  <c r="C16" i="1"/>
  <c r="E16" i="1"/>
  <c r="F16" i="1"/>
  <c r="F17" i="1"/>
  <c r="F18" i="1"/>
  <c r="D13" i="1"/>
  <c r="D14" i="1"/>
  <c r="B8" i="1"/>
  <c r="B3" i="1"/>
  <c r="B7" i="1"/>
</calcChain>
</file>

<file path=xl/sharedStrings.xml><?xml version="1.0" encoding="utf-8"?>
<sst xmlns="http://schemas.openxmlformats.org/spreadsheetml/2006/main" count="22" uniqueCount="21">
  <si>
    <t>Start Date</t>
  </si>
  <si>
    <t>End Date</t>
  </si>
  <si>
    <t>Comments</t>
  </si>
  <si>
    <t>Distance (in miles ) btw Chicago to Richfield IL</t>
  </si>
  <si>
    <t>Standard travelling deduction per mile/ mileage rate</t>
  </si>
  <si>
    <t>Per diem (since 10/01)</t>
  </si>
  <si>
    <t>M&amp;IE</t>
  </si>
  <si>
    <t>50% of M&amp;IE</t>
  </si>
  <si>
    <t>Per diem + 50% of M&amp;IE</t>
  </si>
  <si>
    <t>No of Days</t>
  </si>
  <si>
    <t>Travel Ded</t>
  </si>
  <si>
    <t>Stay Ded</t>
  </si>
  <si>
    <t>Total Miles</t>
  </si>
  <si>
    <t>Total Ded</t>
  </si>
  <si>
    <t xml:space="preserve">Total = </t>
  </si>
  <si>
    <t>Est Ded (using 15% range)</t>
  </si>
  <si>
    <t>Own Car</t>
  </si>
  <si>
    <t>Rental Car. Rental Car Charges = 257.94, Gas = 81.44,Toll=7.9,Total=347.28</t>
  </si>
  <si>
    <t>Rental Car. Rental Car Charges = 161.73(160.24+1.49), Gas = 67.45,Toll=7.9,Total=237.08</t>
  </si>
  <si>
    <t>Perdiem link, GSA.GOV:</t>
  </si>
  <si>
    <t>https://www.gsa.gov/travel/plan-book/per-diem-rates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</si>
</sst>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wrapText="1"/>
    </xf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sa.gov/travel/plan-book/per-diem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F22" sqref="F22"/>
    </sheetView>
  </sheetViews>
  <sheetFormatPr defaultRowHeight="14.4" x14ac:dyDescent="0.3"/>
  <cols>
    <col min="1" max="1" width="24" customWidth="1"/>
    <col min="2" max="2" width="10.5546875" bestFit="1" customWidth="1"/>
    <col min="3" max="3" width="10.6640625" bestFit="1" customWidth="1"/>
    <col min="4" max="4" width="10" bestFit="1" customWidth="1"/>
    <col min="5" max="5" width="13.44140625" customWidth="1"/>
    <col min="6" max="6" width="10" customWidth="1"/>
    <col min="7" max="7" width="88.33203125" customWidth="1"/>
    <col min="8" max="8" width="96.44140625" customWidth="1"/>
  </cols>
  <sheetData>
    <row r="2" spans="1:7" ht="28.8" x14ac:dyDescent="0.3">
      <c r="A2" s="2" t="s">
        <v>3</v>
      </c>
      <c r="B2">
        <v>414</v>
      </c>
    </row>
    <row r="3" spans="1:7" x14ac:dyDescent="0.3">
      <c r="A3" s="2" t="s">
        <v>12</v>
      </c>
      <c r="B3">
        <f>B2*2</f>
        <v>828</v>
      </c>
    </row>
    <row r="4" spans="1:7" ht="43.2" x14ac:dyDescent="0.3">
      <c r="A4" s="2" t="s">
        <v>4</v>
      </c>
      <c r="B4">
        <v>0.53500000000000003</v>
      </c>
    </row>
    <row r="5" spans="1:7" x14ac:dyDescent="0.3">
      <c r="A5" s="2" t="s">
        <v>5</v>
      </c>
      <c r="B5" s="3">
        <v>149</v>
      </c>
    </row>
    <row r="6" spans="1:7" x14ac:dyDescent="0.3">
      <c r="A6" s="2" t="s">
        <v>6</v>
      </c>
      <c r="B6" s="3">
        <v>64</v>
      </c>
    </row>
    <row r="7" spans="1:7" x14ac:dyDescent="0.3">
      <c r="A7" s="2" t="s">
        <v>7</v>
      </c>
      <c r="B7" s="3">
        <f>B6/2</f>
        <v>32</v>
      </c>
    </row>
    <row r="8" spans="1:7" x14ac:dyDescent="0.3">
      <c r="A8" s="2" t="s">
        <v>8</v>
      </c>
      <c r="B8" s="3">
        <f>B5+B7</f>
        <v>181</v>
      </c>
    </row>
    <row r="10" spans="1:7" x14ac:dyDescent="0.3">
      <c r="A10" s="5" t="s">
        <v>19</v>
      </c>
      <c r="B10" s="6" t="s">
        <v>20</v>
      </c>
    </row>
    <row r="12" spans="1:7" x14ac:dyDescent="0.3">
      <c r="A12" s="7" t="s">
        <v>0</v>
      </c>
      <c r="B12" s="7" t="s">
        <v>1</v>
      </c>
      <c r="C12" s="7" t="s">
        <v>9</v>
      </c>
      <c r="D12" s="7" t="s">
        <v>10</v>
      </c>
      <c r="E12" s="7" t="s">
        <v>11</v>
      </c>
      <c r="F12" s="7" t="s">
        <v>13</v>
      </c>
      <c r="G12" s="7" t="s">
        <v>2</v>
      </c>
    </row>
    <row r="13" spans="1:7" x14ac:dyDescent="0.3">
      <c r="A13" s="1">
        <v>43002</v>
      </c>
      <c r="B13" s="1">
        <v>43015</v>
      </c>
      <c r="C13">
        <f>B13-A13</f>
        <v>13</v>
      </c>
      <c r="D13" s="4">
        <f>$B$4*$B$3</f>
        <v>442.98</v>
      </c>
      <c r="E13" s="4">
        <f>(C13-2)*$B$8+$B$8/2+$B$8/2</f>
        <v>2172</v>
      </c>
      <c r="F13" s="3">
        <f>E13+D13</f>
        <v>2614.98</v>
      </c>
      <c r="G13" s="2" t="s">
        <v>16</v>
      </c>
    </row>
    <row r="14" spans="1:7" x14ac:dyDescent="0.3">
      <c r="A14" s="1">
        <v>43030</v>
      </c>
      <c r="B14" s="1">
        <v>43036</v>
      </c>
      <c r="C14">
        <f>B14-A14</f>
        <v>6</v>
      </c>
      <c r="D14" s="4">
        <f>$B$4*$B$3</f>
        <v>442.98</v>
      </c>
      <c r="E14" s="4">
        <f>(C14-2)*$B$8+$B$8/2+$B$8/2</f>
        <v>905</v>
      </c>
      <c r="F14" s="3">
        <f>E14+D14</f>
        <v>1347.98</v>
      </c>
      <c r="G14" t="s">
        <v>16</v>
      </c>
    </row>
    <row r="15" spans="1:7" x14ac:dyDescent="0.3">
      <c r="A15" s="1">
        <v>43051</v>
      </c>
      <c r="B15" s="1">
        <v>43062</v>
      </c>
      <c r="C15">
        <f>B15-A15</f>
        <v>11</v>
      </c>
      <c r="D15" s="4">
        <v>347.28</v>
      </c>
      <c r="E15" s="4">
        <f>(C15-2)*$B$8+$B$8/2+$B$8/2</f>
        <v>1810</v>
      </c>
      <c r="F15" s="3">
        <f>E15+D15</f>
        <v>2157.2799999999997</v>
      </c>
      <c r="G15" t="s">
        <v>17</v>
      </c>
    </row>
    <row r="16" spans="1:7" x14ac:dyDescent="0.3">
      <c r="A16" s="1">
        <v>43079</v>
      </c>
      <c r="B16" s="1">
        <v>43085</v>
      </c>
      <c r="C16">
        <f>B16-A16</f>
        <v>6</v>
      </c>
      <c r="D16" s="4">
        <v>237.08</v>
      </c>
      <c r="E16" s="4">
        <f>(C16-2)*$B$8+$B$8/2+$B$8/2</f>
        <v>905</v>
      </c>
      <c r="F16" s="3">
        <f>E16+D16</f>
        <v>1142.08</v>
      </c>
      <c r="G16" t="s">
        <v>18</v>
      </c>
    </row>
    <row r="17" spans="5:6" x14ac:dyDescent="0.3">
      <c r="E17" t="s">
        <v>14</v>
      </c>
      <c r="F17" s="3">
        <f>SUM(F13:F16)</f>
        <v>7262.32</v>
      </c>
    </row>
    <row r="18" spans="5:6" ht="28.8" x14ac:dyDescent="0.3">
      <c r="E18" s="2" t="s">
        <v>15</v>
      </c>
      <c r="F18" s="4">
        <f>15*F17/100</f>
        <v>1089.348</v>
      </c>
    </row>
  </sheetData>
  <hyperlinks>
    <hyperlink ref="B1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2018-02-27T01:25:34Z</dcterms:created>
  <dcterms:modified xsi:type="dcterms:W3CDTF">2018-03-15T21:49:17Z</dcterms:modified>
</cp:coreProperties>
</file>