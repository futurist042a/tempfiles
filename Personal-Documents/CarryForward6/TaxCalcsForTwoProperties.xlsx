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 Documents\Carry forward\"/>
    </mc:Choice>
  </mc:AlternateContent>
  <bookViews>
    <workbookView xWindow="0" yWindow="0" windowWidth="23040" windowHeight="94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B32" i="1"/>
  <c r="A26" i="1"/>
  <c r="A25" i="1"/>
  <c r="A24" i="1"/>
  <c r="A13" i="1"/>
  <c r="A12" i="1"/>
  <c r="A11" i="1"/>
  <c r="A23" i="1"/>
  <c r="A10" i="1"/>
  <c r="A21" i="1"/>
  <c r="A22" i="1" s="1"/>
  <c r="A7" i="1"/>
  <c r="A20" i="1"/>
  <c r="A19" i="1"/>
  <c r="A6" i="1"/>
  <c r="A18" i="1"/>
  <c r="A5" i="1"/>
  <c r="A8" i="1" l="1"/>
  <c r="A9" i="1" s="1"/>
</calcChain>
</file>

<file path=xl/sharedStrings.xml><?xml version="1.0" encoding="utf-8"?>
<sst xmlns="http://schemas.openxmlformats.org/spreadsheetml/2006/main" count="11" uniqueCount="7">
  <si>
    <t>7421 S Merrill Ave</t>
  </si>
  <si>
    <t>1147 W Vernon Park PL</t>
  </si>
  <si>
    <t>is + 10</t>
  </si>
  <si>
    <t>Using Roud value</t>
  </si>
  <si>
    <t>Using no 10 inc</t>
  </si>
  <si>
    <t>Using no 10 inc &amp; round 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</si>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</sst>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/>
    <xf numFmtId="0" fontId="1" fillId="0" borderId="1" xfId="1" applyFont="1" applyFill="1" applyBorder="1" applyAlignment="1">
      <alignment horizontal="right" wrapText="1"/>
    </xf>
    <xf numFmtId="3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topLeftCell="A4" zoomScale="85" zoomScaleNormal="85" workbookViewId="0">
      <selection activeCell="I11" sqref="I11"/>
    </sheetView>
  </sheetViews>
  <sheetFormatPr defaultRowHeight="14.4" x14ac:dyDescent="0.3"/>
  <cols>
    <col min="1" max="1" width="20.88671875" bestFit="1" customWidth="1"/>
    <col min="3" max="3" width="25.44140625" bestFit="1" customWidth="1"/>
  </cols>
  <sheetData>
    <row r="1" spans="1:3" x14ac:dyDescent="0.3">
      <c r="A1">
        <v>2.8031999999999999</v>
      </c>
    </row>
    <row r="3" spans="1:3" x14ac:dyDescent="0.3">
      <c r="A3" t="s">
        <v>0</v>
      </c>
    </row>
    <row r="4" spans="1:3" x14ac:dyDescent="0.3">
      <c r="A4">
        <v>155310</v>
      </c>
    </row>
    <row r="5" spans="1:3" x14ac:dyDescent="0.3">
      <c r="A5">
        <f>A4/10</f>
        <v>15531</v>
      </c>
    </row>
    <row r="6" spans="1:3" x14ac:dyDescent="0.3">
      <c r="A6">
        <f>A5*A1</f>
        <v>43536.499199999998</v>
      </c>
    </row>
    <row r="7" spans="1:3" x14ac:dyDescent="0.3">
      <c r="A7" s="2">
        <f>(B7*A6)/100</f>
        <v>3110.6828678399997</v>
      </c>
      <c r="B7" s="3">
        <v>7.1449999999999996</v>
      </c>
    </row>
    <row r="8" spans="1:3" x14ac:dyDescent="0.3">
      <c r="A8" s="2">
        <f>(B8*A7)/100</f>
        <v>311.06828678399995</v>
      </c>
      <c r="B8">
        <v>10</v>
      </c>
    </row>
    <row r="9" spans="1:3" x14ac:dyDescent="0.3">
      <c r="A9">
        <f>A7+A8</f>
        <v>3421.7511546239998</v>
      </c>
      <c r="B9" s="1" t="s">
        <v>2</v>
      </c>
    </row>
    <row r="10" spans="1:3" x14ac:dyDescent="0.3">
      <c r="A10">
        <f>A9/12*B10</f>
        <v>2651.8571448336002</v>
      </c>
      <c r="B10">
        <v>9.3000000000000007</v>
      </c>
    </row>
    <row r="11" spans="1:3" x14ac:dyDescent="0.3">
      <c r="A11" s="2">
        <f>A9/12*B11</f>
        <v>2566.3133659679997</v>
      </c>
      <c r="B11" s="2">
        <v>9</v>
      </c>
      <c r="C11" t="s">
        <v>3</v>
      </c>
    </row>
    <row r="12" spans="1:3" s="2" customFormat="1" x14ac:dyDescent="0.3">
      <c r="A12" s="2">
        <f>A7/12*B10</f>
        <v>2410.7792225759999</v>
      </c>
      <c r="C12" s="2" t="s">
        <v>4</v>
      </c>
    </row>
    <row r="13" spans="1:3" s="2" customFormat="1" x14ac:dyDescent="0.3">
      <c r="A13" s="2">
        <f>A7/12*B11</f>
        <v>2333.0121508799998</v>
      </c>
      <c r="C13" s="2" t="s">
        <v>5</v>
      </c>
    </row>
    <row r="14" spans="1:3" s="2" customFormat="1" x14ac:dyDescent="0.3"/>
    <row r="15" spans="1:3" s="2" customFormat="1" x14ac:dyDescent="0.3"/>
    <row r="16" spans="1:3" x14ac:dyDescent="0.3">
      <c r="A16" t="s">
        <v>1</v>
      </c>
    </row>
    <row r="17" spans="1:3" x14ac:dyDescent="0.3">
      <c r="A17">
        <v>420000</v>
      </c>
    </row>
    <row r="18" spans="1:3" x14ac:dyDescent="0.3">
      <c r="A18">
        <f>A17/10</f>
        <v>42000</v>
      </c>
    </row>
    <row r="19" spans="1:3" x14ac:dyDescent="0.3">
      <c r="A19">
        <f>A18*A1</f>
        <v>117734.39999999999</v>
      </c>
    </row>
    <row r="20" spans="1:3" x14ac:dyDescent="0.3">
      <c r="A20">
        <f>(B20*A19)/100</f>
        <v>8412.122879999999</v>
      </c>
      <c r="B20" s="3">
        <v>7.1449999999999996</v>
      </c>
    </row>
    <row r="21" spans="1:3" x14ac:dyDescent="0.3">
      <c r="A21" s="2">
        <f>(B21*A20)/100</f>
        <v>841.21228799999983</v>
      </c>
      <c r="B21" s="2">
        <v>10</v>
      </c>
    </row>
    <row r="22" spans="1:3" x14ac:dyDescent="0.3">
      <c r="A22" s="2">
        <f>A20+A21</f>
        <v>9253.3351679999996</v>
      </c>
      <c r="B22" s="1" t="s">
        <v>2</v>
      </c>
    </row>
    <row r="23" spans="1:3" x14ac:dyDescent="0.3">
      <c r="A23" s="2">
        <f>A22/12*B23</f>
        <v>7171.3347552000005</v>
      </c>
      <c r="B23" s="2">
        <v>9.3000000000000007</v>
      </c>
    </row>
    <row r="24" spans="1:3" x14ac:dyDescent="0.3">
      <c r="A24" s="2">
        <f>A22/12*B24</f>
        <v>6940.0013760000002</v>
      </c>
      <c r="B24" s="2">
        <v>9</v>
      </c>
      <c r="C24" s="2" t="s">
        <v>3</v>
      </c>
    </row>
    <row r="25" spans="1:3" x14ac:dyDescent="0.3">
      <c r="A25" s="2">
        <f>A20/12*B23</f>
        <v>6519.3952319999999</v>
      </c>
      <c r="B25" s="2"/>
      <c r="C25" s="2" t="s">
        <v>4</v>
      </c>
    </row>
    <row r="26" spans="1:3" x14ac:dyDescent="0.3">
      <c r="A26" s="2">
        <f>A20/12*B24</f>
        <v>6309.0921599999992</v>
      </c>
      <c r="B26" s="2"/>
      <c r="C26" s="2" t="s">
        <v>5</v>
      </c>
    </row>
    <row r="32" spans="1:3" x14ac:dyDescent="0.3">
      <c r="A32" s="4">
        <v>186111</v>
      </c>
      <c r="B32">
        <f>(A32*100)/85</f>
        <v>218954.11764705883</v>
      </c>
      <c r="C32">
        <f>B32-135000</f>
        <v>83954.117647058825</v>
      </c>
    </row>
    <row r="33" spans="3:3" x14ac:dyDescent="0.3">
      <c r="C3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Bancorp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cp:lastPrinted>2017-10-05T23:44:11Z</cp:lastPrinted>
  <dcterms:created xsi:type="dcterms:W3CDTF">2017-10-05T03:53:50Z</dcterms:created>
  <dcterms:modified xsi:type="dcterms:W3CDTF">2017-10-05T23:45:36Z</dcterms:modified>
</cp:coreProperties>
</file>