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xsult1/Downloads/"/>
    </mc:Choice>
  </mc:AlternateContent>
  <xr:revisionPtr revIDLastSave="0" documentId="13_ncr:1_{A50FE603-929A-844A-BD81-104D66E0F74A}" xr6:coauthVersionLast="47" xr6:coauthVersionMax="47" xr10:uidLastSave="{00000000-0000-0000-0000-000000000000}"/>
  <bookViews>
    <workbookView xWindow="0" yWindow="760" windowWidth="34560" windowHeight="20440" xr2:uid="{82856A1D-20C9-6348-8BA7-89406271E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6" i="1" s="1"/>
  <c r="C18" i="1" s="1"/>
  <c r="C20" i="1" s="1"/>
  <c r="E20" i="1"/>
  <c r="B20" i="1"/>
  <c r="C19" i="1"/>
  <c r="B19" i="1"/>
  <c r="E18" i="1"/>
  <c r="B18" i="1"/>
  <c r="E16" i="1"/>
  <c r="B16" i="1"/>
  <c r="B8" i="1"/>
  <c r="B7" i="1"/>
</calcChain>
</file>

<file path=xl/sharedStrings.xml><?xml version="1.0" encoding="utf-8"?>
<sst xmlns="http://schemas.openxmlformats.org/spreadsheetml/2006/main" count="79" uniqueCount="72">
  <si>
    <t>Orig Bid</t>
  </si>
  <si>
    <t>Rem One Bath</t>
  </si>
  <si>
    <t>Rem two hand wash pods</t>
  </si>
  <si>
    <t>Sprink &amp; Fire (10k each)</t>
  </si>
  <si>
    <t>Front Desk Quartz</t>
  </si>
  <si>
    <t>Wiring for 25 holes ($215 each)</t>
  </si>
  <si>
    <t>Addl HVAC Unit connection</t>
  </si>
  <si>
    <t>Total</t>
  </si>
  <si>
    <t>HCOA</t>
  </si>
  <si>
    <t>EHI (Tom Kubick)</t>
  </si>
  <si>
    <t>Seems Inc</t>
  </si>
  <si>
    <t>Already 2 baths</t>
  </si>
  <si>
    <t>Our guess</t>
  </si>
  <si>
    <t>On Point</t>
  </si>
  <si>
    <t>Art work/chandlier light</t>
  </si>
  <si>
    <t>Insurance coverage up to a $2 million umbrella</t>
  </si>
  <si>
    <t>Inc</t>
  </si>
  <si>
    <t>1500 Inc</t>
  </si>
  <si>
    <t>Good morning,</t>
  </si>
  <si>
    <t>Thank you for sending this over. We did notice a few major differences as well as have some questions because their proposal is very vague:</t>
  </si>
  <si>
    <t>Project management - We have heard in the past from Doctors and Dental equipment reps that EHI is non responsive when it comes to project management. You will have a dedicated project manager on site. Not only that but I will be there at least once a week and our senior project manager will be there 2-3 times a week as well. We also are always available to meet/take any phone calls throughout the entire process and make it a priority to get back to you in a timely manner.</t>
  </si>
  <si>
    <t>Insulation - We have insulation for all closed rooms while he only has for the mechanical and bathroom</t>
  </si>
  <si>
    <t>Ceilings - He is only giving you a drywall ceiling in one area ( mechanical room, which would we not recommend due to ventilation/heat ) while we have that included in any area you would like</t>
  </si>
  <si>
    <t>Doors - He does not list how many doors are included, so I would definitely get that clarified</t>
  </si>
  <si>
    <t>HVAC - We have new main supply/return ductwork for one unit included, he does not</t>
  </si>
  <si>
    <t>HVAC - We have exhaust ductwork included in your lab, he does not</t>
  </si>
  <si>
    <t>Plumbing - Allowance for sink/faucet in our proposal is $ 550 per, while his is only $ 150</t>
  </si>
  <si>
    <t>Plumbing - We have air lines included for your lab and steri, he does not</t>
  </si>
  <si>
    <t>Electrical - He has only lighting/outlets per the plan. In a dental office build-out, there are a lot of additional outlets that are not listed on the plan ( i.e. tv's, speakers, signage, specialty equipment ) that are not listed on plans. We do a full walk through when the framing is up and add outlets that were not listed on the plan during that walk through at no additional charge ( prior to drywall installation ). This is a major difference and could cost you upward of $ 10, 000 for electrical that he does not have included</t>
  </si>
  <si>
    <t>Cabinetry - He has no cabinets included while we have a custom reception desk, stock lab and staff lounge ( this is close to $ 25, 000 included in our proposal )</t>
  </si>
  <si>
    <t>Flooring - He has only a $2.50 per sq. allowance for you LVT. This is the lowest quality commercial LVT you can use with very limited options. We have a $4.25 material allowance which includes a much higher end LVT and a lot more options that you won't be charged more for</t>
  </si>
  <si>
    <t>Flooring prep - He has skim coating included while we have leveling up to 1/8". The difference in cost for this is nearly $ 2, 400. </t>
  </si>
  <si>
    <t>Labor - He is charging for labor for after hours work while we do this at no charge if needed for the project.</t>
  </si>
  <si>
    <t>If you would like we can also schedule a phone call to discuss this more or get together to review again, please let me know?</t>
  </si>
  <si>
    <t>Take care,</t>
  </si>
  <si>
    <t>Brad Levin</t>
  </si>
  <si>
    <t>( 847 ) 209-6151</t>
  </si>
  <si>
    <t>-------------------------</t>
  </si>
  <si>
    <t xml:space="preserve">1- On Point Insurance: </t>
  </si>
  <si>
    <t>2- Sent pics to EHI. Ask if those doable per bid.</t>
  </si>
  <si>
    <t>3- Email from ACOA reg EHI ----------------</t>
  </si>
  <si>
    <t>New Concrete Slab</t>
  </si>
  <si>
    <t>OnPoint</t>
  </si>
  <si>
    <t>300 for sink + 250 for faucet = 550</t>
  </si>
  <si>
    <t>Commercial grade doors</t>
  </si>
  <si>
    <t>Electrical sub panel should be added.</t>
  </si>
  <si>
    <t>Ask TK</t>
  </si>
  <si>
    <t>Paint 12 dollar a gallon, there is 30 dollar gallon</t>
  </si>
  <si>
    <t>Point 0.5 celieing tile, onpoint's is 0.75</t>
  </si>
  <si>
    <t>Vases, paitings are covered under art work for $1500. Have good resource</t>
  </si>
  <si>
    <t>$3000 for lights is covered.</t>
  </si>
  <si>
    <t>wall covering/tiles</t>
  </si>
  <si>
    <t xml:space="preserve">Flooring allowance </t>
  </si>
  <si>
    <t>2.50 allowance for flooring and 5 allownce by OnPoint</t>
  </si>
  <si>
    <t>4k for wall covering and 3k for tiles.</t>
  </si>
  <si>
    <t>Corner gaurds</t>
  </si>
  <si>
    <t>2k</t>
  </si>
  <si>
    <t>3 hand wash sinks.</t>
  </si>
  <si>
    <t>3 hand wash sinks and 1 for staff lounge and 1 for sterlization and 1 for the lab</t>
  </si>
  <si>
    <t>Ster/lab Cab. office</t>
  </si>
  <si>
    <t>11k for lab/ster, 5k for office loung and 3k for front desk</t>
  </si>
  <si>
    <t>37900 is for additional unit, not needed.</t>
  </si>
  <si>
    <t>43400 old quote</t>
  </si>
  <si>
    <t>commercial 8ft doors from TC</t>
  </si>
  <si>
    <t xml:space="preserve">sub-panel is around $800 if needed </t>
  </si>
  <si>
    <t>TK</t>
  </si>
  <si>
    <t>Sherwin Williams $55 dollar a gallon</t>
  </si>
  <si>
    <t>Dune tiles upgraded tiles.</t>
  </si>
  <si>
    <t>tiles in a bathroom in one wall where fixtures are, on logo wall, on fireplace wall. Labor free, buy material.</t>
  </si>
  <si>
    <t>Discount</t>
  </si>
  <si>
    <t>For Designer look</t>
  </si>
  <si>
    <t xml:space="preserve">Our guess/conf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</si>
</sst>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6" fontId="1" fillId="0" borderId="0" xfId="0" applyNumberFormat="1" applyFont="1"/>
    <xf numFmtId="0" fontId="2" fillId="0" borderId="0" xfId="0" applyFont="1"/>
    <xf numFmtId="0" fontId="0" fillId="0" borderId="0" xfId="0" quotePrefix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83E0-9BF5-5E4E-A02C-4BB71A05A6BF}">
  <dimension ref="A5:S71"/>
  <sheetViews>
    <sheetView tabSelected="1" zoomScale="140" zoomScaleNormal="140" workbookViewId="0">
      <selection activeCell="C10" sqref="C10"/>
    </sheetView>
  </sheetViews>
  <sheetFormatPr baseColWidth="10" defaultRowHeight="16" x14ac:dyDescent="0.2"/>
  <cols>
    <col min="1" max="1" width="27.5" bestFit="1" customWidth="1"/>
    <col min="2" max="2" width="40.33203125" bestFit="1" customWidth="1"/>
    <col min="3" max="3" width="15" bestFit="1" customWidth="1"/>
    <col min="4" max="4" width="9.33203125" bestFit="1" customWidth="1"/>
    <col min="5" max="5" width="13.83203125" bestFit="1" customWidth="1"/>
    <col min="6" max="6" width="16" bestFit="1" customWidth="1"/>
  </cols>
  <sheetData>
    <row r="5" spans="1:6" x14ac:dyDescent="0.2">
      <c r="B5" t="s">
        <v>8</v>
      </c>
      <c r="C5" t="s">
        <v>9</v>
      </c>
      <c r="E5" t="s">
        <v>13</v>
      </c>
    </row>
    <row r="6" spans="1:6" x14ac:dyDescent="0.2">
      <c r="A6" t="s">
        <v>0</v>
      </c>
      <c r="B6">
        <v>438880</v>
      </c>
      <c r="C6">
        <v>339800</v>
      </c>
      <c r="E6" s="1">
        <v>493400</v>
      </c>
    </row>
    <row r="7" spans="1:6" x14ac:dyDescent="0.2">
      <c r="A7" t="s">
        <v>1</v>
      </c>
      <c r="B7">
        <f>-8000</f>
        <v>-8000</v>
      </c>
      <c r="C7" t="s">
        <v>11</v>
      </c>
      <c r="E7" t="s">
        <v>11</v>
      </c>
    </row>
    <row r="8" spans="1:6" x14ac:dyDescent="0.2">
      <c r="A8" t="s">
        <v>2</v>
      </c>
      <c r="B8">
        <f>-4000</f>
        <v>-4000</v>
      </c>
      <c r="C8" t="s">
        <v>10</v>
      </c>
      <c r="E8" t="s">
        <v>57</v>
      </c>
    </row>
    <row r="9" spans="1:6" x14ac:dyDescent="0.2">
      <c r="A9" t="s">
        <v>3</v>
      </c>
      <c r="B9">
        <v>20000</v>
      </c>
      <c r="C9" s="1">
        <v>16000</v>
      </c>
      <c r="E9" t="s">
        <v>16</v>
      </c>
    </row>
    <row r="10" spans="1:6" x14ac:dyDescent="0.2">
      <c r="A10" t="s">
        <v>59</v>
      </c>
      <c r="B10">
        <v>15000</v>
      </c>
      <c r="C10">
        <f>9500+7600+3600+4800+5900+6900</f>
        <v>38300</v>
      </c>
      <c r="D10" t="s">
        <v>71</v>
      </c>
      <c r="E10">
        <v>19000</v>
      </c>
      <c r="F10" t="s">
        <v>60</v>
      </c>
    </row>
    <row r="11" spans="1:6" x14ac:dyDescent="0.2">
      <c r="A11" t="s">
        <v>4</v>
      </c>
      <c r="B11">
        <v>5000</v>
      </c>
      <c r="C11">
        <v>4460</v>
      </c>
      <c r="E11" t="s">
        <v>16</v>
      </c>
    </row>
    <row r="12" spans="1:6" x14ac:dyDescent="0.2">
      <c r="A12" t="s">
        <v>5</v>
      </c>
      <c r="B12">
        <v>5375</v>
      </c>
      <c r="C12">
        <v>5000</v>
      </c>
      <c r="E12">
        <v>7000</v>
      </c>
      <c r="F12" t="s">
        <v>12</v>
      </c>
    </row>
    <row r="13" spans="1:6" x14ac:dyDescent="0.2">
      <c r="A13" t="s">
        <v>6</v>
      </c>
      <c r="B13">
        <v>18500</v>
      </c>
      <c r="C13">
        <v>8600</v>
      </c>
      <c r="D13" t="s">
        <v>71</v>
      </c>
      <c r="E13" s="3">
        <v>0</v>
      </c>
      <c r="F13" t="s">
        <v>61</v>
      </c>
    </row>
    <row r="14" spans="1:6" x14ac:dyDescent="0.2">
      <c r="A14" t="s">
        <v>14</v>
      </c>
      <c r="B14">
        <v>1500</v>
      </c>
      <c r="C14">
        <v>1500</v>
      </c>
      <c r="E14" t="s">
        <v>17</v>
      </c>
    </row>
    <row r="15" spans="1:6" x14ac:dyDescent="0.2">
      <c r="A15" t="s">
        <v>41</v>
      </c>
      <c r="B15" t="s">
        <v>16</v>
      </c>
      <c r="C15" t="s">
        <v>16</v>
      </c>
      <c r="E15" s="2">
        <v>27000</v>
      </c>
      <c r="F15" t="s">
        <v>62</v>
      </c>
    </row>
    <row r="16" spans="1:6" x14ac:dyDescent="0.2">
      <c r="A16" t="s">
        <v>7</v>
      </c>
      <c r="B16">
        <f>SUM(B6:B15)</f>
        <v>492255</v>
      </c>
      <c r="C16">
        <f>SUM(C6:C15)</f>
        <v>413660</v>
      </c>
      <c r="E16">
        <f>SUM(E6:E15)</f>
        <v>546400</v>
      </c>
    </row>
    <row r="17" spans="1:19" x14ac:dyDescent="0.2">
      <c r="A17" t="s">
        <v>69</v>
      </c>
      <c r="B17">
        <v>0</v>
      </c>
      <c r="C17">
        <v>0</v>
      </c>
      <c r="E17" s="1">
        <v>16000</v>
      </c>
    </row>
    <row r="18" spans="1:19" x14ac:dyDescent="0.2">
      <c r="A18" t="s">
        <v>7</v>
      </c>
      <c r="B18">
        <f>B16-B17</f>
        <v>492255</v>
      </c>
      <c r="C18">
        <f>C16-C17</f>
        <v>413660</v>
      </c>
      <c r="E18">
        <f>E16-E17</f>
        <v>530400</v>
      </c>
    </row>
    <row r="19" spans="1:19" x14ac:dyDescent="0.2">
      <c r="A19" t="s">
        <v>70</v>
      </c>
      <c r="B19">
        <f>10000+4000</f>
        <v>14000</v>
      </c>
      <c r="C19">
        <f>10000+5000</f>
        <v>15000</v>
      </c>
      <c r="E19">
        <v>0</v>
      </c>
    </row>
    <row r="20" spans="1:19" x14ac:dyDescent="0.2">
      <c r="A20" t="s">
        <v>7</v>
      </c>
      <c r="B20">
        <f>B18+B19</f>
        <v>506255</v>
      </c>
      <c r="C20">
        <f>C18+C19</f>
        <v>428660</v>
      </c>
      <c r="D20">
        <v>415260</v>
      </c>
      <c r="E20">
        <f>E18+E19</f>
        <v>530400</v>
      </c>
    </row>
    <row r="25" spans="1:19" x14ac:dyDescent="0.2">
      <c r="A25" t="s">
        <v>38</v>
      </c>
      <c r="B25" t="s">
        <v>15</v>
      </c>
    </row>
    <row r="26" spans="1:19" x14ac:dyDescent="0.2">
      <c r="A26" t="s">
        <v>39</v>
      </c>
    </row>
    <row r="28" spans="1:19" x14ac:dyDescent="0.2">
      <c r="A28" t="s">
        <v>40</v>
      </c>
    </row>
    <row r="30" spans="1:19" x14ac:dyDescent="0.2">
      <c r="A30" s="4" t="s">
        <v>18</v>
      </c>
    </row>
    <row r="32" spans="1:19" x14ac:dyDescent="0.2">
      <c r="A32" s="6" t="s">
        <v>19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31" customHeight="1" x14ac:dyDescent="0.2">
      <c r="A34" s="6" t="s">
        <v>20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2">
      <c r="A35" s="6" t="s">
        <v>21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x14ac:dyDescent="0.2">
      <c r="A36" s="6" t="s">
        <v>22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x14ac:dyDescent="0.2">
      <c r="A37" s="6" t="s">
        <v>23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2">
      <c r="A38" s="6" t="s">
        <v>24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2">
      <c r="A39" s="6" t="s">
        <v>25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2">
      <c r="A40" s="6" t="s">
        <v>26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2">
      <c r="A41" s="6" t="s">
        <v>27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47" customHeight="1" x14ac:dyDescent="0.2">
      <c r="A42" s="6" t="s">
        <v>28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2">
      <c r="A43" s="6" t="s">
        <v>29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34" customHeight="1" x14ac:dyDescent="0.2">
      <c r="A44" s="6" t="s">
        <v>30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2">
      <c r="A45" s="6" t="s">
        <v>31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2">
      <c r="A46" s="6" t="s">
        <v>32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2">
      <c r="A48" s="6" t="s">
        <v>33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2">
      <c r="A50" s="6" t="s">
        <v>34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x14ac:dyDescent="0.2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2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x14ac:dyDescent="0.2">
      <c r="A53" s="6" t="s">
        <v>35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2">
      <c r="A54" s="6" t="s">
        <v>36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6" spans="1:19" x14ac:dyDescent="0.2">
      <c r="A56" s="5" t="s">
        <v>37</v>
      </c>
    </row>
    <row r="60" spans="1:19" x14ac:dyDescent="0.2">
      <c r="A60" t="s">
        <v>42</v>
      </c>
      <c r="D60" t="s">
        <v>65</v>
      </c>
    </row>
    <row r="61" spans="1:19" x14ac:dyDescent="0.2">
      <c r="A61" t="s">
        <v>43</v>
      </c>
    </row>
    <row r="62" spans="1:19" x14ac:dyDescent="0.2">
      <c r="A62" t="s">
        <v>44</v>
      </c>
      <c r="D62" t="s">
        <v>63</v>
      </c>
    </row>
    <row r="63" spans="1:19" x14ac:dyDescent="0.2">
      <c r="A63" t="s">
        <v>45</v>
      </c>
      <c r="C63" t="s">
        <v>46</v>
      </c>
      <c r="D63" t="s">
        <v>64</v>
      </c>
    </row>
    <row r="64" spans="1:19" x14ac:dyDescent="0.2">
      <c r="A64" t="s">
        <v>47</v>
      </c>
      <c r="D64" t="s">
        <v>66</v>
      </c>
    </row>
    <row r="65" spans="1:4" x14ac:dyDescent="0.2">
      <c r="A65" t="s">
        <v>48</v>
      </c>
      <c r="D65" t="s">
        <v>67</v>
      </c>
    </row>
    <row r="66" spans="1:4" x14ac:dyDescent="0.2">
      <c r="A66" t="s">
        <v>49</v>
      </c>
    </row>
    <row r="67" spans="1:4" x14ac:dyDescent="0.2">
      <c r="A67" t="s">
        <v>50</v>
      </c>
    </row>
    <row r="68" spans="1:4" x14ac:dyDescent="0.2">
      <c r="A68" t="s">
        <v>51</v>
      </c>
      <c r="B68" t="s">
        <v>54</v>
      </c>
      <c r="D68" t="s">
        <v>68</v>
      </c>
    </row>
    <row r="69" spans="1:4" x14ac:dyDescent="0.2">
      <c r="A69" t="s">
        <v>52</v>
      </c>
      <c r="B69" t="s">
        <v>53</v>
      </c>
    </row>
    <row r="70" spans="1:4" x14ac:dyDescent="0.2">
      <c r="A70" t="s">
        <v>55</v>
      </c>
      <c r="B70" t="s">
        <v>56</v>
      </c>
    </row>
    <row r="71" spans="1:4" x14ac:dyDescent="0.2">
      <c r="A71" t="s">
        <v>58</v>
      </c>
    </row>
  </sheetData>
  <mergeCells count="23">
    <mergeCell ref="A37:S37"/>
    <mergeCell ref="A32:S32"/>
    <mergeCell ref="A33:S33"/>
    <mergeCell ref="A34:S34"/>
    <mergeCell ref="A35:S35"/>
    <mergeCell ref="A36:S36"/>
    <mergeCell ref="A49:S49"/>
    <mergeCell ref="A38:S38"/>
    <mergeCell ref="A39:S39"/>
    <mergeCell ref="A40:S40"/>
    <mergeCell ref="A41:S41"/>
    <mergeCell ref="A42:S42"/>
    <mergeCell ref="A43:S43"/>
    <mergeCell ref="A44:S44"/>
    <mergeCell ref="A45:S45"/>
    <mergeCell ref="A46:S46"/>
    <mergeCell ref="A47:S47"/>
    <mergeCell ref="A48:S48"/>
    <mergeCell ref="A50:S50"/>
    <mergeCell ref="A51:S51"/>
    <mergeCell ref="A52:S52"/>
    <mergeCell ref="A53:S53"/>
    <mergeCell ref="A54:S5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Sultan, Awais</cp:lastModifiedBy>
  <dcterms:created xsi:type="dcterms:W3CDTF">2025-09-02T03:35:41Z</dcterms:created>
  <dcterms:modified xsi:type="dcterms:W3CDTF">2025-09-29T19:55:47Z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2025-09-10T02:20:10Z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382bb050-f3b1-4de5-a006-be4b17e81990</vt:lpwstr>
  </property>
  <property fmtid="{D5CDD505-2E9C-101B-9397-08002B2CF9AE}" pid="8" name="MSIP_Label_320df1db-9955-4087-a541-42c2f5a9332e_ContentBits">
    <vt:lpwstr>0</vt:lpwstr>
  </property>
  <property fmtid="{D5CDD505-2E9C-101B-9397-08002B2CF9AE}" pid="9" name="MSIP_Label_320df1db-9955-4087-a541-42c2f5a9332e_Tag">
    <vt:lpwstr>50, 3, 0, 1</vt:lpwstr>
  </property>
</Properties>
</file>